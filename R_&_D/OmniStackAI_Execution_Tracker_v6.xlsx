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Phase_Roadmap" sheetId="2" state="visible" r:id="rId2"/>
    <sheet xmlns:r="http://schemas.openxmlformats.org/officeDocument/2006/relationships" name="Product_UI_Tabs" sheetId="3" state="visible" r:id="rId3"/>
    <sheet xmlns:r="http://schemas.openxmlformats.org/officeDocument/2006/relationships" name="Agent_Architecture" sheetId="4" state="visible" r:id="rId4"/>
    <sheet xmlns:r="http://schemas.openxmlformats.org/officeDocument/2006/relationships" name="Application_IR" sheetId="5" state="visible" r:id="rId5"/>
    <sheet xmlns:r="http://schemas.openxmlformats.org/officeDocument/2006/relationships" name="Change_Impact" sheetId="6" state="visible" r:id="rId6"/>
    <sheet xmlns:r="http://schemas.openxmlformats.org/officeDocument/2006/relationships" name="Preview_Build_Matrix" sheetId="7" state="visible" r:id="rId7"/>
    <sheet xmlns:r="http://schemas.openxmlformats.org/officeDocument/2006/relationships" name="Testing_Quality" sheetId="8" state="visible" r:id="rId8"/>
    <sheet xmlns:r="http://schemas.openxmlformats.org/officeDocument/2006/relationships" name="Security" sheetId="9" state="visible" r:id="rId9"/>
    <sheet xmlns:r="http://schemas.openxmlformats.org/officeDocument/2006/relationships" name="Infrastructure" sheetId="10" state="visible" r:id="rId10"/>
    <sheet xmlns:r="http://schemas.openxmlformats.org/officeDocument/2006/relationships" name="Model_Costs" sheetId="11" state="visible" r:id="rId11"/>
    <sheet xmlns:r="http://schemas.openxmlformats.org/officeDocument/2006/relationships" name="Analytics_KPIs" sheetId="12" state="visible" r:id="rId12"/>
    <sheet xmlns:r="http://schemas.openxmlformats.org/officeDocument/2006/relationships" name="Risks_Competitor" sheetId="13" state="visible" r:id="rId13"/>
    <sheet xmlns:r="http://schemas.openxmlformats.org/officeDocument/2006/relationships" name="Production_Gates" sheetId="14" state="visible" r:id="rId14"/>
    <sheet xmlns:r="http://schemas.openxmlformats.org/officeDocument/2006/relationships" name="Sources" sheetId="15" state="visible" r:id="rId15"/>
    <sheet xmlns:r="http://schemas.openxmlformats.org/officeDocument/2006/relationships" name="Framework_Selection" sheetId="16" state="visible" r:id="rId16"/>
    <sheet xmlns:r="http://schemas.openxmlformats.org/officeDocument/2006/relationships" name="Framework_Decision" sheetId="17" state="visible" r:id="rId17"/>
    <sheet xmlns:r="http://schemas.openxmlformats.org/officeDocument/2006/relationships" name="Repo_Architecture" sheetId="18" state="visible" r:id="rId18"/>
    <sheet xmlns:r="http://schemas.openxmlformats.org/officeDocument/2006/relationships" name="Project_Structure" sheetId="19" state="visible" r:id="rId19"/>
    <sheet xmlns:r="http://schemas.openxmlformats.org/officeDocument/2006/relationships" name="Stack_Profiles" sheetId="20" state="visible" r:id="rId20"/>
    <sheet xmlns:r="http://schemas.openxmlformats.org/officeDocument/2006/relationships" name="Code_Sharing" sheetId="21" state="visible" r:id="rId21"/>
    <sheet xmlns:r="http://schemas.openxmlformats.org/officeDocument/2006/relationships" name="Platform_Architecture" sheetId="22" state="visible" r:id="rId22"/>
    <sheet xmlns:r="http://schemas.openxmlformats.org/officeDocument/2006/relationships" name="Git_Standards" sheetId="23" state="visible" r:id="rId23"/>
    <sheet xmlns:r="http://schemas.openxmlformats.org/officeDocument/2006/relationships" name="Flutter_Template" sheetId="24" state="visible" r:id="rId24"/>
    <sheet xmlns:r="http://schemas.openxmlformats.org/officeDocument/2006/relationships" name="ReactNative_Template" sheetId="25" state="visible" r:id="rId25"/>
    <sheet xmlns:r="http://schemas.openxmlformats.org/officeDocument/2006/relationships" name="Android_Template" sheetId="26" state="visible" r:id="rId26"/>
    <sheet xmlns:r="http://schemas.openxmlformats.org/officeDocument/2006/relationships" name="iOS_Template" sheetId="27" state="visible" r:id="rId27"/>
    <sheet xmlns:r="http://schemas.openxmlformats.org/officeDocument/2006/relationships" name="Web_Template" sheetId="28" state="visible" r:id="rId28"/>
    <sheet xmlns:r="http://schemas.openxmlformats.org/officeDocument/2006/relationships" name="Admin_Template" sheetId="29" state="visible" r:id="rId29"/>
    <sheet xmlns:r="http://schemas.openxmlformats.org/officeDocument/2006/relationships" name="Backend_Templates" sheetId="30" state="visible" r:id="rId30"/>
    <sheet xmlns:r="http://schemas.openxmlformats.org/officeDocument/2006/relationships" name="CI_CD" sheetId="31" state="visible" r:id="rId31"/>
    <sheet xmlns:r="http://schemas.openxmlformats.org/officeDocument/2006/relationships" name="Migration_Paths" sheetId="32" state="visible" r:id="rId32"/>
    <sheet xmlns:r="http://schemas.openxmlformats.org/officeDocument/2006/relationships" name="Template_Governance" sheetId="33" state="visible" r:id="rId33"/>
    <sheet xmlns:r="http://schemas.openxmlformats.org/officeDocument/2006/relationships" name="Reference_Study" sheetId="34" state="visible" r:id="rId34"/>
    <sheet xmlns:r="http://schemas.openxmlformats.org/officeDocument/2006/relationships" name="Runtime_Tiers" sheetId="35" state="visible" r:id="rId35"/>
    <sheet xmlns:r="http://schemas.openxmlformats.org/officeDocument/2006/relationships" name="Durable_Agent_Runtime" sheetId="36" state="visible" r:id="rId36"/>
    <sheet xmlns:r="http://schemas.openxmlformats.org/officeDocument/2006/relationships" name="MCP_Tool_Registry" sheetId="37" state="visible" r:id="rId37"/>
    <sheet xmlns:r="http://schemas.openxmlformats.org/officeDocument/2006/relationships" name="HITL_Approvals" sheetId="38" state="visible" r:id="rId38"/>
    <sheet xmlns:r="http://schemas.openxmlformats.org/officeDocument/2006/relationships" name="Execution_Modes" sheetId="39" state="visible" r:id="rId39"/>
    <sheet xmlns:r="http://schemas.openxmlformats.org/officeDocument/2006/relationships" name="Backend_Profiles" sheetId="40" state="visible" r:id="rId40"/>
    <sheet xmlns:r="http://schemas.openxmlformats.org/officeDocument/2006/relationships" name="Agent_Streaming" sheetId="41" state="visible" r:id="rId41"/>
    <sheet xmlns:r="http://schemas.openxmlformats.org/officeDocument/2006/relationships" name="Architecture_Research" sheetId="42" state="visible" r:id="rId42"/>
    <sheet xmlns:r="http://schemas.openxmlformats.org/officeDocument/2006/relationships" name="Team_Glossary" sheetId="43" state="visible" r:id="rId43"/>
    <sheet xmlns:r="http://schemas.openxmlformats.org/officeDocument/2006/relationships" name="Brand_Naming" sheetId="44" state="visible" r:id="rId44"/>
    <sheet xmlns:r="http://schemas.openxmlformats.org/officeDocument/2006/relationships" name="Preview_Verification" sheetId="45" state="visible" r:id="rId45"/>
    <sheet xmlns:r="http://schemas.openxmlformats.org/officeDocument/2006/relationships" name="Device_QR_Delivery" sheetId="46" state="visible" r:id="rId46"/>
    <sheet xmlns:r="http://schemas.openxmlformats.org/officeDocument/2006/relationships" name="Context_Engine" sheetId="47" state="visible" r:id="rId47"/>
    <sheet xmlns:r="http://schemas.openxmlformats.org/officeDocument/2006/relationships" name="Project_Memory" sheetId="48" state="visible" r:id="rId48"/>
    <sheet xmlns:r="http://schemas.openxmlformats.org/officeDocument/2006/relationships" name="LLM_Cost_Optimization" sheetId="49" state="visible" r:id="rId49"/>
    <sheet xmlns:r="http://schemas.openxmlformats.org/officeDocument/2006/relationships" name="Database_Strategy" sheetId="50" state="visible" r:id="rId50"/>
    <sheet xmlns:r="http://schemas.openxmlformats.org/officeDocument/2006/relationships" name="Incident_Bug_Flow" sheetId="51" state="visible" r:id="rId51"/>
    <sheet xmlns:r="http://schemas.openxmlformats.org/officeDocument/2006/relationships" name="Competitor_Matrix" sheetId="52" state="visible" r:id="rId52"/>
    <sheet xmlns:r="http://schemas.openxmlformats.org/officeDocument/2006/relationships" name="Client_Handover" sheetId="53" state="visible" r:id="rId53"/>
    <sheet xmlns:r="http://schemas.openxmlformats.org/officeDocument/2006/relationships" name="Publishing_Release" sheetId="54" state="visible" r:id="rId54"/>
    <sheet xmlns:r="http://schemas.openxmlformats.org/officeDocument/2006/relationships" name="Unit_Economics" sheetId="55" state="visible" r:id="rId55"/>
    <sheet xmlns:r="http://schemas.openxmlformats.org/officeDocument/2006/relationships" name="Provider_Interfaces" sheetId="56" state="visible" r:id="rId56"/>
    <sheet xmlns:r="http://schemas.openxmlformats.org/officeDocument/2006/relationships" name="Supply_Chain" sheetId="57" state="visible" r:id="rId57"/>
    <sheet xmlns:r="http://schemas.openxmlformats.org/officeDocument/2006/relationships" name="RND_Gap_Audit" sheetId="58" state="visible" r:id="rId58"/>
    <sheet xmlns:r="http://schemas.openxmlformats.org/officeDocument/2006/relationships" name="Local_LLM_Providers" sheetId="59" state="visible" r:id="rId59"/>
    <sheet xmlns:r="http://schemas.openxmlformats.org/officeDocument/2006/relationships" name="AI_Developer_Handoff" sheetId="60" state="visible" r:id="rId60"/>
    <sheet xmlns:r="http://schemas.openxmlformats.org/officeDocument/2006/relationships" name="Environment_Matrix" sheetId="61" state="visible" r:id="rId61"/>
    <sheet xmlns:r="http://schemas.openxmlformats.org/officeDocument/2006/relationships" name="Model_Capability_Registry" sheetId="62" state="visible" r:id="rId62"/>
  </sheets>
  <definedNames/>
</workbook>
</file>

<file path=xl/styles.xml><?xml version="1.0" encoding="utf-8"?>
<styleSheet xmlns="http://schemas.openxmlformats.org/spreadsheetml/2006/main">
  <numFmts count="0"/>
  <fonts count="23">
    <font>
      <name val="Carlito"/>
      <sz val="11"/>
    </font>
    <font>
      <name val="Carlito"/>
      <b val="1"/>
      <color rgb="FFFFFFFF"/>
      <sz val="18"/>
    </font>
    <font>
      <name val="Carlito"/>
      <i val="1"/>
      <color rgb="FF111827"/>
      <sz val="10"/>
    </font>
    <font>
      <name val="Carlito"/>
      <b val="1"/>
      <color rgb="FFFFFFFF"/>
      <sz val="11"/>
    </font>
    <font>
      <name val="Carlito"/>
      <color rgb="FF111827"/>
      <sz val="10"/>
    </font>
    <font>
      <name val="Carlito"/>
      <b val="1"/>
      <color rgb="FF17324D"/>
      <sz val="11"/>
    </font>
    <font>
      <name val="Carlito"/>
      <b val="1"/>
      <color rgb="FFFFFFFF"/>
      <sz val="16"/>
    </font>
    <font>
      <name val="Carlito"/>
      <i val="1"/>
      <color rgb="FF334155"/>
      <sz val="11"/>
    </font>
    <font>
      <name val="Carlito"/>
      <color rgb="FF1E293B"/>
      <sz val="10"/>
    </font>
    <font>
      <name val="Carlito"/>
      <i val="1"/>
      <color rgb="FF1E293B"/>
      <sz val="10"/>
    </font>
    <font>
      <name val="Carlito"/>
      <b val="1"/>
      <color rgb="FFFFFFFF"/>
      <sz val="13"/>
    </font>
    <font>
      <name val="Carlito"/>
      <color rgb="FF1E293B"/>
      <sz val="9"/>
    </font>
    <font>
      <name val="Carlito"/>
      <b val="1"/>
      <color rgb="FF17324D"/>
      <sz val="16"/>
    </font>
    <font>
      <name val="Carlito"/>
      <b val="1"/>
      <i val="1"/>
      <color rgb="FF17324D"/>
      <sz val="10"/>
    </font>
    <font>
      <name val="Carlito"/>
      <i val="1"/>
      <color rgb="FF1F2937"/>
      <sz val="10"/>
    </font>
    <font>
      <name val="Carlito"/>
      <b val="1"/>
      <color rgb="FFFFFFFF"/>
      <sz val="10"/>
    </font>
    <font>
      <name val="Carlito"/>
      <sz val="9"/>
    </font>
    <font>
      <name val="Carlito"/>
      <b val="1"/>
      <color rgb="FF1F2937"/>
      <sz val="11"/>
    </font>
    <font>
      <name val="Carlito"/>
      <b val="1"/>
      <i val="1"/>
      <color rgb="FF4F46E5"/>
      <sz val="9"/>
    </font>
    <font>
      <name val="Carlito"/>
      <b val="1"/>
      <color rgb="FFFFFFFF"/>
      <sz val="12"/>
    </font>
    <font>
      <name val="Carlito"/>
      <b val="1"/>
      <color rgb="FF1E293B"/>
      <sz val="9"/>
    </font>
    <font>
      <name val="Carlito"/>
      <b val="1"/>
      <color rgb="FF17324D"/>
      <sz val="10"/>
    </font>
    <font>
      <name val="Carlito"/>
      <color rgb="FF1E293B"/>
      <sz val="9"/>
    </font>
  </fonts>
  <fills count="30">
    <fill>
      <patternFill/>
    </fill>
    <fill>
      <patternFill patternType="gray125"/>
    </fill>
    <fill>
      <patternFill patternType="solid">
        <fgColor rgb="FF16324F"/>
      </patternFill>
    </fill>
    <fill>
      <patternFill patternType="solid">
        <fgColor rgb="FFEAF2F8"/>
      </patternFill>
    </fill>
    <fill>
      <patternFill patternType="solid">
        <fgColor rgb="FF1F4E78"/>
      </patternFill>
    </fill>
    <fill>
      <patternFill patternType="solid">
        <fgColor rgb="FFD9EEF8"/>
      </patternFill>
    </fill>
    <fill>
      <patternFill patternType="solid">
        <fgColor rgb="FFDCEAF4"/>
      </patternFill>
    </fill>
    <fill>
      <patternFill patternType="solid">
        <fgColor rgb="FF1F5F89"/>
      </patternFill>
    </fill>
    <fill>
      <patternFill patternType="solid">
        <fgColor rgb="FF17324D"/>
      </patternFill>
    </fill>
    <fill>
      <patternFill patternType="solid">
        <fgColor rgb="FFEAF3F8"/>
      </patternFill>
    </fill>
    <fill>
      <patternFill patternType="solid">
        <fgColor rgb="FFF4F6F8"/>
      </patternFill>
    </fill>
    <fill>
      <patternFill patternType="solid">
        <fgColor rgb="FF17324D"/>
      </patternFill>
    </fill>
    <fill>
      <patternFill patternType="solid">
        <fgColor rgb="FFEAF3F8"/>
      </patternFill>
    </fill>
    <fill>
      <patternFill patternType="solid">
        <fgColor rgb="FF1F5F89"/>
      </patternFill>
    </fill>
    <fill>
      <patternFill patternType="solid">
        <fgColor rgb="FF1F4E78"/>
      </patternFill>
    </fill>
    <fill>
      <patternFill patternType="solid">
        <fgColor rgb="FFD9EAF7"/>
      </patternFill>
    </fill>
    <fill>
      <patternFill patternType="solid">
        <fgColor rgb="FF2F75B5"/>
      </patternFill>
    </fill>
    <fill>
      <patternFill patternType="solid">
        <fgColor rgb="FF17324D"/>
      </patternFill>
    </fill>
    <fill>
      <patternFill patternType="solid">
        <fgColor rgb="FFEEF2FF"/>
      </patternFill>
    </fill>
    <fill>
      <patternFill patternType="solid">
        <fgColor rgb="FF1F5F89"/>
      </patternFill>
    </fill>
    <fill>
      <patternFill patternType="solid">
        <fgColor rgb="FF4F46E5"/>
      </patternFill>
    </fill>
    <fill>
      <patternFill patternType="solid">
        <fgColor rgb="FFEAF4FB"/>
      </patternFill>
    </fill>
    <fill>
      <patternFill patternType="solid">
        <fgColor rgb="FFF8FAFC"/>
      </patternFill>
    </fill>
    <fill>
      <patternFill patternType="solid">
        <fgColor rgb="FFEAF4FB"/>
      </patternFill>
    </fill>
    <fill>
      <patternFill patternType="solid">
        <fgColor rgb="FFFFFFFF"/>
      </patternFill>
    </fill>
    <fill>
      <patternFill patternType="solid">
        <fgColor rgb="FFF8FAFC"/>
      </patternFill>
    </fill>
    <fill>
      <patternFill patternType="solid">
        <fgColor rgb="FFFFFFFF"/>
      </patternFill>
    </fill>
    <fill>
      <patternFill patternType="solid">
        <fgColor rgb="FFF8FAFC"/>
      </patternFill>
    </fill>
    <fill>
      <patternFill patternType="solid">
        <fgColor rgb="FF5962F0"/>
      </patternFill>
    </fill>
    <fill>
      <patternFill patternType="solid">
        <fgColor rgb="FF18233E"/>
      </patternFill>
    </fill>
  </fills>
  <borders count="19">
    <border/>
    <border/>
    <border/>
    <border/>
    <border/>
    <border/>
    <border/>
    <border/>
    <border/>
    <border/>
    <border/>
    <border/>
    <border/>
    <border/>
    <border/>
    <border/>
    <border/>
    <border/>
    <border/>
  </borders>
  <cellStyleXfs count="1">
    <xf numFmtId="0" fontId="0" fillId="0" borderId="18"/>
  </cellStyleXfs>
  <cellXfs count="567">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9" fontId="0" fillId="0" borderId="0" pivotButton="0" quotePrefix="0" xfId="0"/>
    <xf numFmtId="9" fontId="0" fillId="0" borderId="1" pivotButton="0" quotePrefix="0" xfId="0"/>
    <xf numFmtId="0" fontId="4" fillId="0" borderId="0" pivotButton="0" quotePrefix="0" xfId="0"/>
    <xf numFmtId="9" fontId="4" fillId="0" borderId="0" pivotButton="0" quotePrefix="0" xfId="0"/>
    <xf numFmtId="0" fontId="4" fillId="0" borderId="0" applyAlignment="1" pivotButton="0" quotePrefix="0" xfId="0">
      <alignment wrapText="1"/>
    </xf>
    <xf numFmtId="9" fontId="4" fillId="0" borderId="0" applyAlignment="1" pivotButton="0" quotePrefix="0" xfId="0">
      <alignment wrapText="1"/>
    </xf>
    <xf numFmtId="0" fontId="4" fillId="0" borderId="0" applyAlignment="1" pivotButton="0" quotePrefix="0" xfId="0">
      <alignment vertical="top" wrapText="1"/>
    </xf>
    <xf numFmtId="9" fontId="4" fillId="0" borderId="0" applyAlignment="1" pivotButton="0" quotePrefix="0" xfId="0">
      <alignment vertical="top" wrapText="1"/>
    </xf>
    <xf numFmtId="0" fontId="4" fillId="0" borderId="1" pivotButton="0" quotePrefix="0" xfId="0"/>
    <xf numFmtId="9" fontId="4" fillId="0" borderId="1" pivotButton="0" quotePrefix="0" xfId="0"/>
    <xf numFmtId="0" fontId="4" fillId="0" borderId="1" applyAlignment="1" pivotButton="0" quotePrefix="0" xfId="0">
      <alignment wrapText="1"/>
    </xf>
    <xf numFmtId="9" fontId="4" fillId="0" borderId="1" applyAlignment="1" pivotButton="0" quotePrefix="0" xfId="0">
      <alignment wrapText="1"/>
    </xf>
    <xf numFmtId="0" fontId="4" fillId="0" borderId="1" applyAlignment="1" pivotButton="0" quotePrefix="0" xfId="0">
      <alignment vertical="top" wrapText="1"/>
    </xf>
    <xf numFmtId="9" fontId="4" fillId="0" borderId="1" applyAlignment="1" pivotButton="0" quotePrefix="0" xfId="0">
      <alignment vertical="top" wrapText="1"/>
    </xf>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5" borderId="0" applyAlignment="1" pivotButton="0" quotePrefix="0" xfId="0">
      <alignment vertical="top" wrapText="1"/>
    </xf>
    <xf numFmtId="9" fontId="0" fillId="5" borderId="0" applyAlignment="1" pivotButton="0" quotePrefix="0" xfId="0">
      <alignment vertical="top" wrapText="1"/>
    </xf>
    <xf numFmtId="9" fontId="0" fillId="0" borderId="0" applyAlignment="1" pivotButton="0" quotePrefix="0" xfId="0">
      <alignment vertical="top" wrapText="1"/>
    </xf>
    <xf numFmtId="0" fontId="0" fillId="6" borderId="0" pivotButton="0" quotePrefix="0" xfId="0"/>
    <xf numFmtId="0" fontId="5" fillId="6" borderId="0" pivotButton="0" quotePrefix="0" xfId="0"/>
    <xf numFmtId="0" fontId="5" fillId="6" borderId="0" applyAlignment="1" pivotButton="0" quotePrefix="0" xfId="0">
      <alignment wrapText="1"/>
    </xf>
    <xf numFmtId="0" fontId="5" fillId="6" borderId="0" applyAlignment="1" pivotButton="0" quotePrefix="0" xfId="0">
      <alignment vertical="center" wrapText="1"/>
    </xf>
    <xf numFmtId="0" fontId="0" fillId="7" borderId="0" pivotButton="0" quotePrefix="0" xfId="0"/>
    <xf numFmtId="0" fontId="3" fillId="7" borderId="0" pivotButton="0" quotePrefix="0" xfId="0"/>
    <xf numFmtId="0" fontId="3" fillId="7" borderId="0" applyAlignment="1" pivotButton="0" quotePrefix="0" xfId="0">
      <alignment wrapText="1"/>
    </xf>
    <xf numFmtId="0" fontId="3" fillId="7" borderId="0" applyAlignment="1" pivotButton="0" quotePrefix="0" xfId="0">
      <alignment horizontal="center" wrapText="1"/>
    </xf>
    <xf numFmtId="0" fontId="3" fillId="7" borderId="0" applyAlignment="1" pivotButton="0" quotePrefix="0" xfId="0">
      <alignment horizontal="center" vertical="center" wrapText="1"/>
    </xf>
    <xf numFmtId="0" fontId="4" fillId="5" borderId="0" applyAlignment="1" pivotButton="0" quotePrefix="0" xfId="0">
      <alignment vertical="top" wrapText="1"/>
    </xf>
    <xf numFmtId="0" fontId="0" fillId="8" borderId="0" pivotButton="0" quotePrefix="0" xfId="0"/>
    <xf numFmtId="0" fontId="6" fillId="8" borderId="0" pivotButton="0" quotePrefix="0" xfId="0"/>
    <xf numFmtId="0" fontId="6" fillId="8" borderId="0" applyAlignment="1" pivotButton="0" quotePrefix="0" xfId="0">
      <alignment vertical="center"/>
    </xf>
    <xf numFmtId="0" fontId="0" fillId="9" borderId="0" pivotButton="0" quotePrefix="0" xfId="0"/>
    <xf numFmtId="0" fontId="7" fillId="9" borderId="0" pivotButton="0" quotePrefix="0" xfId="0"/>
    <xf numFmtId="0" fontId="7" fillId="9" borderId="0" applyAlignment="1" pivotButton="0" quotePrefix="0" xfId="0">
      <alignment wrapText="1"/>
    </xf>
    <xf numFmtId="0" fontId="1" fillId="2" borderId="0" applyAlignment="1" pivotButton="0" quotePrefix="0" xfId="0">
      <alignment horizontal="left" vertical="center" wrapText="1"/>
    </xf>
    <xf numFmtId="0" fontId="8" fillId="0"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8" fillId="10" borderId="0" applyAlignment="1" pivotButton="0" quotePrefix="0" xfId="0">
      <alignment vertical="top" wrapText="1"/>
    </xf>
    <xf numFmtId="0" fontId="0" fillId="11" borderId="0" pivotButton="0" quotePrefix="0" xfId="0"/>
    <xf numFmtId="0" fontId="6" fillId="11" borderId="0" pivotButton="0" quotePrefix="0" xfId="0"/>
    <xf numFmtId="0" fontId="6" fillId="11" borderId="0" applyAlignment="1" pivotButton="0" quotePrefix="0" xfId="0">
      <alignment vertical="center"/>
    </xf>
    <xf numFmtId="0" fontId="0" fillId="12" borderId="0" pivotButton="0" quotePrefix="0" xfId="0"/>
    <xf numFmtId="0" fontId="9" fillId="12" borderId="0" pivotButton="0" quotePrefix="0" xfId="0"/>
    <xf numFmtId="0" fontId="9" fillId="12" borderId="0" applyAlignment="1" pivotButton="0" quotePrefix="0" xfId="0">
      <alignment wrapText="1"/>
    </xf>
    <xf numFmtId="0" fontId="9" fillId="12" borderId="0" applyAlignment="1" pivotButton="0" quotePrefix="0" xfId="0">
      <alignment vertical="center" wrapText="1"/>
    </xf>
    <xf numFmtId="0" fontId="0" fillId="13" borderId="0" pivotButton="0" quotePrefix="0" xfId="0"/>
    <xf numFmtId="0" fontId="3" fillId="13" borderId="0" pivotButton="0" quotePrefix="0" xfId="0"/>
    <xf numFmtId="0" fontId="3" fillId="13" borderId="0" applyAlignment="1" pivotButton="0" quotePrefix="0" xfId="0">
      <alignment wrapText="1"/>
    </xf>
    <xf numFmtId="0" fontId="3" fillId="13" borderId="0" applyAlignment="1" pivotButton="0" quotePrefix="0" xfId="0">
      <alignment horizontal="center" wrapText="1"/>
    </xf>
    <xf numFmtId="0" fontId="3" fillId="13" borderId="0" applyAlignment="1" pivotButton="0" quotePrefix="0" xfId="0">
      <alignment horizontal="center" vertical="center" wrapText="1"/>
    </xf>
    <xf numFmtId="9" fontId="8" fillId="0" borderId="0" applyAlignment="1" pivotButton="0" quotePrefix="0" xfId="0">
      <alignment vertical="top" wrapText="1"/>
    </xf>
    <xf numFmtId="9" fontId="8" fillId="10" borderId="0" applyAlignment="1" pivotButton="0" quotePrefix="0" xfId="0">
      <alignment vertical="top" wrapText="1"/>
    </xf>
    <xf numFmtId="0" fontId="10" fillId="11" borderId="0" pivotButton="0" quotePrefix="0" xfId="0"/>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vertical="top" wrapText="1"/>
    </xf>
    <xf numFmtId="0" fontId="11" fillId="10" borderId="0" applyAlignment="1" pivotButton="0" quotePrefix="0" xfId="0">
      <alignment vertical="top" wrapText="1"/>
    </xf>
    <xf numFmtId="0" fontId="1" fillId="11" borderId="0" applyAlignment="1" pivotButton="0" quotePrefix="0" xfId="0">
      <alignment horizontal="left" vertical="center"/>
    </xf>
    <xf numFmtId="0" fontId="6" fillId="11" borderId="0" applyAlignment="1" pivotButton="0" quotePrefix="0" xfId="0">
      <alignment horizontal="left" vertical="center"/>
    </xf>
    <xf numFmtId="0" fontId="2" fillId="12" borderId="0" applyAlignment="1" pivotButton="0" quotePrefix="0" xfId="0">
      <alignment wrapText="1"/>
    </xf>
    <xf numFmtId="0" fontId="6" fillId="12" borderId="0" applyAlignment="1" pivotButton="0" quotePrefix="0" xfId="0">
      <alignment horizontal="left" vertical="center"/>
    </xf>
    <xf numFmtId="0" fontId="6" fillId="12" borderId="0" applyAlignment="1" pivotButton="0" quotePrefix="0" xfId="0">
      <alignment vertical="center"/>
    </xf>
    <xf numFmtId="0" fontId="12" fillId="12" borderId="0" applyAlignment="1" pivotButton="0" quotePrefix="0" xfId="0">
      <alignment horizontal="left" vertical="center"/>
    </xf>
    <xf numFmtId="0" fontId="12" fillId="12" borderId="0" applyAlignment="1" pivotButton="0" quotePrefix="0" xfId="0">
      <alignment vertical="center"/>
    </xf>
    <xf numFmtId="0" fontId="9" fillId="10" borderId="0" applyAlignment="1" pivotButton="0" quotePrefix="0" xfId="0">
      <alignment vertical="center" wrapText="1"/>
    </xf>
    <xf numFmtId="0" fontId="12" fillId="11" borderId="0" applyAlignment="1" pivotButton="0" quotePrefix="0" xfId="0">
      <alignment horizontal="left" vertical="center"/>
    </xf>
    <xf numFmtId="0" fontId="12" fillId="11" borderId="0" applyAlignment="1" pivotButton="0" quotePrefix="0" xfId="0">
      <alignment vertical="center"/>
    </xf>
    <xf numFmtId="0" fontId="13" fillId="12" borderId="0" applyAlignment="1" pivotButton="0" quotePrefix="0" xfId="0">
      <alignment vertical="center" wrapText="1"/>
    </xf>
    <xf numFmtId="0" fontId="13" fillId="12" borderId="0" applyAlignment="1" pivotButton="0" quotePrefix="0" xfId="0">
      <alignment horizontal="center" vertical="center" wrapText="1"/>
    </xf>
    <xf numFmtId="0" fontId="9" fillId="9" borderId="0" pivotButton="0" quotePrefix="0" xfId="0"/>
    <xf numFmtId="0" fontId="9" fillId="9" borderId="0" applyAlignment="1" pivotButton="0" quotePrefix="0" xfId="0">
      <alignment wrapText="1"/>
    </xf>
    <xf numFmtId="0" fontId="9" fillId="9" borderId="0" applyAlignment="1" pivotButton="0" quotePrefix="0" xfId="0">
      <alignment vertical="center" wrapText="1"/>
    </xf>
    <xf numFmtId="0" fontId="10" fillId="8" borderId="0" pivotButton="0" quotePrefix="0" xfId="0"/>
    <xf numFmtId="0" fontId="1" fillId="8" borderId="0" applyAlignment="1" pivotButton="0" quotePrefix="0" xfId="0">
      <alignment horizontal="left" vertical="center"/>
    </xf>
    <xf numFmtId="0" fontId="6" fillId="8" borderId="0" applyAlignment="1" pivotButton="0" quotePrefix="0" xfId="0">
      <alignment horizontal="left" vertical="center"/>
    </xf>
    <xf numFmtId="0" fontId="2" fillId="9" borderId="0" applyAlignment="1" pivotButton="0" quotePrefix="0" xfId="0">
      <alignment wrapText="1"/>
    </xf>
    <xf numFmtId="0" fontId="6" fillId="9" borderId="0" applyAlignment="1" pivotButton="0" quotePrefix="0" xfId="0">
      <alignment horizontal="left" vertical="center"/>
    </xf>
    <xf numFmtId="0" fontId="6" fillId="9" borderId="0" applyAlignment="1" pivotButton="0" quotePrefix="0" xfId="0">
      <alignment vertical="center"/>
    </xf>
    <xf numFmtId="0" fontId="12" fillId="9" borderId="0" applyAlignment="1" pivotButton="0" quotePrefix="0" xfId="0">
      <alignment horizontal="left" vertical="center"/>
    </xf>
    <xf numFmtId="0" fontId="12" fillId="9" borderId="0" applyAlignment="1" pivotButton="0" quotePrefix="0" xfId="0">
      <alignment vertical="center"/>
    </xf>
    <xf numFmtId="0" fontId="12" fillId="8" borderId="0" applyAlignment="1" pivotButton="0" quotePrefix="0" xfId="0">
      <alignment horizontal="left" vertical="center"/>
    </xf>
    <xf numFmtId="0" fontId="12" fillId="8" borderId="0" applyAlignment="1" pivotButton="0" quotePrefix="0" xfId="0">
      <alignment vertical="center"/>
    </xf>
    <xf numFmtId="0" fontId="13" fillId="9" borderId="0" applyAlignment="1" pivotButton="0" quotePrefix="0" xfId="0">
      <alignment vertical="center" wrapText="1"/>
    </xf>
    <xf numFmtId="0" fontId="13" fillId="9" borderId="0" applyAlignment="1" pivotButton="0" quotePrefix="0" xfId="0">
      <alignment horizontal="center" vertical="center" wrapText="1"/>
    </xf>
    <xf numFmtId="0" fontId="0" fillId="14" borderId="0" pivotButton="0" quotePrefix="0" xfId="0"/>
    <xf numFmtId="0" fontId="6" fillId="14" borderId="0" pivotButton="0" quotePrefix="0" xfId="0"/>
    <xf numFmtId="0" fontId="6" fillId="14" borderId="0" applyAlignment="1" pivotButton="0" quotePrefix="0" xfId="0">
      <alignment horizontal="left"/>
    </xf>
    <xf numFmtId="0" fontId="6" fillId="14" borderId="0" applyAlignment="1" pivotButton="0" quotePrefix="0" xfId="0">
      <alignment horizontal="left" vertical="center"/>
    </xf>
    <xf numFmtId="0" fontId="0" fillId="15" borderId="0" pivotButton="0" quotePrefix="0" xfId="0"/>
    <xf numFmtId="0" fontId="14" fillId="15" borderId="0" pivotButton="0" quotePrefix="0" xfId="0"/>
    <xf numFmtId="0" fontId="14" fillId="15" borderId="0" applyAlignment="1" pivotButton="0" quotePrefix="0" xfId="0">
      <alignment wrapText="1"/>
    </xf>
    <xf numFmtId="0" fontId="0" fillId="16" borderId="0" pivotButton="0" quotePrefix="0" xfId="0"/>
    <xf numFmtId="0" fontId="15" fillId="16" borderId="0" pivotButton="0" quotePrefix="0" xfId="0"/>
    <xf numFmtId="0" fontId="15" fillId="16" borderId="0" applyAlignment="1" pivotButton="0" quotePrefix="0" xfId="0">
      <alignment wrapText="1"/>
    </xf>
    <xf numFmtId="0" fontId="15" fillId="16" borderId="0" applyAlignment="1" pivotButton="0" quotePrefix="0" xfId="0">
      <alignment horizontal="center" wrapText="1"/>
    </xf>
    <xf numFmtId="0" fontId="15" fillId="16" borderId="0" applyAlignment="1" pivotButton="0" quotePrefix="0" xfId="0">
      <alignment horizontal="center" vertical="center" wrapText="1"/>
    </xf>
    <xf numFmtId="0" fontId="16" fillId="0" borderId="0" pivotButton="0" quotePrefix="0" xfId="0"/>
    <xf numFmtId="0" fontId="16" fillId="0" borderId="0" applyAlignment="1" pivotButton="0" quotePrefix="0" xfId="0">
      <alignment wrapText="1"/>
    </xf>
    <xf numFmtId="0" fontId="16" fillId="0" borderId="0" applyAlignment="1" pivotButton="0" quotePrefix="0" xfId="0">
      <alignment vertical="top" wrapText="1"/>
    </xf>
    <xf numFmtId="9" fontId="16" fillId="0" borderId="0" applyAlignment="1" pivotButton="0" quotePrefix="0" xfId="0">
      <alignment vertical="top" wrapText="1"/>
    </xf>
    <xf numFmtId="0" fontId="17" fillId="15" borderId="0" pivotButton="0" quotePrefix="0" xfId="0"/>
    <xf numFmtId="0" fontId="6" fillId="4" borderId="0" pivotButton="0" quotePrefix="0" xfId="0"/>
    <xf numFmtId="0" fontId="6" fillId="4" borderId="0" applyAlignment="1" pivotButton="0" quotePrefix="0" xfId="0">
      <alignment horizontal="left"/>
    </xf>
    <xf numFmtId="0" fontId="6" fillId="4" borderId="0" applyAlignment="1" pivotButton="0" quotePrefix="0" xfId="0">
      <alignment horizontal="left" vertical="center"/>
    </xf>
    <xf numFmtId="0" fontId="6" fillId="17" borderId="0" applyAlignment="1" pivotButton="0" quotePrefix="0" xfId="0">
      <alignment horizontal="left" vertical="center"/>
    </xf>
    <xf numFmtId="0" fontId="6" fillId="17" borderId="0" applyAlignment="1" pivotButton="0" quotePrefix="0" xfId="0">
      <alignment vertical="center"/>
    </xf>
    <xf numFmtId="0" fontId="1" fillId="17" borderId="0" applyAlignment="1" pivotButton="0" quotePrefix="0" xfId="0">
      <alignment horizontal="left" vertical="center"/>
    </xf>
    <xf numFmtId="0" fontId="1" fillId="17" borderId="0" applyAlignment="1" pivotButton="0" quotePrefix="0" xfId="0">
      <alignment vertical="center"/>
    </xf>
    <xf numFmtId="0" fontId="13" fillId="18" borderId="0" applyAlignment="1" pivotButton="0" quotePrefix="0" xfId="0">
      <alignment horizontal="center" vertical="center" wrapText="1"/>
    </xf>
    <xf numFmtId="0" fontId="18"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15" fillId="19" borderId="0" applyAlignment="1" pivotButton="0" quotePrefix="0" xfId="0">
      <alignment horizontal="center" vertical="center" wrapText="1"/>
    </xf>
    <xf numFmtId="0" fontId="15" fillId="19" borderId="2" applyAlignment="1" pivotButton="0" quotePrefix="0" xfId="0">
      <alignment horizontal="center" vertical="center" wrapText="1"/>
    </xf>
    <xf numFmtId="0" fontId="15" fillId="19" borderId="3" applyAlignment="1" pivotButton="0" quotePrefix="0" xfId="0">
      <alignment horizontal="center" vertical="center" wrapText="1"/>
    </xf>
    <xf numFmtId="0" fontId="15" fillId="19" borderId="4" applyAlignment="1" pivotButton="0" quotePrefix="0" xfId="0">
      <alignment horizontal="center" vertical="center" wrapText="1"/>
    </xf>
    <xf numFmtId="0" fontId="11" fillId="0" borderId="5" applyAlignment="1" pivotButton="0" quotePrefix="0" xfId="0">
      <alignment vertical="top" wrapText="1"/>
    </xf>
    <xf numFmtId="0" fontId="11" fillId="0" borderId="6" applyAlignment="1" pivotButton="0" quotePrefix="0" xfId="0">
      <alignment vertical="top" wrapText="1"/>
    </xf>
    <xf numFmtId="0" fontId="11" fillId="0" borderId="7" applyAlignment="1" pivotButton="0" quotePrefix="0" xfId="0">
      <alignment vertical="top" wrapText="1"/>
    </xf>
    <xf numFmtId="0" fontId="11" fillId="0" borderId="8" applyAlignment="1" pivotButton="0" quotePrefix="0" xfId="0">
      <alignment vertical="top" wrapText="1"/>
    </xf>
    <xf numFmtId="0" fontId="11" fillId="0" borderId="0" applyAlignment="1" pivotButton="0" quotePrefix="0" xfId="0">
      <alignment vertical="top" wrapText="1"/>
    </xf>
    <xf numFmtId="0" fontId="11" fillId="0" borderId="9" applyAlignment="1" pivotButton="0" quotePrefix="0" xfId="0">
      <alignment vertical="top" wrapText="1"/>
    </xf>
    <xf numFmtId="0" fontId="11" fillId="0" borderId="10" pivotButton="0" quotePrefix="0" xfId="0"/>
    <xf numFmtId="0" fontId="11" fillId="0" borderId="11" pivotButton="0" quotePrefix="0" xfId="0"/>
    <xf numFmtId="0" fontId="11" fillId="0" borderId="12" pivotButton="0" quotePrefix="0" xfId="0"/>
    <xf numFmtId="0" fontId="11" fillId="0" borderId="10" applyAlignment="1" pivotButton="0" quotePrefix="0" xfId="0">
      <alignment wrapText="1"/>
    </xf>
    <xf numFmtId="0" fontId="11" fillId="0" borderId="11" applyAlignment="1" pivotButton="0" quotePrefix="0" xfId="0">
      <alignment wrapText="1"/>
    </xf>
    <xf numFmtId="0" fontId="11" fillId="0" borderId="12" applyAlignment="1" pivotButton="0" quotePrefix="0" xfId="0">
      <alignment wrapText="1"/>
    </xf>
    <xf numFmtId="0" fontId="11" fillId="0" borderId="10" applyAlignment="1" pivotButton="0" quotePrefix="0" xfId="0">
      <alignment vertical="top" wrapText="1"/>
    </xf>
    <xf numFmtId="0" fontId="11" fillId="0" borderId="11" applyAlignment="1" pivotButton="0" quotePrefix="0" xfId="0">
      <alignment vertical="top" wrapText="1"/>
    </xf>
    <xf numFmtId="0" fontId="11" fillId="0" borderId="12" applyAlignment="1" pivotButton="0" quotePrefix="0" xfId="0">
      <alignment vertical="top" wrapText="1"/>
    </xf>
    <xf numFmtId="0" fontId="11" fillId="20" borderId="0" applyAlignment="1" pivotButton="0" quotePrefix="0" xfId="0">
      <alignment vertical="top" wrapText="1"/>
    </xf>
    <xf numFmtId="0" fontId="19" fillId="20" borderId="0" applyAlignment="1" pivotButton="0" quotePrefix="0" xfId="0">
      <alignment vertical="top" wrapText="1"/>
    </xf>
    <xf numFmtId="0" fontId="15" fillId="20" borderId="0" applyAlignment="1" pivotButton="0" quotePrefix="0" xfId="0">
      <alignment vertical="top" wrapText="1"/>
    </xf>
    <xf numFmtId="0" fontId="15" fillId="20" borderId="2" applyAlignment="1" pivotButton="0" quotePrefix="0" xfId="0">
      <alignment vertical="top" wrapText="1"/>
    </xf>
    <xf numFmtId="0" fontId="15" fillId="20" borderId="3" applyAlignment="1" pivotButton="0" quotePrefix="0" xfId="0">
      <alignment vertical="top" wrapText="1"/>
    </xf>
    <xf numFmtId="0" fontId="15" fillId="20" borderId="4" applyAlignment="1" pivotButton="0" quotePrefix="0" xfId="0">
      <alignment vertical="top" wrapText="1"/>
    </xf>
    <xf numFmtId="0" fontId="15" fillId="20" borderId="2" applyAlignment="1" pivotButton="0" quotePrefix="0" xfId="0">
      <alignment horizontal="center" vertical="top" wrapText="1"/>
    </xf>
    <xf numFmtId="0" fontId="15" fillId="20" borderId="3" applyAlignment="1" pivotButton="0" quotePrefix="0" xfId="0">
      <alignment horizontal="center" vertical="top" wrapText="1"/>
    </xf>
    <xf numFmtId="0" fontId="15" fillId="20" borderId="4" applyAlignment="1" pivotButton="0" quotePrefix="0" xfId="0">
      <alignment horizontal="center" vertical="top" wrapText="1"/>
    </xf>
    <xf numFmtId="0" fontId="15" fillId="20" borderId="2" applyAlignment="1" pivotButton="0" quotePrefix="0" xfId="0">
      <alignment horizontal="center" vertical="center" wrapText="1"/>
    </xf>
    <xf numFmtId="0" fontId="15" fillId="20" borderId="3" applyAlignment="1" pivotButton="0" quotePrefix="0" xfId="0">
      <alignment horizontal="center" vertical="center" wrapText="1"/>
    </xf>
    <xf numFmtId="0" fontId="15" fillId="20" borderId="4" applyAlignment="1" pivotButton="0" quotePrefix="0" xfId="0">
      <alignment horizontal="center" vertical="center" wrapText="1"/>
    </xf>
    <xf numFmtId="0" fontId="20" fillId="15" borderId="0" pivotButton="0" quotePrefix="0" xfId="0"/>
    <xf numFmtId="0" fontId="20" fillId="16" borderId="0" applyAlignment="1" pivotButton="0" quotePrefix="0" xfId="0">
      <alignment horizontal="center" vertical="center" wrapText="1"/>
    </xf>
    <xf numFmtId="0" fontId="11" fillId="10" borderId="5" applyAlignment="1" pivotButton="0" quotePrefix="0" xfId="0">
      <alignment vertical="top" wrapText="1"/>
    </xf>
    <xf numFmtId="0" fontId="11" fillId="10" borderId="6" applyAlignment="1" pivotButton="0" quotePrefix="0" xfId="0">
      <alignment vertical="top" wrapText="1"/>
    </xf>
    <xf numFmtId="0" fontId="11" fillId="10" borderId="7" applyAlignment="1" pivotButton="0" quotePrefix="0" xfId="0">
      <alignment vertical="top" wrapText="1"/>
    </xf>
    <xf numFmtId="0" fontId="11" fillId="10" borderId="8" applyAlignment="1" pivotButton="0" quotePrefix="0" xfId="0">
      <alignment vertical="top" wrapText="1"/>
    </xf>
    <xf numFmtId="0" fontId="11" fillId="10" borderId="0" applyAlignment="1" pivotButton="0" quotePrefix="0" xfId="0">
      <alignment vertical="top" wrapText="1"/>
    </xf>
    <xf numFmtId="0" fontId="11" fillId="10" borderId="9" applyAlignment="1" pivotButton="0" quotePrefix="0" xfId="0">
      <alignment vertical="top" wrapText="1"/>
    </xf>
    <xf numFmtId="0" fontId="11" fillId="0" borderId="8" pivotButton="0" quotePrefix="0" xfId="0"/>
    <xf numFmtId="0" fontId="11" fillId="0" borderId="0" pivotButton="0" quotePrefix="0" xfId="0"/>
    <xf numFmtId="0" fontId="11" fillId="0" borderId="9" pivotButton="0" quotePrefix="0" xfId="0"/>
    <xf numFmtId="0" fontId="20" fillId="15" borderId="8" pivotButton="0" quotePrefix="0" xfId="0"/>
    <xf numFmtId="0" fontId="20" fillId="15" borderId="0" pivotButton="0" quotePrefix="0" xfId="0"/>
    <xf numFmtId="0" fontId="20" fillId="15" borderId="9" pivotButton="0" quotePrefix="0" xfId="0"/>
    <xf numFmtId="0" fontId="20" fillId="16" borderId="8" applyAlignment="1" pivotButton="0" quotePrefix="0" xfId="0">
      <alignment horizontal="center" vertical="center" wrapText="1"/>
    </xf>
    <xf numFmtId="0" fontId="20" fillId="16" borderId="0" applyAlignment="1" pivotButton="0" quotePrefix="0" xfId="0">
      <alignment horizontal="center" vertical="center" wrapText="1"/>
    </xf>
    <xf numFmtId="0" fontId="20" fillId="16" borderId="9" applyAlignment="1" pivotButton="0" quotePrefix="0" xfId="0">
      <alignment horizontal="center" vertical="center" wrapText="1"/>
    </xf>
    <xf numFmtId="0" fontId="11" fillId="0" borderId="8" applyAlignment="1" pivotButton="0" quotePrefix="0" xfId="0">
      <alignment wrapText="1"/>
    </xf>
    <xf numFmtId="0" fontId="11" fillId="0" borderId="0" applyAlignment="1" pivotButton="0" quotePrefix="0" xfId="0">
      <alignment wrapText="1"/>
    </xf>
    <xf numFmtId="0" fontId="11" fillId="0" borderId="9" applyAlignment="1" pivotButton="0" quotePrefix="0" xfId="0">
      <alignment wrapText="1"/>
    </xf>
    <xf numFmtId="0" fontId="20" fillId="15" borderId="8" applyAlignment="1" pivotButton="0" quotePrefix="0" xfId="0">
      <alignment wrapText="1"/>
    </xf>
    <xf numFmtId="0" fontId="20" fillId="15" borderId="0" applyAlignment="1" pivotButton="0" quotePrefix="0" xfId="0">
      <alignment wrapText="1"/>
    </xf>
    <xf numFmtId="0" fontId="20" fillId="15" borderId="9" applyAlignment="1" pivotButton="0" quotePrefix="0" xfId="0">
      <alignment wrapText="1"/>
    </xf>
    <xf numFmtId="0" fontId="20" fillId="15" borderId="8" applyAlignment="1" pivotButton="0" quotePrefix="0" xfId="0">
      <alignment vertical="top" wrapText="1"/>
    </xf>
    <xf numFmtId="0" fontId="20" fillId="15" borderId="0" applyAlignment="1" pivotButton="0" quotePrefix="0" xfId="0">
      <alignment vertical="top" wrapText="1"/>
    </xf>
    <xf numFmtId="0" fontId="20" fillId="15" borderId="9" applyAlignment="1" pivotButton="0" quotePrefix="0" xfId="0">
      <alignment vertical="top" wrapText="1"/>
    </xf>
    <xf numFmtId="0" fontId="20" fillId="16" borderId="8" applyAlignment="1" pivotButton="0" quotePrefix="0" xfId="0">
      <alignment horizontal="center" vertical="top" wrapText="1"/>
    </xf>
    <xf numFmtId="0" fontId="20" fillId="16" borderId="0" applyAlignment="1" pivotButton="0" quotePrefix="0" xfId="0">
      <alignment horizontal="center" vertical="top" wrapText="1"/>
    </xf>
    <xf numFmtId="0" fontId="20" fillId="16" borderId="9" applyAlignment="1" pivotButton="0" quotePrefix="0" xfId="0">
      <alignment horizontal="center" vertical="top" wrapText="1"/>
    </xf>
    <xf numFmtId="0" fontId="1" fillId="17" borderId="0" applyAlignment="1" pivotButton="0" quotePrefix="0" xfId="0">
      <alignment horizontal="left" vertical="center" wrapText="1"/>
    </xf>
    <xf numFmtId="0" fontId="0" fillId="17" borderId="0" applyAlignment="1" pivotButton="0" quotePrefix="0" xfId="0">
      <alignment wrapText="1"/>
    </xf>
    <xf numFmtId="0" fontId="6" fillId="17" borderId="0" applyAlignment="1" pivotButton="0" quotePrefix="0" xfId="0">
      <alignment horizontal="left" vertical="center" wrapText="1"/>
    </xf>
    <xf numFmtId="0" fontId="6" fillId="17" borderId="0" applyAlignment="1" pivotButton="0" quotePrefix="0" xfId="0">
      <alignment wrapText="1"/>
    </xf>
    <xf numFmtId="0" fontId="6" fillId="17" borderId="0" applyAlignment="1" pivotButton="0" quotePrefix="0" xfId="0">
      <alignment horizontal="left" wrapText="1"/>
    </xf>
    <xf numFmtId="0" fontId="2" fillId="21" borderId="0" applyAlignment="1" pivotButton="0" quotePrefix="0" xfId="0">
      <alignment wrapText="1"/>
    </xf>
    <xf numFmtId="0" fontId="0" fillId="21" borderId="0" applyAlignment="1" pivotButton="0" quotePrefix="0" xfId="0">
      <alignment wrapText="1"/>
    </xf>
    <xf numFmtId="0" fontId="13" fillId="21" borderId="0" applyAlignment="1" pivotButton="0" quotePrefix="0" xfId="0">
      <alignment wrapText="1"/>
    </xf>
    <xf numFmtId="0" fontId="21" fillId="21" borderId="0" applyAlignment="1" pivotButton="0" quotePrefix="0" xfId="0">
      <alignment wrapText="1"/>
    </xf>
    <xf numFmtId="0" fontId="13" fillId="21" borderId="0" applyAlignment="1" pivotButton="0" quotePrefix="0" xfId="0">
      <alignment vertical="center" wrapText="1"/>
    </xf>
    <xf numFmtId="0" fontId="21" fillId="21" borderId="0" applyAlignment="1" pivotButton="0" quotePrefix="0" xfId="0">
      <alignment vertical="center" wrapText="1"/>
    </xf>
    <xf numFmtId="0" fontId="4" fillId="19" borderId="0" applyAlignment="1" pivotButton="0" quotePrefix="0" xfId="0">
      <alignment vertical="top" wrapText="1"/>
    </xf>
    <xf numFmtId="0" fontId="15" fillId="19" borderId="0" applyAlignment="1" pivotButton="0" quotePrefix="0" xfId="0">
      <alignment vertical="top" wrapText="1"/>
    </xf>
    <xf numFmtId="0" fontId="15" fillId="19" borderId="2" applyAlignment="1" pivotButton="0" quotePrefix="0" xfId="0">
      <alignment vertical="top" wrapText="1"/>
    </xf>
    <xf numFmtId="0" fontId="15" fillId="19" borderId="3" applyAlignment="1" pivotButton="0" quotePrefix="0" xfId="0">
      <alignment vertical="top" wrapText="1"/>
    </xf>
    <xf numFmtId="0" fontId="15" fillId="19" borderId="4" applyAlignment="1" pivotButton="0" quotePrefix="0" xfId="0">
      <alignment vertical="top" wrapText="1"/>
    </xf>
    <xf numFmtId="0" fontId="15" fillId="19" borderId="2" applyAlignment="1" pivotButton="0" quotePrefix="0" xfId="0">
      <alignment horizontal="center" vertical="top" wrapText="1"/>
    </xf>
    <xf numFmtId="0" fontId="15" fillId="19" borderId="3" applyAlignment="1" pivotButton="0" quotePrefix="0" xfId="0">
      <alignment horizontal="center" vertical="top" wrapText="1"/>
    </xf>
    <xf numFmtId="0" fontId="15" fillId="19" borderId="4" applyAlignment="1" pivotButton="0" quotePrefix="0" xfId="0">
      <alignment horizontal="center" vertical="top" wrapText="1"/>
    </xf>
    <xf numFmtId="0" fontId="11" fillId="5" borderId="0" applyAlignment="1" pivotButton="0" quotePrefix="0" xfId="0">
      <alignment vertical="top" wrapText="1"/>
    </xf>
    <xf numFmtId="0" fontId="11" fillId="5" borderId="8" applyAlignment="1" pivotButton="0" quotePrefix="0" xfId="0">
      <alignment vertical="top" wrapText="1"/>
    </xf>
    <xf numFmtId="0" fontId="11" fillId="5" borderId="0" applyAlignment="1" pivotButton="0" quotePrefix="0" xfId="0">
      <alignment vertical="top" wrapText="1"/>
    </xf>
    <xf numFmtId="0" fontId="11" fillId="5" borderId="9" applyAlignment="1" pivotButton="0" quotePrefix="0" xfId="0">
      <alignment vertical="top" wrapText="1"/>
    </xf>
    <xf numFmtId="0" fontId="11" fillId="22" borderId="8" applyAlignment="1" pivotButton="0" quotePrefix="0" xfId="0">
      <alignment vertical="top" wrapText="1"/>
    </xf>
    <xf numFmtId="0" fontId="11" fillId="22" borderId="0" applyAlignment="1" pivotButton="0" quotePrefix="0" xfId="0">
      <alignment vertical="top" wrapText="1"/>
    </xf>
    <xf numFmtId="0" fontId="11" fillId="22" borderId="9" applyAlignment="1" pivotButton="0" quotePrefix="0" xfId="0">
      <alignment vertical="top" wrapText="1"/>
    </xf>
    <xf numFmtId="0" fontId="0" fillId="17" borderId="0" pivotButton="0" quotePrefix="0" xfId="0"/>
    <xf numFmtId="0" fontId="6" fillId="17" borderId="0" pivotButton="0" quotePrefix="0" xfId="0"/>
    <xf numFmtId="0" fontId="0" fillId="21" borderId="0" pivotButton="0" quotePrefix="0" xfId="0"/>
    <xf numFmtId="0" fontId="21" fillId="21" borderId="0" pivotButton="0" quotePrefix="0" xfId="0"/>
    <xf numFmtId="0" fontId="14" fillId="21" borderId="0" applyAlignment="1" pivotButton="0" quotePrefix="0" xfId="0">
      <alignment wrapText="1"/>
    </xf>
    <xf numFmtId="0" fontId="16" fillId="19" borderId="0" applyAlignment="1" pivotButton="0" quotePrefix="0" xfId="0">
      <alignment vertical="top" wrapText="1"/>
    </xf>
    <xf numFmtId="0" fontId="0" fillId="19" borderId="0" pivotButton="0" quotePrefix="0" xfId="0"/>
    <xf numFmtId="0" fontId="15" fillId="19" borderId="0" pivotButton="0" quotePrefix="0" xfId="0"/>
    <xf numFmtId="0" fontId="15" fillId="19" borderId="4" pivotButton="0" quotePrefix="0" xfId="0"/>
    <xf numFmtId="0" fontId="15" fillId="19" borderId="4" applyAlignment="1" pivotButton="0" quotePrefix="0" xfId="0">
      <alignment wrapText="1"/>
    </xf>
    <xf numFmtId="0" fontId="15" fillId="19" borderId="4" applyAlignment="1" pivotButton="0" quotePrefix="0" xfId="0">
      <alignment horizontal="center" wrapText="1"/>
    </xf>
    <xf numFmtId="0" fontId="11" fillId="0" borderId="7" pivotButton="0" quotePrefix="0" xfId="0"/>
    <xf numFmtId="0" fontId="11" fillId="0" borderId="7" applyAlignment="1" pivotButton="0" quotePrefix="0" xfId="0">
      <alignment wrapText="1"/>
    </xf>
    <xf numFmtId="0" fontId="11" fillId="22" borderId="10" applyAlignment="1" pivotButton="0" quotePrefix="0" xfId="0">
      <alignment vertical="top" wrapText="1"/>
    </xf>
    <xf numFmtId="0" fontId="11" fillId="22" borderId="11" applyAlignment="1" pivotButton="0" quotePrefix="0" xfId="0">
      <alignment vertical="top" wrapText="1"/>
    </xf>
    <xf numFmtId="0" fontId="11" fillId="22" borderId="12" applyAlignment="1" pivotButton="0" quotePrefix="0" xfId="0">
      <alignment vertical="top" wrapText="1"/>
    </xf>
    <xf numFmtId="0" fontId="15" fillId="19" borderId="3" pivotButton="0" quotePrefix="0" xfId="0"/>
    <xf numFmtId="0" fontId="15" fillId="19" borderId="3" applyAlignment="1" pivotButton="0" quotePrefix="0" xfId="0">
      <alignment wrapText="1"/>
    </xf>
    <xf numFmtId="0" fontId="15" fillId="19" borderId="3" applyAlignment="1" pivotButton="0" quotePrefix="0" xfId="0">
      <alignment horizontal="center" wrapText="1"/>
    </xf>
    <xf numFmtId="0" fontId="11" fillId="0" borderId="6" pivotButton="0" quotePrefix="0" xfId="0"/>
    <xf numFmtId="0" fontId="11" fillId="0" borderId="6" applyAlignment="1" pivotButton="0" quotePrefix="0" xfId="0">
      <alignment wrapText="1"/>
    </xf>
    <xf numFmtId="0" fontId="6" fillId="17" borderId="0" applyAlignment="1" pivotButton="0" quotePrefix="0" xfId="0">
      <alignment vertical="center" wrapText="1"/>
    </xf>
    <xf numFmtId="0" fontId="7" fillId="21" borderId="0" applyAlignment="1" pivotButton="0" quotePrefix="0" xfId="0">
      <alignment wrapText="1"/>
    </xf>
    <xf numFmtId="0" fontId="0" fillId="19" borderId="0" applyAlignment="1" pivotButton="0" quotePrefix="0" xfId="0">
      <alignment vertical="top" wrapText="1"/>
    </xf>
    <xf numFmtId="0" fontId="9" fillId="21" borderId="0" applyAlignment="1" pivotButton="0" quotePrefix="0" xfId="0">
      <alignment vertical="center" wrapText="1"/>
    </xf>
    <xf numFmtId="0" fontId="8" fillId="19" borderId="0" applyAlignment="1" pivotButton="0" quotePrefix="0" xfId="0">
      <alignment vertical="top" wrapText="1"/>
    </xf>
    <xf numFmtId="0" fontId="11" fillId="10" borderId="10" applyAlignment="1" pivotButton="0" quotePrefix="0" xfId="0">
      <alignment vertical="top" wrapText="1"/>
    </xf>
    <xf numFmtId="0" fontId="11" fillId="10" borderId="11" applyAlignment="1" pivotButton="0" quotePrefix="0" xfId="0">
      <alignment vertical="top" wrapText="1"/>
    </xf>
    <xf numFmtId="0" fontId="11" fillId="10" borderId="12" applyAlignment="1" pivotButton="0" quotePrefix="0" xfId="0">
      <alignment vertical="top" wrapText="1"/>
    </xf>
    <xf numFmtId="0" fontId="15" fillId="19" borderId="2" pivotButton="0" quotePrefix="0" xfId="0"/>
    <xf numFmtId="0" fontId="15" fillId="19" borderId="2" applyAlignment="1" pivotButton="0" quotePrefix="0" xfId="0">
      <alignment wrapText="1"/>
    </xf>
    <xf numFmtId="0" fontId="15" fillId="19" borderId="2" applyAlignment="1" pivotButton="0" quotePrefix="0" xfId="0">
      <alignment horizontal="center" wrapText="1"/>
    </xf>
    <xf numFmtId="0" fontId="11" fillId="0" borderId="5" pivotButton="0" quotePrefix="0" xfId="0"/>
    <xf numFmtId="0" fontId="11" fillId="0" borderId="5" applyAlignment="1" pivotButton="0" quotePrefix="0" xfId="0">
      <alignment wrapText="1"/>
    </xf>
    <xf numFmtId="9" fontId="4" fillId="19" borderId="0" applyAlignment="1" pivotButton="0" quotePrefix="0" xfId="0">
      <alignment vertical="top" wrapText="1"/>
    </xf>
    <xf numFmtId="9" fontId="15" fillId="19" borderId="0" applyAlignment="1" pivotButton="0" quotePrefix="0" xfId="0">
      <alignment vertical="top" wrapText="1"/>
    </xf>
    <xf numFmtId="9" fontId="15" fillId="19" borderId="3" applyAlignment="1" pivotButton="0" quotePrefix="0" xfId="0">
      <alignment vertical="top" wrapText="1"/>
    </xf>
    <xf numFmtId="9" fontId="15" fillId="19" borderId="3" applyAlignment="1" pivotButton="0" quotePrefix="0" xfId="0">
      <alignment horizontal="center" vertical="top" wrapText="1"/>
    </xf>
    <xf numFmtId="9" fontId="15" fillId="19" borderId="3" applyAlignment="1" pivotButton="0" quotePrefix="0" xfId="0">
      <alignment horizontal="center" vertical="center" wrapText="1"/>
    </xf>
    <xf numFmtId="9" fontId="11" fillId="0" borderId="0" applyAlignment="1" pivotButton="0" quotePrefix="0" xfId="0">
      <alignment vertical="top" wrapText="1"/>
    </xf>
    <xf numFmtId="9" fontId="11" fillId="0" borderId="6" applyAlignment="1" pivotButton="0" quotePrefix="0" xfId="0">
      <alignment vertical="top" wrapText="1"/>
    </xf>
    <xf numFmtId="9" fontId="11" fillId="0" borderId="0" applyAlignment="1" pivotButton="0" quotePrefix="0" xfId="0">
      <alignment vertical="top" wrapText="1"/>
    </xf>
    <xf numFmtId="9" fontId="11" fillId="0" borderId="11" applyAlignment="1" pivotButton="0" quotePrefix="0" xfId="0">
      <alignment vertical="top" wrapText="1"/>
    </xf>
    <xf numFmtId="0" fontId="1" fillId="8" borderId="0" applyAlignment="1" pivotButton="0" quotePrefix="0" xfId="0">
      <alignment vertical="center"/>
    </xf>
    <xf numFmtId="0" fontId="15" fillId="7" borderId="0" applyAlignment="1" pivotButton="0" quotePrefix="0" xfId="0">
      <alignment horizontal="center" vertical="center" wrapText="1"/>
    </xf>
    <xf numFmtId="0" fontId="15" fillId="20" borderId="0" applyAlignment="1" pivotButton="0" quotePrefix="0" xfId="0">
      <alignment horizontal="center" vertical="top" wrapText="1"/>
    </xf>
    <xf numFmtId="0" fontId="15" fillId="20" borderId="0" applyAlignment="1" pivotButton="0" quotePrefix="0" xfId="0">
      <alignment horizontal="center" vertical="center" wrapText="1"/>
    </xf>
    <xf numFmtId="0" fontId="20" fillId="15" borderId="0" applyAlignment="1" pivotButton="0" quotePrefix="0" xfId="0">
      <alignment wrapText="1"/>
    </xf>
    <xf numFmtId="0" fontId="20" fillId="15" borderId="0" applyAlignment="1" pivotButton="0" quotePrefix="0" xfId="0">
      <alignment vertical="top" wrapText="1"/>
    </xf>
    <xf numFmtId="0" fontId="20" fillId="16" borderId="0" applyAlignment="1" pivotButton="0" quotePrefix="0" xfId="0">
      <alignment horizontal="center" vertical="top" wrapText="1"/>
    </xf>
    <xf numFmtId="0" fontId="1" fillId="8" borderId="0" applyAlignment="1" pivotButton="0" quotePrefix="0" xfId="0">
      <alignment horizontal="left" vertical="center" wrapText="1"/>
    </xf>
    <xf numFmtId="0" fontId="0" fillId="8" borderId="0" applyAlignment="1" pivotButton="0" quotePrefix="0" xfId="0">
      <alignment wrapText="1"/>
    </xf>
    <xf numFmtId="0" fontId="6" fillId="8" borderId="0" applyAlignment="1" pivotButton="0" quotePrefix="0" xfId="0">
      <alignment horizontal="left" vertical="center" wrapText="1"/>
    </xf>
    <xf numFmtId="0" fontId="6" fillId="8" borderId="0" applyAlignment="1" pivotButton="0" quotePrefix="0" xfId="0">
      <alignment wrapText="1"/>
    </xf>
    <xf numFmtId="0" fontId="6" fillId="8" borderId="0" applyAlignment="1" pivotButton="0" quotePrefix="0" xfId="0">
      <alignment horizontal="left" wrapText="1"/>
    </xf>
    <xf numFmtId="0" fontId="4" fillId="7" borderId="0" applyAlignment="1" pivotButton="0" quotePrefix="0" xfId="0">
      <alignment vertical="top" wrapText="1"/>
    </xf>
    <xf numFmtId="0" fontId="15" fillId="7" borderId="0" applyAlignment="1" pivotButton="0" quotePrefix="0" xfId="0">
      <alignment vertical="top" wrapText="1"/>
    </xf>
    <xf numFmtId="0" fontId="15" fillId="7" borderId="0" applyAlignment="1" pivotButton="0" quotePrefix="0" xfId="0">
      <alignment horizontal="center" vertical="top" wrapText="1"/>
    </xf>
    <xf numFmtId="0" fontId="11" fillId="22" borderId="0" applyAlignment="1" pivotButton="0" quotePrefix="0" xfId="0">
      <alignment vertical="top" wrapText="1"/>
    </xf>
    <xf numFmtId="0" fontId="16" fillId="7" borderId="0" applyAlignment="1" pivotButton="0" quotePrefix="0" xfId="0">
      <alignment vertical="top" wrapText="1"/>
    </xf>
    <xf numFmtId="0" fontId="15" fillId="7" borderId="0" pivotButton="0" quotePrefix="0" xfId="0"/>
    <xf numFmtId="0" fontId="15" fillId="7" borderId="0" applyAlignment="1" pivotButton="0" quotePrefix="0" xfId="0">
      <alignment wrapText="1"/>
    </xf>
    <xf numFmtId="0" fontId="15" fillId="7" borderId="0" applyAlignment="1" pivotButton="0" quotePrefix="0" xfId="0">
      <alignment horizontal="center" wrapText="1"/>
    </xf>
    <xf numFmtId="0" fontId="6" fillId="8" borderId="0" applyAlignment="1" pivotButton="0" quotePrefix="0" xfId="0">
      <alignment vertical="center" wrapText="1"/>
    </xf>
    <xf numFmtId="0" fontId="0" fillId="7" borderId="0" applyAlignment="1" pivotButton="0" quotePrefix="0" xfId="0">
      <alignment vertical="top" wrapText="1"/>
    </xf>
    <xf numFmtId="0" fontId="8" fillId="7" borderId="0" applyAlignment="1" pivotButton="0" quotePrefix="0" xfId="0">
      <alignment vertical="top" wrapText="1"/>
    </xf>
    <xf numFmtId="9" fontId="4" fillId="7" borderId="0" applyAlignment="1" pivotButton="0" quotePrefix="0" xfId="0">
      <alignment vertical="top" wrapText="1"/>
    </xf>
    <xf numFmtId="9" fontId="15" fillId="7" borderId="0" applyAlignment="1" pivotButton="0" quotePrefix="0" xfId="0">
      <alignment vertical="top" wrapText="1"/>
    </xf>
    <xf numFmtId="9" fontId="15" fillId="7" borderId="0" applyAlignment="1" pivotButton="0" quotePrefix="0" xfId="0">
      <alignment horizontal="center" vertical="top" wrapText="1"/>
    </xf>
    <xf numFmtId="9" fontId="15" fillId="7" borderId="0" applyAlignment="1" pivotButton="0" quotePrefix="0" xfId="0">
      <alignment horizontal="center" vertical="center" wrapText="1"/>
    </xf>
    <xf numFmtId="0" fontId="10" fillId="23" borderId="0" pivotButton="0" quotePrefix="0" xfId="0"/>
    <xf numFmtId="0" fontId="21" fillId="23" borderId="0" pivotButton="0" quotePrefix="0" xfId="0"/>
    <xf numFmtId="0" fontId="21" fillId="23" borderId="0" applyAlignment="1" pivotButton="0" quotePrefix="0" xfId="0">
      <alignment vertical="center"/>
    </xf>
    <xf numFmtId="0" fontId="11" fillId="24" borderId="5" applyAlignment="1" pivotButton="0" quotePrefix="0" xfId="0">
      <alignment vertical="top" wrapText="1"/>
    </xf>
    <xf numFmtId="0" fontId="11" fillId="24" borderId="6" applyAlignment="1" pivotButton="0" quotePrefix="0" xfId="0">
      <alignment vertical="top" wrapText="1"/>
    </xf>
    <xf numFmtId="0" fontId="11" fillId="24" borderId="7" applyAlignment="1" pivotButton="0" quotePrefix="0" xfId="0">
      <alignment vertical="top" wrapText="1"/>
    </xf>
    <xf numFmtId="0" fontId="11" fillId="24" borderId="13" applyAlignment="1" pivotButton="0" quotePrefix="0" xfId="0">
      <alignment vertical="top" wrapText="1"/>
    </xf>
    <xf numFmtId="0" fontId="11" fillId="24" borderId="14" applyAlignment="1" pivotButton="0" quotePrefix="0" xfId="0">
      <alignment vertical="top" wrapText="1"/>
    </xf>
    <xf numFmtId="0" fontId="11" fillId="24" borderId="15" applyAlignment="1" pivotButton="0" quotePrefix="0" xfId="0">
      <alignment vertical="top" wrapText="1"/>
    </xf>
    <xf numFmtId="0" fontId="11" fillId="24" borderId="0" applyAlignment="1" pivotButton="0" quotePrefix="0" xfId="0">
      <alignment vertical="top" wrapText="1"/>
    </xf>
    <xf numFmtId="0" fontId="11" fillId="25" borderId="8" applyAlignment="1" pivotButton="0" quotePrefix="0" xfId="0">
      <alignment vertical="top" wrapText="1"/>
    </xf>
    <xf numFmtId="0" fontId="11" fillId="25" borderId="0" applyAlignment="1" pivotButton="0" quotePrefix="0" xfId="0">
      <alignment vertical="top" wrapText="1"/>
    </xf>
    <xf numFmtId="0" fontId="11" fillId="25" borderId="9" applyAlignment="1" pivotButton="0" quotePrefix="0" xfId="0">
      <alignment vertical="top" wrapText="1"/>
    </xf>
    <xf numFmtId="0" fontId="11" fillId="25" borderId="13" applyAlignment="1" pivotButton="0" quotePrefix="0" xfId="0">
      <alignment vertical="top" wrapText="1"/>
    </xf>
    <xf numFmtId="0" fontId="11" fillId="25" borderId="14" applyAlignment="1" pivotButton="0" quotePrefix="0" xfId="0">
      <alignment vertical="top" wrapText="1"/>
    </xf>
    <xf numFmtId="0" fontId="11" fillId="25" borderId="15" applyAlignment="1" pivotButton="0" quotePrefix="0" xfId="0">
      <alignment vertical="top" wrapText="1"/>
    </xf>
    <xf numFmtId="0" fontId="11" fillId="25" borderId="0" applyAlignment="1" pivotButton="0" quotePrefix="0" xfId="0">
      <alignment vertical="top" wrapText="1"/>
    </xf>
    <xf numFmtId="0" fontId="11" fillId="24" borderId="8" applyAlignment="1" pivotButton="0" quotePrefix="0" xfId="0">
      <alignment vertical="top" wrapText="1"/>
    </xf>
    <xf numFmtId="0" fontId="11" fillId="24" borderId="0" applyAlignment="1" pivotButton="0" quotePrefix="0" xfId="0">
      <alignment vertical="top" wrapText="1"/>
    </xf>
    <xf numFmtId="0" fontId="11" fillId="24" borderId="9" applyAlignment="1" pivotButton="0" quotePrefix="0" xfId="0">
      <alignment vertical="top" wrapText="1"/>
    </xf>
    <xf numFmtId="0" fontId="20" fillId="25" borderId="8" applyAlignment="1" pivotButton="0" quotePrefix="0" xfId="0">
      <alignment vertical="top" wrapText="1"/>
    </xf>
    <xf numFmtId="0" fontId="20" fillId="25" borderId="0" applyAlignment="1" pivotButton="0" quotePrefix="0" xfId="0">
      <alignment vertical="top" wrapText="1"/>
    </xf>
    <xf numFmtId="0" fontId="20" fillId="25" borderId="9" applyAlignment="1" pivotButton="0" quotePrefix="0" xfId="0">
      <alignment vertical="top" wrapText="1"/>
    </xf>
    <xf numFmtId="0" fontId="20" fillId="25" borderId="13" applyAlignment="1" pivotButton="0" quotePrefix="0" xfId="0">
      <alignment vertical="top" wrapText="1"/>
    </xf>
    <xf numFmtId="0" fontId="20" fillId="25" borderId="14" applyAlignment="1" pivotButton="0" quotePrefix="0" xfId="0">
      <alignment vertical="top" wrapText="1"/>
    </xf>
    <xf numFmtId="0" fontId="20" fillId="25" borderId="15" applyAlignment="1" pivotButton="0" quotePrefix="0" xfId="0">
      <alignment vertical="top" wrapText="1"/>
    </xf>
    <xf numFmtId="0" fontId="20" fillId="25" borderId="0" applyAlignment="1" pivotButton="0" quotePrefix="0" xfId="0">
      <alignment vertical="top" wrapText="1"/>
    </xf>
    <xf numFmtId="0" fontId="20" fillId="24" borderId="8" applyAlignment="1" pivotButton="0" quotePrefix="0" xfId="0">
      <alignment horizontal="center" vertical="top" wrapText="1"/>
    </xf>
    <xf numFmtId="0" fontId="20" fillId="24" borderId="0" applyAlignment="1" pivotButton="0" quotePrefix="0" xfId="0">
      <alignment horizontal="center" vertical="top" wrapText="1"/>
    </xf>
    <xf numFmtId="0" fontId="20" fillId="24" borderId="9" applyAlignment="1" pivotButton="0" quotePrefix="0" xfId="0">
      <alignment horizontal="center" vertical="top" wrapText="1"/>
    </xf>
    <xf numFmtId="0" fontId="20" fillId="24" borderId="13" applyAlignment="1" pivotButton="0" quotePrefix="0" xfId="0">
      <alignment horizontal="center" vertical="top" wrapText="1"/>
    </xf>
    <xf numFmtId="0" fontId="20" fillId="24" borderId="14" applyAlignment="1" pivotButton="0" quotePrefix="0" xfId="0">
      <alignment horizontal="center" vertical="top" wrapText="1"/>
    </xf>
    <xf numFmtId="0" fontId="20" fillId="24" borderId="15" applyAlignment="1" pivotButton="0" quotePrefix="0" xfId="0">
      <alignment horizontal="center" vertical="top" wrapText="1"/>
    </xf>
    <xf numFmtId="0" fontId="20" fillId="24" borderId="0" applyAlignment="1" pivotButton="0" quotePrefix="0" xfId="0">
      <alignment horizontal="center" vertical="top" wrapText="1"/>
    </xf>
    <xf numFmtId="0" fontId="11" fillId="25" borderId="10" applyAlignment="1" pivotButton="0" quotePrefix="0" xfId="0">
      <alignment vertical="top" wrapText="1"/>
    </xf>
    <xf numFmtId="0" fontId="11" fillId="25" borderId="11" applyAlignment="1" pivotButton="0" quotePrefix="0" xfId="0">
      <alignment vertical="top" wrapText="1"/>
    </xf>
    <xf numFmtId="0" fontId="11" fillId="25" borderId="12" applyAlignment="1" pivotButton="0" quotePrefix="0" xfId="0">
      <alignment vertical="top" wrapText="1"/>
    </xf>
    <xf numFmtId="0" fontId="10" fillId="21" borderId="0" pivotButton="0" quotePrefix="0" xfId="0"/>
    <xf numFmtId="0" fontId="21" fillId="21" borderId="0" applyAlignment="1" pivotButton="0" quotePrefix="0" xfId="0">
      <alignment vertical="center"/>
    </xf>
    <xf numFmtId="0" fontId="20" fillId="22" borderId="0" applyAlignment="1" pivotButton="0" quotePrefix="0" xfId="0">
      <alignment vertical="top" wrapText="1"/>
    </xf>
    <xf numFmtId="0" fontId="20" fillId="22" borderId="0" applyAlignment="1" pivotButton="0" quotePrefix="0" xfId="0">
      <alignment vertical="top" wrapText="1"/>
    </xf>
    <xf numFmtId="0" fontId="11" fillId="26" borderId="13" applyAlignment="1" pivotButton="0" quotePrefix="0" xfId="0">
      <alignment vertical="top" wrapText="1"/>
    </xf>
    <xf numFmtId="0" fontId="11" fillId="26" borderId="14" applyAlignment="1" pivotButton="0" quotePrefix="0" xfId="0">
      <alignment vertical="top" wrapText="1"/>
    </xf>
    <xf numFmtId="0" fontId="11" fillId="26" borderId="15" applyAlignment="1" pivotButton="0" quotePrefix="0" xfId="0">
      <alignment vertical="top" wrapText="1"/>
    </xf>
    <xf numFmtId="0" fontId="22" fillId="26" borderId="13" applyAlignment="1" pivotButton="0" quotePrefix="0" xfId="0">
      <alignment vertical="top" wrapText="1"/>
    </xf>
    <xf numFmtId="0" fontId="22" fillId="26" borderId="14" applyAlignment="1" pivotButton="0" quotePrefix="0" xfId="0">
      <alignment vertical="top" wrapText="1"/>
    </xf>
    <xf numFmtId="0" fontId="22" fillId="26" borderId="15" applyAlignment="1" pivotButton="0" quotePrefix="0" xfId="0">
      <alignment vertical="top" wrapText="1"/>
    </xf>
    <xf numFmtId="0" fontId="22" fillId="26" borderId="16" applyAlignment="1" pivotButton="0" quotePrefix="0" xfId="0">
      <alignment vertical="top" wrapText="1"/>
    </xf>
    <xf numFmtId="0" fontId="22" fillId="26" borderId="17" applyAlignment="1" pivotButton="0" quotePrefix="0" xfId="0">
      <alignment vertical="top" wrapText="1"/>
    </xf>
    <xf numFmtId="0" fontId="22" fillId="26" borderId="18" applyAlignment="1" pivotButton="0" quotePrefix="0" xfId="0">
      <alignment vertical="top" wrapText="1"/>
    </xf>
    <xf numFmtId="0" fontId="11" fillId="26" borderId="0" applyAlignment="1" pivotButton="0" quotePrefix="0" xfId="0">
      <alignment vertical="top" wrapText="1"/>
    </xf>
    <xf numFmtId="0" fontId="22" fillId="26" borderId="0" applyAlignment="1" pivotButton="0" quotePrefix="0" xfId="0">
      <alignment vertical="top" wrapText="1"/>
    </xf>
    <xf numFmtId="0" fontId="11" fillId="27" borderId="13" applyAlignment="1" pivotButton="0" quotePrefix="0" xfId="0">
      <alignment vertical="top" wrapText="1"/>
    </xf>
    <xf numFmtId="0" fontId="11" fillId="27" borderId="14" applyAlignment="1" pivotButton="0" quotePrefix="0" xfId="0">
      <alignment vertical="top" wrapText="1"/>
    </xf>
    <xf numFmtId="0" fontId="11" fillId="27" borderId="15" applyAlignment="1" pivotButton="0" quotePrefix="0" xfId="0">
      <alignment vertical="top" wrapText="1"/>
    </xf>
    <xf numFmtId="0" fontId="22" fillId="27" borderId="13" applyAlignment="1" pivotButton="0" quotePrefix="0" xfId="0">
      <alignment vertical="top" wrapText="1"/>
    </xf>
    <xf numFmtId="0" fontId="22" fillId="27" borderId="14" applyAlignment="1" pivotButton="0" quotePrefix="0" xfId="0">
      <alignment vertical="top" wrapText="1"/>
    </xf>
    <xf numFmtId="0" fontId="22" fillId="27" borderId="15" applyAlignment="1" pivotButton="0" quotePrefix="0" xfId="0">
      <alignment vertical="top" wrapText="1"/>
    </xf>
    <xf numFmtId="0" fontId="22" fillId="27" borderId="16" applyAlignment="1" pivotButton="0" quotePrefix="0" xfId="0">
      <alignment vertical="top" wrapText="1"/>
    </xf>
    <xf numFmtId="0" fontId="22" fillId="27" borderId="17" applyAlignment="1" pivotButton="0" quotePrefix="0" xfId="0">
      <alignment vertical="top" wrapText="1"/>
    </xf>
    <xf numFmtId="0" fontId="22" fillId="27" borderId="18" applyAlignment="1" pivotButton="0" quotePrefix="0" xfId="0">
      <alignment vertical="top" wrapText="1"/>
    </xf>
    <xf numFmtId="0" fontId="11" fillId="27" borderId="0" applyAlignment="1" pivotButton="0" quotePrefix="0" xfId="0">
      <alignment vertical="top" wrapText="1"/>
    </xf>
    <xf numFmtId="0" fontId="22" fillId="27" borderId="0" applyAlignment="1" pivotButton="0" quotePrefix="0" xfId="0">
      <alignment vertical="top" wrapText="1"/>
    </xf>
    <xf numFmtId="0" fontId="20" fillId="27" borderId="13" applyAlignment="1" pivotButton="0" quotePrefix="0" xfId="0">
      <alignment vertical="top" wrapText="1"/>
    </xf>
    <xf numFmtId="0" fontId="20" fillId="27" borderId="14" applyAlignment="1" pivotButton="0" quotePrefix="0" xfId="0">
      <alignment vertical="top" wrapText="1"/>
    </xf>
    <xf numFmtId="0" fontId="20" fillId="27" borderId="15" applyAlignment="1" pivotButton="0" quotePrefix="0" xfId="0">
      <alignment vertical="top" wrapText="1"/>
    </xf>
    <xf numFmtId="0" fontId="20" fillId="27" borderId="0" applyAlignment="1" pivotButton="0" quotePrefix="0" xfId="0">
      <alignment vertical="top" wrapText="1"/>
    </xf>
    <xf numFmtId="0" fontId="20" fillId="26" borderId="13" applyAlignment="1" pivotButton="0" quotePrefix="0" xfId="0">
      <alignment horizontal="center" vertical="top" wrapText="1"/>
    </xf>
    <xf numFmtId="0" fontId="20" fillId="26" borderId="14" applyAlignment="1" pivotButton="0" quotePrefix="0" xfId="0">
      <alignment horizontal="center" vertical="top" wrapText="1"/>
    </xf>
    <xf numFmtId="0" fontId="20" fillId="26" borderId="15" applyAlignment="1" pivotButton="0" quotePrefix="0" xfId="0">
      <alignment horizontal="center" vertical="top" wrapText="1"/>
    </xf>
    <xf numFmtId="0" fontId="22" fillId="26" borderId="13" applyAlignment="1" pivotButton="0" quotePrefix="0" xfId="0">
      <alignment horizontal="center" vertical="top" wrapText="1"/>
    </xf>
    <xf numFmtId="0" fontId="22" fillId="26" borderId="14" applyAlignment="1" pivotButton="0" quotePrefix="0" xfId="0">
      <alignment horizontal="center" vertical="top" wrapText="1"/>
    </xf>
    <xf numFmtId="0" fontId="22" fillId="26" borderId="15" applyAlignment="1" pivotButton="0" quotePrefix="0" xfId="0">
      <alignment horizontal="center" vertical="top" wrapText="1"/>
    </xf>
    <xf numFmtId="0" fontId="22" fillId="26" borderId="16" applyAlignment="1" pivotButton="0" quotePrefix="0" xfId="0">
      <alignment horizontal="center" vertical="top" wrapText="1"/>
    </xf>
    <xf numFmtId="0" fontId="22" fillId="26" borderId="17" applyAlignment="1" pivotButton="0" quotePrefix="0" xfId="0">
      <alignment horizontal="center" vertical="top" wrapText="1"/>
    </xf>
    <xf numFmtId="0" fontId="22" fillId="26" borderId="18" applyAlignment="1" pivotButton="0" quotePrefix="0" xfId="0">
      <alignment horizontal="center" vertical="top" wrapText="1"/>
    </xf>
    <xf numFmtId="0" fontId="20" fillId="26" borderId="0" applyAlignment="1" pivotButton="0" quotePrefix="0" xfId="0">
      <alignment horizontal="center" vertical="top" wrapText="1"/>
    </xf>
    <xf numFmtId="0" fontId="22" fillId="26" borderId="0" applyAlignment="1" pivotButton="0" quotePrefix="0" xfId="0">
      <alignment horizontal="center" vertical="top" wrapText="1"/>
    </xf>
    <xf numFmtId="0" fontId="1" fillId="17" borderId="15" applyAlignment="1" pivotButton="0" quotePrefix="0" xfId="0">
      <alignment horizontal="left" vertical="center"/>
    </xf>
    <xf numFmtId="0" fontId="0" fillId="0" borderId="15" pivotButton="0" quotePrefix="0" xfId="0"/>
    <xf numFmtId="9" fontId="4" fillId="0" borderId="0" applyAlignment="1" pivotButton="0" quotePrefix="0" xfId="0">
      <alignment vertical="top" wrapText="1"/>
    </xf>
    <xf numFmtId="0" fontId="5" fillId="6" borderId="15" applyAlignment="1" pivotButton="0" quotePrefix="0" xfId="0">
      <alignment vertical="center" wrapText="1"/>
    </xf>
    <xf numFmtId="0" fontId="21" fillId="23" borderId="15" applyAlignment="1" pivotButton="0" quotePrefix="0" xfId="0">
      <alignment vertical="center"/>
    </xf>
    <xf numFmtId="0" fontId="19" fillId="20" borderId="15" applyAlignment="1" pivotButton="0" quotePrefix="0" xfId="0">
      <alignment vertical="top" wrapText="1"/>
    </xf>
    <xf numFmtId="0" fontId="6" fillId="17" borderId="15" applyAlignment="1" pivotButton="0" quotePrefix="0" xfId="0">
      <alignment horizontal="left" vertical="center" wrapText="1"/>
    </xf>
    <xf numFmtId="0" fontId="13" fillId="21" borderId="15" applyAlignment="1" pivotButton="0" quotePrefix="0" xfId="0">
      <alignment vertical="center" wrapText="1"/>
    </xf>
    <xf numFmtId="9" fontId="15" fillId="19" borderId="3" applyAlignment="1" pivotButton="0" quotePrefix="0" xfId="0">
      <alignment horizontal="center" vertical="center" wrapText="1"/>
    </xf>
    <xf numFmtId="9" fontId="11" fillId="0" borderId="6" applyAlignment="1" pivotButton="0" quotePrefix="0" xfId="0">
      <alignment vertical="top" wrapText="1"/>
    </xf>
    <xf numFmtId="9" fontId="11" fillId="0" borderId="0" applyAlignment="1" pivotButton="0" quotePrefix="0" xfId="0">
      <alignment vertical="top" wrapText="1"/>
    </xf>
    <xf numFmtId="9" fontId="11" fillId="0" borderId="11" applyAlignment="1" pivotButton="0" quotePrefix="0" xfId="0">
      <alignment vertical="top" wrapText="1"/>
    </xf>
    <xf numFmtId="9" fontId="0" fillId="5" borderId="0" applyAlignment="1" pivotButton="0" quotePrefix="0" xfId="0">
      <alignment vertical="top" wrapText="1"/>
    </xf>
    <xf numFmtId="9" fontId="0" fillId="0" borderId="0" applyAlignment="1" pivotButton="0" quotePrefix="0" xfId="0">
      <alignment vertical="top" wrapText="1"/>
    </xf>
    <xf numFmtId="9" fontId="8" fillId="10" borderId="0" applyAlignment="1" pivotButton="0" quotePrefix="0" xfId="0">
      <alignment vertical="top" wrapText="1"/>
    </xf>
    <xf numFmtId="9" fontId="8" fillId="0" borderId="0" applyAlignment="1" pivotButton="0" quotePrefix="0" xfId="0">
      <alignment vertical="top" wrapText="1"/>
    </xf>
    <xf numFmtId="9" fontId="16" fillId="0" borderId="0" applyAlignment="1" pivotButton="0" quotePrefix="0" xfId="0">
      <alignment vertical="top" wrapText="1"/>
    </xf>
    <xf numFmtId="0" fontId="1" fillId="2" borderId="15" applyAlignment="1" pivotButton="0" quotePrefix="0" xfId="0">
      <alignment horizontal="left" vertical="center" wrapText="1"/>
    </xf>
    <xf numFmtId="0" fontId="2" fillId="3" borderId="15" applyAlignment="1" pivotButton="0" quotePrefix="0" xfId="0">
      <alignment wrapText="1"/>
    </xf>
    <xf numFmtId="0" fontId="1" fillId="2" borderId="15" applyAlignment="1" pivotButton="0" quotePrefix="0" xfId="0">
      <alignment horizontal="left" vertical="center"/>
    </xf>
    <xf numFmtId="0" fontId="6" fillId="8" borderId="15" applyAlignment="1" pivotButton="0" quotePrefix="0" xfId="0">
      <alignment vertical="center"/>
    </xf>
    <xf numFmtId="0" fontId="7" fillId="9" borderId="15" applyAlignment="1" pivotButton="0" quotePrefix="0" xfId="0">
      <alignment wrapText="1"/>
    </xf>
    <xf numFmtId="0" fontId="6" fillId="11" borderId="15" applyAlignment="1" pivotButton="0" quotePrefix="0" xfId="0">
      <alignment vertical="center"/>
    </xf>
    <xf numFmtId="0" fontId="9" fillId="12" borderId="15" applyAlignment="1" pivotButton="0" quotePrefix="0" xfId="0">
      <alignment vertical="center" wrapText="1"/>
    </xf>
    <xf numFmtId="0" fontId="6" fillId="14" borderId="15" applyAlignment="1" pivotButton="0" quotePrefix="0" xfId="0">
      <alignment horizontal="left" vertical="center"/>
    </xf>
    <xf numFmtId="0" fontId="14" fillId="15" borderId="15" applyAlignment="1" pivotButton="0" quotePrefix="0" xfId="0">
      <alignment wrapText="1"/>
    </xf>
    <xf numFmtId="0" fontId="21" fillId="21" borderId="15" applyAlignment="1" pivotButton="0" quotePrefix="0" xfId="0">
      <alignment vertical="center"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9" fontId="0" fillId="0" borderId="0" pivotButton="0" quotePrefix="0" xfId="0"/>
    <xf numFmtId="0" fontId="4" fillId="0" borderId="0" pivotButton="0" quotePrefix="0" xfId="0"/>
    <xf numFmtId="9" fontId="4" fillId="0" borderId="0" pivotButton="0" quotePrefix="0" xfId="0"/>
    <xf numFmtId="0" fontId="4" fillId="0" borderId="0" applyAlignment="1" pivotButton="0" quotePrefix="0" xfId="0">
      <alignment wrapText="1"/>
    </xf>
    <xf numFmtId="9" fontId="4" fillId="0" borderId="0" applyAlignment="1" pivotButton="0" quotePrefix="0" xfId="0">
      <alignment wrapText="1"/>
    </xf>
    <xf numFmtId="0" fontId="4" fillId="0" borderId="0" applyAlignment="1" pivotButton="0" quotePrefix="0" xfId="0">
      <alignment vertical="top" wrapText="1"/>
    </xf>
    <xf numFmtId="9" fontId="4" fillId="0"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5" borderId="0" applyAlignment="1" pivotButton="0" quotePrefix="0" xfId="0">
      <alignment vertical="top" wrapText="1"/>
    </xf>
    <xf numFmtId="9" fontId="0" fillId="5" borderId="0" applyAlignment="1" pivotButton="0" quotePrefix="0" xfId="0">
      <alignment vertical="top" wrapText="1"/>
    </xf>
    <xf numFmtId="9" fontId="0" fillId="0" borderId="0" applyAlignment="1" pivotButton="0" quotePrefix="0" xfId="0">
      <alignment vertical="top" wrapText="1"/>
    </xf>
    <xf numFmtId="0" fontId="0" fillId="6" borderId="0" pivotButton="0" quotePrefix="0" xfId="0"/>
    <xf numFmtId="0" fontId="5" fillId="6" borderId="0" pivotButton="0" quotePrefix="0" xfId="0"/>
    <xf numFmtId="0" fontId="5" fillId="6" borderId="0" applyAlignment="1" pivotButton="0" quotePrefix="0" xfId="0">
      <alignment wrapText="1"/>
    </xf>
    <xf numFmtId="0" fontId="5" fillId="6" borderId="0" applyAlignment="1" pivotButton="0" quotePrefix="0" xfId="0">
      <alignment vertical="center" wrapText="1"/>
    </xf>
    <xf numFmtId="0" fontId="0" fillId="7" borderId="0" pivotButton="0" quotePrefix="0" xfId="0"/>
    <xf numFmtId="0" fontId="3" fillId="7" borderId="0" pivotButton="0" quotePrefix="0" xfId="0"/>
    <xf numFmtId="0" fontId="3" fillId="7" borderId="0" applyAlignment="1" pivotButton="0" quotePrefix="0" xfId="0">
      <alignment wrapText="1"/>
    </xf>
    <xf numFmtId="0" fontId="3" fillId="7" borderId="0" applyAlignment="1" pivotButton="0" quotePrefix="0" xfId="0">
      <alignment horizontal="center" wrapText="1"/>
    </xf>
    <xf numFmtId="0" fontId="3" fillId="7" borderId="0" applyAlignment="1" pivotButton="0" quotePrefix="0" xfId="0">
      <alignment horizontal="center" vertical="center" wrapText="1"/>
    </xf>
    <xf numFmtId="0" fontId="4" fillId="5" borderId="0" applyAlignment="1" pivotButton="0" quotePrefix="0" xfId="0">
      <alignment vertical="top" wrapText="1"/>
    </xf>
    <xf numFmtId="0" fontId="0" fillId="8" borderId="0" pivotButton="0" quotePrefix="0" xfId="0"/>
    <xf numFmtId="0" fontId="6" fillId="8" borderId="0" pivotButton="0" quotePrefix="0" xfId="0"/>
    <xf numFmtId="0" fontId="6" fillId="8" borderId="0" applyAlignment="1" pivotButton="0" quotePrefix="0" xfId="0">
      <alignment vertical="center"/>
    </xf>
    <xf numFmtId="0" fontId="0" fillId="9" borderId="0" pivotButton="0" quotePrefix="0" xfId="0"/>
    <xf numFmtId="0" fontId="7" fillId="9" borderId="0" pivotButton="0" quotePrefix="0" xfId="0"/>
    <xf numFmtId="0" fontId="7" fillId="9" borderId="0" applyAlignment="1" pivotButton="0" quotePrefix="0" xfId="0">
      <alignment wrapText="1"/>
    </xf>
    <xf numFmtId="0" fontId="1" fillId="2" borderId="0" applyAlignment="1" pivotButton="0" quotePrefix="0" xfId="0">
      <alignment horizontal="left" vertical="center" wrapText="1"/>
    </xf>
    <xf numFmtId="0" fontId="8" fillId="0"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8" fillId="10" borderId="0" applyAlignment="1" pivotButton="0" quotePrefix="0" xfId="0">
      <alignment vertical="top" wrapText="1"/>
    </xf>
    <xf numFmtId="0" fontId="9" fillId="9" borderId="0" pivotButton="0" quotePrefix="0" xfId="0"/>
    <xf numFmtId="0" fontId="9" fillId="9" borderId="0" applyAlignment="1" pivotButton="0" quotePrefix="0" xfId="0">
      <alignment wrapText="1"/>
    </xf>
    <xf numFmtId="0" fontId="9" fillId="9" borderId="0" applyAlignment="1" pivotButton="0" quotePrefix="0" xfId="0">
      <alignment vertical="center" wrapText="1"/>
    </xf>
    <xf numFmtId="9" fontId="8" fillId="0" borderId="0" applyAlignment="1" pivotButton="0" quotePrefix="0" xfId="0">
      <alignment vertical="top" wrapText="1"/>
    </xf>
    <xf numFmtId="9" fontId="8" fillId="10" borderId="0" applyAlignment="1" pivotButton="0" quotePrefix="0" xfId="0">
      <alignment vertical="top" wrapText="1"/>
    </xf>
    <xf numFmtId="0" fontId="10" fillId="8" borderId="0" pivotButton="0" quotePrefix="0" xfId="0"/>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vertical="top" wrapText="1"/>
    </xf>
    <xf numFmtId="0" fontId="11" fillId="10" borderId="0" applyAlignment="1" pivotButton="0" quotePrefix="0" xfId="0">
      <alignment vertical="top" wrapText="1"/>
    </xf>
    <xf numFmtId="0" fontId="1" fillId="8" borderId="0" applyAlignment="1" pivotButton="0" quotePrefix="0" xfId="0">
      <alignment horizontal="left" vertical="center"/>
    </xf>
    <xf numFmtId="0" fontId="6" fillId="8" borderId="0" applyAlignment="1" pivotButton="0" quotePrefix="0" xfId="0">
      <alignment horizontal="left" vertical="center"/>
    </xf>
    <xf numFmtId="0" fontId="2" fillId="9" borderId="0" applyAlignment="1" pivotButton="0" quotePrefix="0" xfId="0">
      <alignment wrapText="1"/>
    </xf>
    <xf numFmtId="0" fontId="6" fillId="9" borderId="0" applyAlignment="1" pivotButton="0" quotePrefix="0" xfId="0">
      <alignment horizontal="left" vertical="center"/>
    </xf>
    <xf numFmtId="0" fontId="6" fillId="9" borderId="0" applyAlignment="1" pivotButton="0" quotePrefix="0" xfId="0">
      <alignment vertical="center"/>
    </xf>
    <xf numFmtId="0" fontId="12" fillId="9" borderId="0" applyAlignment="1" pivotButton="0" quotePrefix="0" xfId="0">
      <alignment horizontal="left" vertical="center"/>
    </xf>
    <xf numFmtId="0" fontId="12" fillId="9" borderId="0" applyAlignment="1" pivotButton="0" quotePrefix="0" xfId="0">
      <alignment vertical="center"/>
    </xf>
    <xf numFmtId="0" fontId="9" fillId="10" borderId="0" applyAlignment="1" pivotButton="0" quotePrefix="0" xfId="0">
      <alignment vertical="center" wrapText="1"/>
    </xf>
    <xf numFmtId="0" fontId="12" fillId="8" borderId="0" applyAlignment="1" pivotButton="0" quotePrefix="0" xfId="0">
      <alignment horizontal="left" vertical="center"/>
    </xf>
    <xf numFmtId="0" fontId="12" fillId="8" borderId="0" applyAlignment="1" pivotButton="0" quotePrefix="0" xfId="0">
      <alignment vertical="center"/>
    </xf>
    <xf numFmtId="0" fontId="13" fillId="9" borderId="0" applyAlignment="1" pivotButton="0" quotePrefix="0" xfId="0">
      <alignment vertical="center" wrapText="1"/>
    </xf>
    <xf numFmtId="0" fontId="13" fillId="9" borderId="0" applyAlignment="1" pivotButton="0" quotePrefix="0" xfId="0">
      <alignment horizontal="center" vertical="center" wrapText="1"/>
    </xf>
    <xf numFmtId="0" fontId="6" fillId="4" borderId="0" pivotButton="0" quotePrefix="0" xfId="0"/>
    <xf numFmtId="0" fontId="6" fillId="4" borderId="0" applyAlignment="1" pivotButton="0" quotePrefix="0" xfId="0">
      <alignment horizontal="left"/>
    </xf>
    <xf numFmtId="0" fontId="6" fillId="4" borderId="0" applyAlignment="1" pivotButton="0" quotePrefix="0" xfId="0">
      <alignment horizontal="left" vertical="center"/>
    </xf>
    <xf numFmtId="0" fontId="0" fillId="15" borderId="0" pivotButton="0" quotePrefix="0" xfId="0"/>
    <xf numFmtId="0" fontId="14" fillId="15" borderId="0" pivotButton="0" quotePrefix="0" xfId="0"/>
    <xf numFmtId="0" fontId="14" fillId="15" borderId="0" applyAlignment="1" pivotButton="0" quotePrefix="0" xfId="0">
      <alignment wrapText="1"/>
    </xf>
    <xf numFmtId="0" fontId="0" fillId="16" borderId="0" pivotButton="0" quotePrefix="0" xfId="0"/>
    <xf numFmtId="0" fontId="15" fillId="16" borderId="0" pivotButton="0" quotePrefix="0" xfId="0"/>
    <xf numFmtId="0" fontId="15" fillId="16" borderId="0" applyAlignment="1" pivotButton="0" quotePrefix="0" xfId="0">
      <alignment wrapText="1"/>
    </xf>
    <xf numFmtId="0" fontId="15" fillId="16" borderId="0" applyAlignment="1" pivotButton="0" quotePrefix="0" xfId="0">
      <alignment horizontal="center" wrapText="1"/>
    </xf>
    <xf numFmtId="0" fontId="15" fillId="16" borderId="0" applyAlignment="1" pivotButton="0" quotePrefix="0" xfId="0">
      <alignment horizontal="center" vertical="center" wrapText="1"/>
    </xf>
    <xf numFmtId="0" fontId="16" fillId="0" borderId="0" pivotButton="0" quotePrefix="0" xfId="0"/>
    <xf numFmtId="0" fontId="16" fillId="0" borderId="0" applyAlignment="1" pivotButton="0" quotePrefix="0" xfId="0">
      <alignment wrapText="1"/>
    </xf>
    <xf numFmtId="0" fontId="16" fillId="0" borderId="0" applyAlignment="1" pivotButton="0" quotePrefix="0" xfId="0">
      <alignment vertical="top" wrapText="1"/>
    </xf>
    <xf numFmtId="9" fontId="16" fillId="0" borderId="0" applyAlignment="1" pivotButton="0" quotePrefix="0" xfId="0">
      <alignment vertical="top" wrapText="1"/>
    </xf>
    <xf numFmtId="0" fontId="17" fillId="15" borderId="0" pivotButton="0" quotePrefix="0" xfId="0"/>
    <xf numFmtId="0" fontId="1" fillId="8" borderId="0" applyAlignment="1" pivotButton="0" quotePrefix="0" xfId="0">
      <alignment vertical="center"/>
    </xf>
    <xf numFmtId="0" fontId="13" fillId="18" borderId="0" applyAlignment="1" pivotButton="0" quotePrefix="0" xfId="0">
      <alignment horizontal="center" vertical="center" wrapText="1"/>
    </xf>
    <xf numFmtId="0" fontId="18" fillId="18" borderId="0" applyAlignment="1" pivotButton="0" quotePrefix="0" xfId="0">
      <alignment horizontal="center" vertical="center" wrapText="1"/>
    </xf>
    <xf numFmtId="0" fontId="15" fillId="7" borderId="0" applyAlignment="1" pivotButton="0" quotePrefix="0" xfId="0">
      <alignment horizontal="center" vertical="center" wrapText="1"/>
    </xf>
    <xf numFmtId="0" fontId="11" fillId="20" borderId="0" applyAlignment="1" pivotButton="0" quotePrefix="0" xfId="0">
      <alignment vertical="top" wrapText="1"/>
    </xf>
    <xf numFmtId="0" fontId="19" fillId="20" borderId="0" applyAlignment="1" pivotButton="0" quotePrefix="0" xfId="0">
      <alignment vertical="top" wrapText="1"/>
    </xf>
    <xf numFmtId="0" fontId="15" fillId="20" borderId="0" applyAlignment="1" pivotButton="0" quotePrefix="0" xfId="0">
      <alignment vertical="top" wrapText="1"/>
    </xf>
    <xf numFmtId="0" fontId="15" fillId="20" borderId="0" applyAlignment="1" pivotButton="0" quotePrefix="0" xfId="0">
      <alignment horizontal="center" vertical="top" wrapText="1"/>
    </xf>
    <xf numFmtId="0" fontId="15" fillId="20" borderId="0" applyAlignment="1" pivotButton="0" quotePrefix="0" xfId="0">
      <alignment horizontal="center" vertical="center" wrapText="1"/>
    </xf>
    <xf numFmtId="0" fontId="20" fillId="15" borderId="0" pivotButton="0" quotePrefix="0" xfId="0"/>
    <xf numFmtId="0" fontId="20" fillId="16" borderId="0" applyAlignment="1" pivotButton="0" quotePrefix="0" xfId="0">
      <alignment horizontal="center" vertical="center" wrapText="1"/>
    </xf>
    <xf numFmtId="0" fontId="20" fillId="15" borderId="0" applyAlignment="1" pivotButton="0" quotePrefix="0" xfId="0">
      <alignment wrapText="1"/>
    </xf>
    <xf numFmtId="0" fontId="20" fillId="15" borderId="0" applyAlignment="1" pivotButton="0" quotePrefix="0" xfId="0">
      <alignment vertical="top" wrapText="1"/>
    </xf>
    <xf numFmtId="0" fontId="20" fillId="16" borderId="0" applyAlignment="1" pivotButton="0" quotePrefix="0" xfId="0">
      <alignment horizontal="center" vertical="top" wrapText="1"/>
    </xf>
    <xf numFmtId="0" fontId="1" fillId="8" borderId="0" applyAlignment="1" pivotButton="0" quotePrefix="0" xfId="0">
      <alignment horizontal="left" vertical="center" wrapText="1"/>
    </xf>
    <xf numFmtId="0" fontId="0" fillId="8" borderId="0" applyAlignment="1" pivotButton="0" quotePrefix="0" xfId="0">
      <alignment wrapText="1"/>
    </xf>
    <xf numFmtId="0" fontId="6" fillId="8" borderId="0" applyAlignment="1" pivotButton="0" quotePrefix="0" xfId="0">
      <alignment horizontal="left" vertical="center" wrapText="1"/>
    </xf>
    <xf numFmtId="0" fontId="6" fillId="8" borderId="0" applyAlignment="1" pivotButton="0" quotePrefix="0" xfId="0">
      <alignment wrapText="1"/>
    </xf>
    <xf numFmtId="0" fontId="6" fillId="8" borderId="0" applyAlignment="1" pivotButton="0" quotePrefix="0" xfId="0">
      <alignment horizontal="left" wrapText="1"/>
    </xf>
    <xf numFmtId="0" fontId="2" fillId="21" borderId="0" applyAlignment="1" pivotButton="0" quotePrefix="0" xfId="0">
      <alignment wrapText="1"/>
    </xf>
    <xf numFmtId="0" fontId="0" fillId="21" borderId="0" applyAlignment="1" pivotButton="0" quotePrefix="0" xfId="0">
      <alignment wrapText="1"/>
    </xf>
    <xf numFmtId="0" fontId="13" fillId="21" borderId="0" applyAlignment="1" pivotButton="0" quotePrefix="0" xfId="0">
      <alignment wrapText="1"/>
    </xf>
    <xf numFmtId="0" fontId="21" fillId="21" borderId="0" applyAlignment="1" pivotButton="0" quotePrefix="0" xfId="0">
      <alignment wrapText="1"/>
    </xf>
    <xf numFmtId="0" fontId="13" fillId="21" borderId="0" applyAlignment="1" pivotButton="0" quotePrefix="0" xfId="0">
      <alignment vertical="center" wrapText="1"/>
    </xf>
    <xf numFmtId="0" fontId="21" fillId="21" borderId="0" applyAlignment="1" pivotButton="0" quotePrefix="0" xfId="0">
      <alignment vertical="center" wrapText="1"/>
    </xf>
    <xf numFmtId="0" fontId="4" fillId="7" borderId="0" applyAlignment="1" pivotButton="0" quotePrefix="0" xfId="0">
      <alignment vertical="top" wrapText="1"/>
    </xf>
    <xf numFmtId="0" fontId="15" fillId="7" borderId="0" applyAlignment="1" pivotButton="0" quotePrefix="0" xfId="0">
      <alignment vertical="top" wrapText="1"/>
    </xf>
    <xf numFmtId="0" fontId="15" fillId="7" borderId="0" applyAlignment="1" pivotButton="0" quotePrefix="0" xfId="0">
      <alignment horizontal="center" vertical="top" wrapText="1"/>
    </xf>
    <xf numFmtId="0" fontId="11" fillId="5" borderId="0" applyAlignment="1" pivotButton="0" quotePrefix="0" xfId="0">
      <alignment vertical="top" wrapText="1"/>
    </xf>
    <xf numFmtId="0" fontId="11" fillId="22" borderId="0" applyAlignment="1" pivotButton="0" quotePrefix="0" xfId="0">
      <alignment vertical="top" wrapText="1"/>
    </xf>
    <xf numFmtId="0" fontId="0" fillId="21" borderId="0" pivotButton="0" quotePrefix="0" xfId="0"/>
    <xf numFmtId="0" fontId="21" fillId="21" borderId="0" pivotButton="0" quotePrefix="0" xfId="0"/>
    <xf numFmtId="0" fontId="14" fillId="21" borderId="0" applyAlignment="1" pivotButton="0" quotePrefix="0" xfId="0">
      <alignment wrapText="1"/>
    </xf>
    <xf numFmtId="0" fontId="16" fillId="7" borderId="0" applyAlignment="1" pivotButton="0" quotePrefix="0" xfId="0">
      <alignment vertical="top" wrapText="1"/>
    </xf>
    <xf numFmtId="0" fontId="15" fillId="7" borderId="0" pivotButton="0" quotePrefix="0" xfId="0"/>
    <xf numFmtId="0" fontId="15" fillId="7" borderId="0" applyAlignment="1" pivotButton="0" quotePrefix="0" xfId="0">
      <alignment wrapText="1"/>
    </xf>
    <xf numFmtId="0" fontId="15" fillId="7" borderId="0" applyAlignment="1" pivotButton="0" quotePrefix="0" xfId="0">
      <alignment horizontal="center" wrapText="1"/>
    </xf>
    <xf numFmtId="0" fontId="6" fillId="8" borderId="0" applyAlignment="1" pivotButton="0" quotePrefix="0" xfId="0">
      <alignment vertical="center" wrapText="1"/>
    </xf>
    <xf numFmtId="0" fontId="7" fillId="21" borderId="0" applyAlignment="1" pivotButton="0" quotePrefix="0" xfId="0">
      <alignment wrapText="1"/>
    </xf>
    <xf numFmtId="0" fontId="0" fillId="7" borderId="0" applyAlignment="1" pivotButton="0" quotePrefix="0" xfId="0">
      <alignment vertical="top" wrapText="1"/>
    </xf>
    <xf numFmtId="0" fontId="9" fillId="21" borderId="0" applyAlignment="1" pivotButton="0" quotePrefix="0" xfId="0">
      <alignment vertical="center" wrapText="1"/>
    </xf>
    <xf numFmtId="0" fontId="8" fillId="7" borderId="0" applyAlignment="1" pivotButton="0" quotePrefix="0" xfId="0">
      <alignment vertical="top" wrapText="1"/>
    </xf>
    <xf numFmtId="9" fontId="4" fillId="7" borderId="0" applyAlignment="1" pivotButton="0" quotePrefix="0" xfId="0">
      <alignment vertical="top" wrapText="1"/>
    </xf>
    <xf numFmtId="9" fontId="15" fillId="7" borderId="0" applyAlignment="1" pivotButton="0" quotePrefix="0" xfId="0">
      <alignment vertical="top" wrapText="1"/>
    </xf>
    <xf numFmtId="9" fontId="15" fillId="7" borderId="0" applyAlignment="1" pivotButton="0" quotePrefix="0" xfId="0">
      <alignment horizontal="center" vertical="top" wrapText="1"/>
    </xf>
    <xf numFmtId="9" fontId="15" fillId="7" borderId="0" applyAlignment="1" pivotButton="0" quotePrefix="0" xfId="0">
      <alignment horizontal="center" vertical="center" wrapText="1"/>
    </xf>
    <xf numFmtId="9" fontId="11" fillId="0" borderId="0" applyAlignment="1" pivotButton="0" quotePrefix="0" xfId="0">
      <alignment vertical="top" wrapText="1"/>
    </xf>
    <xf numFmtId="0" fontId="10" fillId="21" borderId="0" pivotButton="0" quotePrefix="0" xfId="0"/>
    <xf numFmtId="0" fontId="21" fillId="21" borderId="0" applyAlignment="1" pivotButton="0" quotePrefix="0" xfId="0">
      <alignment vertical="center"/>
    </xf>
    <xf numFmtId="0" fontId="11" fillId="24" borderId="0" applyAlignment="1" pivotButton="0" quotePrefix="0" xfId="0">
      <alignment vertical="top" wrapText="1"/>
    </xf>
    <xf numFmtId="0" fontId="20" fillId="22" borderId="0" applyAlignment="1" pivotButton="0" quotePrefix="0" xfId="0">
      <alignment vertical="top" wrapText="1"/>
    </xf>
    <xf numFmtId="0" fontId="20" fillId="24" borderId="0" applyAlignment="1" pivotButton="0" quotePrefix="0" xfId="0">
      <alignment horizontal="center" vertical="top" wrapText="1"/>
    </xf>
    <xf numFmtId="0" fontId="11" fillId="24" borderId="0" applyAlignment="1" pivotButton="0" quotePrefix="0" xfId="0">
      <alignment horizontal="center" vertical="top" wrapText="1"/>
    </xf>
    <xf numFmtId="0" fontId="0" fillId="28" borderId="0" pivotButton="0" quotePrefix="0" xfId="0"/>
    <xf numFmtId="0" fontId="6" fillId="28" borderId="0" pivotButton="0" quotePrefix="0" xfId="0"/>
    <xf numFmtId="0" fontId="6" fillId="28" borderId="0" applyAlignment="1" pivotButton="0" quotePrefix="0" xfId="0">
      <alignment vertical="center"/>
    </xf>
    <xf numFmtId="0" fontId="0" fillId="29" borderId="0" pivotButton="0" quotePrefix="0" xfId="0"/>
    <xf numFmtId="0" fontId="3" fillId="29" borderId="0" pivotButton="0" quotePrefix="0" xfId="0"/>
    <xf numFmtId="0" fontId="3" fillId="29" borderId="0" applyAlignment="1" pivotButton="0" quotePrefix="0" xfId="0">
      <alignment horizontal="center"/>
    </xf>
    <xf numFmtId="0" fontId="3" fillId="29" borderId="0" applyAlignment="1" pivotButton="0" quotePrefix="0" xfId="0">
      <alignment horizontal="center" vertical="center"/>
    </xf>
    <xf numFmtId="0" fontId="3" fillId="29" borderId="0" applyAlignment="1" pivotButton="0" quotePrefix="0" xfId="0">
      <alignment horizontal="center" vertical="center" wrapText="1"/>
    </xf>
    <xf numFmtId="0" fontId="1" fillId="17" borderId="18" applyAlignment="1" pivotButton="0" quotePrefix="0" xfId="0">
      <alignment horizontal="left" vertical="center"/>
    </xf>
    <xf numFmtId="0" fontId="0" fillId="0" borderId="18" pivotButton="0" quotePrefix="0" xfId="0"/>
    <xf numFmtId="0" fontId="5" fillId="6" borderId="18" applyAlignment="1" pivotButton="0" quotePrefix="0" xfId="0">
      <alignment vertical="center" wrapText="1"/>
    </xf>
    <xf numFmtId="0" fontId="21" fillId="23" borderId="18" applyAlignment="1" pivotButton="0" quotePrefix="0" xfId="0">
      <alignment vertical="center"/>
    </xf>
    <xf numFmtId="0" fontId="19" fillId="20" borderId="18" applyAlignment="1" pivotButton="0" quotePrefix="0" xfId="0">
      <alignment vertical="top" wrapText="1"/>
    </xf>
    <xf numFmtId="0" fontId="6" fillId="28" borderId="18" applyAlignment="1" pivotButton="0" quotePrefix="0" xfId="0">
      <alignment vertical="center"/>
    </xf>
    <xf numFmtId="0" fontId="6" fillId="17" borderId="18" applyAlignment="1" pivotButton="0" quotePrefix="0" xfId="0">
      <alignment horizontal="left" vertical="center" wrapText="1"/>
    </xf>
    <xf numFmtId="0" fontId="13" fillId="21" borderId="18" applyAlignment="1" pivotButton="0" quotePrefix="0" xfId="0">
      <alignment vertical="center" wrapText="1"/>
    </xf>
    <xf numFmtId="0" fontId="4" fillId="0" borderId="18" applyAlignment="1" pivotButton="0" quotePrefix="0" xfId="0">
      <alignment vertical="top" wrapText="1"/>
    </xf>
    <xf numFmtId="9" fontId="4" fillId="0" borderId="18" applyAlignment="1" pivotButton="0" quotePrefix="0" xfId="0">
      <alignment vertical="top" wrapText="1"/>
    </xf>
    <xf numFmtId="0" fontId="1" fillId="2" borderId="18" applyAlignment="1" pivotButton="0" quotePrefix="0" xfId="0">
      <alignment horizontal="left" vertical="center" wrapText="1"/>
    </xf>
    <xf numFmtId="0" fontId="2" fillId="3" borderId="18" applyAlignment="1" pivotButton="0" quotePrefix="0" xfId="0">
      <alignment wrapText="1"/>
    </xf>
    <xf numFmtId="0" fontId="1" fillId="2" borderId="18" applyAlignment="1" pivotButton="0" quotePrefix="0" xfId="0">
      <alignment horizontal="left" vertical="center"/>
    </xf>
    <xf numFmtId="0" fontId="6" fillId="8" borderId="18" applyAlignment="1" pivotButton="0" quotePrefix="0" xfId="0">
      <alignment vertical="center"/>
    </xf>
    <xf numFmtId="0" fontId="7" fillId="9" borderId="18" applyAlignment="1" pivotButton="0" quotePrefix="0" xfId="0">
      <alignment wrapText="1"/>
    </xf>
    <xf numFmtId="0" fontId="6" fillId="11" borderId="18" applyAlignment="1" pivotButton="0" quotePrefix="0" xfId="0">
      <alignment vertical="center"/>
    </xf>
    <xf numFmtId="0" fontId="9" fillId="12" borderId="18" applyAlignment="1" pivotButton="0" quotePrefix="0" xfId="0">
      <alignment vertical="center" wrapText="1"/>
    </xf>
    <xf numFmtId="0" fontId="6" fillId="14" borderId="18" applyAlignment="1" pivotButton="0" quotePrefix="0" xfId="0">
      <alignment horizontal="left" vertical="center"/>
    </xf>
    <xf numFmtId="0" fontId="14" fillId="15" borderId="18" applyAlignment="1" pivotButton="0" quotePrefix="0" xfId="0">
      <alignment wrapText="1"/>
    </xf>
    <xf numFmtId="0" fontId="21" fillId="21" borderId="18" applyAlignment="1" pivotButton="0" quotePrefix="0" xfId="0">
      <alignment vertical="center" wrapText="1"/>
    </xf>
    <xf numFmtId="0" fontId="0" fillId="0" borderId="18" applyAlignment="1" pivotButton="0" quotePrefix="0" xfId="0">
      <alignment wrapText="1"/>
    </xf>
  </cellXfs>
  <cellStyles count="1">
    <cellStyle name="Normal" xfId="0"/>
  </cellStyles>
  <dxfs count="68">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bgColor rgb="FFDCFCE7"/>
        </patternFill>
      </fill>
    </dxf>
    <dxf>
      <fill>
        <patternFill>
          <bgColor rgb="FFEAF2F8"/>
        </patternFill>
      </fill>
    </dxf>
    <dxf>
      <fill>
        <patternFill>
          <bgColor rgb="FFFEE2E2"/>
        </patternFill>
      </fill>
    </dxf>
    <dxf>
      <fill>
        <patternFill>
          <bgColor rgb="FFF3F4F6"/>
        </patternFill>
      </fill>
    </dxf>
    <dxf>
      <fill>
        <patternFill patternType="solid">
          <bgColor rgb="FFDCFCE7"/>
        </patternFill>
      </fill>
    </dxf>
    <dxf>
      <fill>
        <patternFill patternType="solid">
          <bgColor rgb="FFEAF2F8"/>
        </patternFill>
      </fill>
    </dxf>
    <dxf>
      <fill>
        <patternFill patternType="solid">
          <bgColor rgb="FFFEE2E2"/>
        </patternFill>
      </fill>
    </dxf>
    <dxf>
      <fill>
        <patternFill patternType="solid">
          <bgColor rgb="FFF3F4F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styles" Target="styles.xml" Id="rId63"/><Relationship Type="http://schemas.openxmlformats.org/officeDocument/2006/relationships/theme" Target="theme/theme1.xml" Id="rId6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Roadmap Items by Phase</a:t>
            </a:r>
          </a:p>
        </rich>
      </tx>
    </title>
    <plotArea>
      <barChart>
        <barDir val="col"/>
        <grouping val="clustered"/>
        <varyColors val="0"/>
        <ser>
          <idx val="0"/>
          <order val="0"/>
          <tx>
            <v>Total Items</v>
          </tx>
          <spPr>
            <a:ln xmlns:a="http://schemas.openxmlformats.org/drawingml/2006/main">
              <a:prstDash val="solid"/>
            </a:ln>
          </spPr>
          <cat>
            <strRef>
              <f>'Dashboard'!$A$5:$A$8</f>
              <strCache>
                <ptCount val="0"/>
              </strCache>
            </strRef>
          </cat>
          <val>
            <numRef>
              <f>'Dashboard'!$B$5:$B$8</f>
              <numCache>
                <formatCode>General</formatCode>
                <ptCount val="0"/>
              </numCache>
            </numRef>
          </val>
        </ser>
        <ser>
          <idx val="1"/>
          <order val="1"/>
          <tx>
            <v>Done</v>
          </tx>
          <spPr>
            <a:ln xmlns:a="http://schemas.openxmlformats.org/drawingml/2006/main">
              <a:prstDash val="solid"/>
            </a:ln>
          </spPr>
          <cat>
            <strRef>
              <f>'Dashboard'!$A$5:$A$8</f>
              <strCache>
                <ptCount val="0"/>
              </strCache>
            </strRef>
          </cat>
          <val>
            <numRef>
              <f>'Dashboard'!$C$5:$C$8</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10</row>
      <rowOff>0</rowOff>
    </from>
    <to>
      <col>10</col>
      <colOff>0</colOff>
      <row>26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RoadmapTable" displayName="RoadmapTable" ref="A4:M366" headerRowCount="1" totalsRowCount="0" totalsRowShown="0">
  <tableColumns count="13">
    <tableColumn id="1" name="Phase"/>
    <tableColumn id="2" name="Primary Outcome"/>
    <tableColumn id="3" name="Mobile"/>
    <tableColumn id="4" name="Web/Admin"/>
    <tableColumn id="5" name="Backend/DB"/>
    <tableColumn id="6" name="Context/Memory"/>
    <tableColumn id="7" name="Runtime/Preview"/>
    <tableColumn id="8" name="Workflow/Agents"/>
    <tableColumn id="9" name="Git/Delivery"/>
    <tableColumn id="10" name="Security"/>
    <tableColumn id="11" name="Cost Focus"/>
    <tableColumn id="12" name="Enterprise"/>
    <tableColumn id="13" name="G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7" customWidth="1" style="401" min="1" max="1"/>
    <col width="20" customWidth="1" style="401" min="2" max="2"/>
    <col width="16" customWidth="1" style="401" min="3" max="3"/>
    <col width="18" customWidth="1" style="401" min="4" max="4"/>
    <col width="24" customWidth="1" style="401" min="5" max="5"/>
    <col width="25" customWidth="1" style="401" min="6" max="6"/>
    <col width="34" customWidth="1" style="401" min="7" max="7"/>
  </cols>
  <sheetData>
    <row r="1" ht="30" customHeight="1" s="401">
      <c r="A1" s="546" t="inlineStr">
        <is>
          <t>OmniStackAI - Execution Dashboard</t>
        </is>
      </c>
      <c r="B1" s="547" t="n"/>
      <c r="C1" s="547" t="n"/>
      <c r="D1" s="547" t="n"/>
      <c r="E1" s="547" t="n"/>
      <c r="F1" s="547" t="n"/>
      <c r="G1" s="547" t="n"/>
    </row>
    <row r="2" ht="24" customHeight="1" s="401">
      <c r="A2" s="487" t="inlineStr">
        <is>
          <t>V6</t>
        </is>
      </c>
      <c r="B2" s="487" t="inlineStr">
        <is>
          <t>Cost-aware verification</t>
        </is>
      </c>
      <c r="C2" s="487" t="inlineStr">
        <is>
          <t>Project memory</t>
        </is>
      </c>
      <c r="D2" s="487" t="inlineStr">
        <is>
          <t>Temporal</t>
        </is>
      </c>
      <c r="E2" s="487" t="inlineStr">
        <is>
          <t>PostgreSQL</t>
        </is>
      </c>
      <c r="F2" s="487" t="inlineStr">
        <is>
          <t>Client ownership</t>
        </is>
      </c>
      <c r="G2" s="487" t="inlineStr">
        <is>
          <t>Production delivery</t>
        </is>
      </c>
    </row>
    <row r="4" ht="28" customHeight="1" s="401">
      <c r="A4" s="413" t="inlineStr">
        <is>
          <t>Phase</t>
        </is>
      </c>
      <c r="B4" s="413" t="inlineStr">
        <is>
          <t>Total Items</t>
        </is>
      </c>
      <c r="C4" s="413" t="inlineStr">
        <is>
          <t>Done</t>
        </is>
      </c>
      <c r="D4" s="413" t="inlineStr">
        <is>
          <t>Completion %</t>
        </is>
      </c>
      <c r="F4" s="413" t="inlineStr">
        <is>
          <t>Status</t>
        </is>
      </c>
      <c r="G4" s="413" t="inlineStr">
        <is>
          <t>Count</t>
        </is>
      </c>
    </row>
    <row r="5">
      <c r="A5" s="419" t="inlineStr">
        <is>
          <t>MVP</t>
        </is>
      </c>
      <c r="B5" s="419">
        <f>COUNTIF(Phase_Roadmap!:,"MVP")</f>
        <v/>
      </c>
      <c r="C5" s="419">
        <f>COUNTIFS(Phase_Roadmap!:,"MVP",Phase_Roadmap!:,"Done")</f>
        <v/>
      </c>
      <c r="D5" s="420">
        <f>IF(B5=0,0,C5/B5)</f>
        <v/>
      </c>
      <c r="F5" s="419" t="inlineStr">
        <is>
          <t>Not Started</t>
        </is>
      </c>
      <c r="G5" s="419">
        <f>COUNTIF(Phase_Roadmap!:,F5)</f>
        <v/>
      </c>
    </row>
    <row r="6">
      <c r="A6" s="419" t="inlineStr">
        <is>
          <t>MID</t>
        </is>
      </c>
      <c r="B6" s="419">
        <f>COUNTIF(Phase_Roadmap!:,"MID")</f>
        <v/>
      </c>
      <c r="C6" s="419">
        <f>COUNTIFS(Phase_Roadmap!:,"MID",Phase_Roadmap!:,"Done")</f>
        <v/>
      </c>
      <c r="D6" s="420">
        <f>IF(B6=0,0,C6/B6)</f>
        <v/>
      </c>
      <c r="F6" s="419" t="inlineStr">
        <is>
          <t>In Progress</t>
        </is>
      </c>
      <c r="G6" s="419">
        <f>COUNTIF(Phase_Roadmap!:,F6)</f>
        <v/>
      </c>
    </row>
    <row r="7">
      <c r="A7" s="419" t="inlineStr">
        <is>
          <t>ADVANCED</t>
        </is>
      </c>
      <c r="B7" s="419">
        <f>COUNTIF(Phase_Roadmap!:,"ADVANCED")</f>
        <v/>
      </c>
      <c r="C7" s="419">
        <f>COUNTIFS(Phase_Roadmap!:,"ADVANCED",Phase_Roadmap!:,"Done")</f>
        <v/>
      </c>
      <c r="D7" s="420">
        <f>IF(B7=0,0,C7/B7)</f>
        <v/>
      </c>
      <c r="F7" s="419" t="inlineStr">
        <is>
          <t>Blocked</t>
        </is>
      </c>
      <c r="G7" s="419">
        <f>COUNTIF(Phase_Roadmap!:,F7)</f>
        <v/>
      </c>
    </row>
    <row r="8">
      <c r="A8" s="419" t="inlineStr">
        <is>
          <t>PRODUCTION</t>
        </is>
      </c>
      <c r="B8" s="419">
        <f>COUNTIF(Phase_Roadmap!:,"PRODUCTION")</f>
        <v/>
      </c>
      <c r="C8" s="419">
        <f>COUNTIFS(Phase_Roadmap!:,"PRODUCTION",Phase_Roadmap!:,"Done")</f>
        <v/>
      </c>
      <c r="D8" s="420">
        <f>IF(B8=0,0,C8/B8)</f>
        <v/>
      </c>
      <c r="F8" s="419" t="inlineStr">
        <is>
          <t>Done</t>
        </is>
      </c>
      <c r="G8" s="419">
        <f>COUNTIF(Phase_Roadmap!:,F8)</f>
        <v/>
      </c>
    </row>
    <row r="9">
      <c r="F9" s="419" t="inlineStr">
        <is>
          <t>Deferred</t>
        </is>
      </c>
      <c r="G9" s="419">
        <f>COUNTIF(Phase_Roadmap!:,F9)</f>
        <v/>
      </c>
    </row>
    <row r="11" ht="28" customHeight="1" s="401">
      <c r="A11" s="141" t="inlineStr">
        <is>
          <t>Key Goal</t>
        </is>
      </c>
      <c r="B11" s="142" t="inlineStr">
        <is>
          <t>Target</t>
        </is>
      </c>
      <c r="C11" s="142" t="inlineStr">
        <is>
          <t>Current</t>
        </is>
      </c>
      <c r="D11" s="143" t="inlineStr">
        <is>
          <t>Notes</t>
        </is>
      </c>
    </row>
    <row r="12">
      <c r="A12" s="144" t="inlineStr">
        <is>
          <t>First-attempt build success</t>
        </is>
      </c>
      <c r="B12" s="145" t="inlineStr">
        <is>
          <t>&gt;=70% MVP; &gt;=85% at scale</t>
        </is>
      </c>
      <c r="C12" s="145" t="n"/>
      <c r="D12" s="146" t="inlineStr">
        <is>
          <t>Track by framework + template version</t>
        </is>
      </c>
    </row>
    <row r="13">
      <c r="A13" s="147" t="inlineStr">
        <is>
          <t>Final task success</t>
        </is>
      </c>
      <c r="B13" s="455" t="inlineStr">
        <is>
          <t>&gt;=95%</t>
        </is>
      </c>
      <c r="C13" s="455" t="n"/>
      <c r="D13" s="149" t="inlineStr">
        <is>
          <t>Within bounded retries; durable resume</t>
        </is>
      </c>
    </row>
    <row r="14">
      <c r="A14" s="147" t="inlineStr">
        <is>
          <t>Regression escape rate</t>
        </is>
      </c>
      <c r="B14" s="455" t="inlineStr">
        <is>
          <t>&lt;2% MVP; &lt;0.5% target</t>
        </is>
      </c>
      <c r="C14" s="455" t="n"/>
      <c r="D14" s="149" t="inlineStr">
        <is>
          <t>Accepted change later causing breakage</t>
        </is>
      </c>
    </row>
    <row r="15">
      <c r="A15" s="147" t="inlineStr">
        <is>
          <t>Deployment success</t>
        </is>
      </c>
      <c r="B15" s="455" t="inlineStr">
        <is>
          <t>&gt;=98%</t>
        </is>
      </c>
      <c r="C15" s="455" t="n"/>
      <c r="D15" s="149" t="inlineStr">
        <is>
          <t>No manual repair; immutable deployment runs</t>
        </is>
      </c>
    </row>
    <row r="16">
      <c r="A16" s="147" t="inlineStr">
        <is>
          <t>Critical security issues released</t>
        </is>
      </c>
      <c r="B16" s="455" t="inlineStr">
        <is>
          <t>0</t>
        </is>
      </c>
      <c r="C16" s="455" t="n"/>
      <c r="D16" s="149" t="inlineStr">
        <is>
          <t>Always blocking</t>
        </is>
      </c>
    </row>
    <row r="17">
      <c r="A17" s="147" t="inlineStr">
        <is>
          <t>Cloud Mac usage</t>
        </is>
      </c>
      <c r="B17" s="455" t="inlineStr">
        <is>
          <t>Minimize</t>
        </is>
      </c>
      <c r="C17" s="455" t="n"/>
      <c r="D17" s="149" t="inlineStr">
        <is>
          <t>Browser-first + physical-device + cached iOS builds</t>
        </is>
      </c>
    </row>
    <row r="18">
      <c r="A18" s="156" t="inlineStr">
        <is>
          <t>Cost per successful task</t>
        </is>
      </c>
      <c r="B18" s="157" t="inlineStr">
        <is>
          <t>Trend down by phase</t>
        </is>
      </c>
      <c r="C18" s="157" t="n"/>
      <c r="D18" s="158" t="inlineStr">
        <is>
          <t>Models + Linux + Mac + devices + third-party spend</t>
        </is>
      </c>
    </row>
    <row r="19">
      <c r="A19" s="548" t="inlineStr">
        <is>
          <t>Framework &amp; Repository Baseline</t>
        </is>
      </c>
      <c r="B19" s="547" t="n"/>
      <c r="C19" s="547" t="n"/>
      <c r="D19" s="547" t="n"/>
      <c r="E19" s="547" t="n"/>
      <c r="F19" s="547" t="n"/>
      <c r="G19" s="547" t="n"/>
    </row>
    <row r="20" ht="28" customHeight="1" s="401">
      <c r="A20" s="141" t="inlineStr">
        <is>
          <t>Decision</t>
        </is>
      </c>
      <c r="B20" s="142" t="inlineStr">
        <is>
          <t>Default</t>
        </is>
      </c>
      <c r="C20" s="142" t="inlineStr">
        <is>
          <t>Alternative</t>
        </is>
      </c>
      <c r="D20" s="142" t="inlineStr">
        <is>
          <t>When alternative is preferred</t>
        </is>
      </c>
      <c r="E20" s="142" t="inlineStr">
        <is>
          <t>Repository</t>
        </is>
      </c>
      <c r="F20" s="142" t="inlineStr">
        <is>
          <t>Phase</t>
        </is>
      </c>
      <c r="G20" s="143" t="inlineStr">
        <is>
          <t>V5 note</t>
        </is>
      </c>
    </row>
    <row r="21">
      <c r="A21" s="144" t="inlineStr">
        <is>
          <t>Mobile strategy</t>
        </is>
      </c>
      <c r="B21" s="145" t="inlineStr">
        <is>
          <t>Auto / Recommended</t>
        </is>
      </c>
      <c r="C21" s="145" t="inlineStr">
        <is>
          <t>Flutter / Expo-RN / Native</t>
        </is>
      </c>
      <c r="D21" s="145" t="inlineStr">
        <is>
          <t>Requirements or user override</t>
        </is>
      </c>
      <c r="E21" s="145" t="inlineStr">
        <is>
          <t>One repo per project</t>
        </is>
      </c>
      <c r="F21" s="145" t="inlineStr">
        <is>
          <t>MVP</t>
        </is>
      </c>
      <c r="G21" s="146" t="inlineStr">
        <is>
          <t>Cross-platform when fit; native by measured need</t>
        </is>
      </c>
    </row>
    <row r="22">
      <c r="A22" s="147" t="inlineStr">
        <is>
          <t>Preview strategy</t>
        </is>
      </c>
      <c r="B22" s="455" t="inlineStr">
        <is>
          <t>Instant Browser Preview FIRST</t>
        </is>
      </c>
      <c r="C22" s="455" t="inlineStr">
        <is>
          <t>QR real-device / cloud device</t>
        </is>
      </c>
      <c r="D22" s="455" t="inlineStr">
        <is>
          <t>Stronger proof required</t>
        </is>
      </c>
      <c r="E22" s="455" t="inlineStr">
        <is>
          <t>Artifacts tied to task/commit</t>
        </is>
      </c>
      <c r="F22" s="455" t="inlineStr">
        <is>
          <t>MVP</t>
        </is>
      </c>
      <c r="G22" s="149" t="inlineStr">
        <is>
          <t>Cloud emulator/simulator is optional and metered</t>
        </is>
      </c>
    </row>
    <row r="23">
      <c r="A23" s="147" t="inlineStr">
        <is>
          <t>Web/Admin</t>
        </is>
      </c>
      <c r="B23" s="455" t="inlineStr">
        <is>
          <t>Next.js</t>
        </is>
      </c>
      <c r="C23" s="455" t="inlineStr">
        <is>
          <t>Flutter/RN Web only when suitable</t>
        </is>
      </c>
      <c r="D23" s="455" t="inlineStr">
        <is>
          <t>App-like UI/code sharing &gt; SEO/admin UX</t>
        </is>
      </c>
      <c r="E23" s="455" t="inlineStr">
        <is>
          <t>Same project repo</t>
        </is>
      </c>
      <c r="F23" s="455" t="inlineStr">
        <is>
          <t>MVP</t>
        </is>
      </c>
      <c r="G23" s="149" t="inlineStr">
        <is>
          <t>Do not force mobile framework onto web/admin</t>
        </is>
      </c>
    </row>
    <row r="24">
      <c r="A24" s="147" t="inlineStr">
        <is>
          <t>Backend</t>
        </is>
      </c>
      <c r="B24" s="455" t="inlineStr">
        <is>
          <t>Go or Python</t>
        </is>
      </c>
      <c r="C24" s="455" t="inlineStr">
        <is>
          <t>Node/NestJS / BaaS</t>
        </is>
      </c>
      <c r="D24" s="455" t="inlineStr">
        <is>
          <t>TS ecosystem or rapid profile</t>
        </is>
      </c>
      <c r="E24" s="455" t="inlineStr">
        <is>
          <t>services/ in project repo</t>
        </is>
      </c>
      <c r="F24" s="455" t="inlineStr">
        <is>
          <t>MVP/MID</t>
        </is>
      </c>
      <c r="G24" s="149" t="inlineStr">
        <is>
          <t>Contracts remain portable</t>
        </is>
      </c>
    </row>
    <row r="25">
      <c r="A25" s="147" t="inlineStr">
        <is>
          <t>Database</t>
        </is>
      </c>
      <c r="B25" s="455" t="inlineStr">
        <is>
          <t>Auto -&gt; PostgreSQL</t>
        </is>
      </c>
      <c r="C25" s="455" t="inlineStr">
        <is>
          <t>MongoDB / Supabase / Firebase / Existing</t>
        </is>
      </c>
      <c r="D25" s="455" t="inlineStr">
        <is>
          <t>Workload requirements justify it</t>
        </is>
      </c>
      <c r="E25" s="455" t="inlineStr">
        <is>
          <t>database/ + migrations</t>
        </is>
      </c>
      <c r="F25" s="455" t="inlineStr">
        <is>
          <t>MVP</t>
        </is>
      </c>
      <c r="G25" s="149" t="inlineStr">
        <is>
          <t>Platform control plane stays PostgreSQL</t>
        </is>
      </c>
    </row>
    <row r="26">
      <c r="A26" s="156" t="inlineStr">
        <is>
          <t>iOS runtime</t>
        </is>
      </c>
      <c r="B26" s="157" t="inlineStr">
        <is>
          <t>Build/TestFlight on demand</t>
        </is>
      </c>
      <c r="C26" s="157" t="inlineStr">
        <is>
          <t>Cloud Simulator / Local Mac</t>
        </is>
      </c>
      <c r="D26" s="157" t="inlineStr">
        <is>
          <t>Native OS debug or customer preference</t>
        </is>
      </c>
      <c r="E26" s="157" t="inlineStr">
        <is>
          <t>Build provenance in release</t>
        </is>
      </c>
      <c r="F26" s="157" t="inlineStr">
        <is>
          <t>MID</t>
        </is>
      </c>
      <c r="G26" s="158" t="inlineStr">
        <is>
          <t>Allocate Mac only when Apple tooling is required</t>
        </is>
      </c>
    </row>
    <row r="27">
      <c r="A27" s="549" t="inlineStr">
        <is>
          <t>Generated Project Architecture Baseline — see Repo_Architecture and Project_Structure</t>
        </is>
      </c>
      <c r="B27" s="547" t="n"/>
      <c r="C27" s="547" t="n"/>
      <c r="D27" s="547" t="n"/>
      <c r="E27" s="547" t="n"/>
      <c r="F27" s="547" t="n"/>
      <c r="G27" s="547" t="n"/>
    </row>
    <row r="28">
      <c r="A28" s="76" t="n"/>
      <c r="B28" s="76" t="n"/>
      <c r="C28" s="76" t="n"/>
      <c r="D28" s="76" t="n"/>
      <c r="E28" s="76" t="n"/>
      <c r="F28" s="76" t="n"/>
      <c r="G28" s="76" t="n"/>
    </row>
    <row r="29">
      <c r="A29" s="550" t="inlineStr">
        <is>
          <t>V5 Architecture Additions</t>
        </is>
      </c>
      <c r="B29" s="547" t="n"/>
      <c r="C29" s="547" t="n"/>
      <c r="D29" s="547" t="n"/>
      <c r="E29" s="547" t="n"/>
      <c r="F29" s="547" t="n"/>
      <c r="G29" s="547" t="n"/>
    </row>
    <row r="30" ht="28" customHeight="1" s="401">
      <c r="A30" s="168" t="inlineStr">
        <is>
          <t>Module</t>
        </is>
      </c>
      <c r="B30" s="169" t="inlineStr">
        <is>
          <t>Phase</t>
        </is>
      </c>
      <c r="C30" s="169" t="inlineStr">
        <is>
          <t>Priority</t>
        </is>
      </c>
      <c r="D30" s="169" t="inlineStr">
        <is>
          <t>Status</t>
        </is>
      </c>
      <c r="E30" s="169" t="inlineStr">
        <is>
          <t>Primary KPI</t>
        </is>
      </c>
      <c r="F30" s="169" t="inlineStr">
        <is>
          <t>Cost lever</t>
        </is>
      </c>
      <c r="G30" s="170" t="inlineStr">
        <is>
          <t>Notes</t>
        </is>
      </c>
    </row>
    <row r="31">
      <c r="A31" s="343" t="inlineStr">
        <is>
          <t>Instant Browser Preview First</t>
        </is>
      </c>
      <c r="B31" s="344" t="inlineStr">
        <is>
          <t>MVP</t>
        </is>
      </c>
      <c r="C31" s="344" t="inlineStr">
        <is>
          <t>P0</t>
        </is>
      </c>
      <c r="D31" s="344" t="inlineStr">
        <is>
          <t>Not Started</t>
        </is>
      </c>
      <c r="E31" s="344" t="inlineStr">
        <is>
          <t>preview latency</t>
        </is>
      </c>
      <c r="F31" s="344" t="inlineStr">
        <is>
          <t>avoid native/cloud sessions</t>
        </is>
      </c>
      <c r="G31" s="345" t="inlineStr">
        <is>
          <t>Always visible before QR</t>
        </is>
      </c>
    </row>
    <row r="32">
      <c r="A32" s="354" t="inlineStr">
        <is>
          <t>QR / Physical Device Delivery</t>
        </is>
      </c>
      <c r="B32" s="355" t="inlineStr">
        <is>
          <t>MVP</t>
        </is>
      </c>
      <c r="C32" s="355" t="inlineStr">
        <is>
          <t>P0</t>
        </is>
      </c>
      <c r="D32" s="355" t="inlineStr">
        <is>
          <t>Not Started</t>
        </is>
      </c>
      <c r="E32" s="355" t="inlineStr">
        <is>
          <t>device preview success</t>
        </is>
      </c>
      <c r="F32" s="355" t="inlineStr">
        <is>
          <t>user device supplies compute</t>
        </is>
      </c>
      <c r="G32" s="356" t="inlineStr">
        <is>
          <t>Expo QR + APK QR + TestFlight</t>
        </is>
      </c>
    </row>
    <row r="33">
      <c r="A33" s="343" t="inlineStr">
        <is>
          <t>Context Engine</t>
        </is>
      </c>
      <c r="B33" s="344" t="inlineStr">
        <is>
          <t>MVP</t>
        </is>
      </c>
      <c r="C33" s="344" t="inlineStr">
        <is>
          <t>P0</t>
        </is>
      </c>
      <c r="D33" s="344" t="inlineStr">
        <is>
          <t>Not Started</t>
        </is>
      </c>
      <c r="E33" s="344" t="inlineStr">
        <is>
          <t>relevant-context hit rate</t>
        </is>
      </c>
      <c r="F33" s="344" t="inlineStr">
        <is>
          <t>reduce input tokens</t>
        </is>
      </c>
      <c r="G33" s="345" t="inlineStr">
        <is>
          <t>Progressive retrieval</t>
        </is>
      </c>
    </row>
    <row r="34">
      <c r="A34" s="354" t="inlineStr">
        <is>
          <t>Project Memory</t>
        </is>
      </c>
      <c r="B34" s="355" t="inlineStr">
        <is>
          <t>MVP/MID</t>
        </is>
      </c>
      <c r="C34" s="355" t="inlineStr">
        <is>
          <t>P0</t>
        </is>
      </c>
      <c r="D34" s="355" t="inlineStr">
        <is>
          <t>Not Started</t>
        </is>
      </c>
      <c r="E34" s="355" t="inlineStr">
        <is>
          <t>stale-memory rate</t>
        </is>
      </c>
      <c r="F34" s="355" t="inlineStr">
        <is>
          <t>avoid chat replay</t>
        </is>
      </c>
      <c r="G34" s="356" t="inlineStr">
        <is>
          <t>Evidence-backed</t>
        </is>
      </c>
    </row>
    <row r="35">
      <c r="A35" s="343" t="inlineStr">
        <is>
          <t>LLM Cost Controller</t>
        </is>
      </c>
      <c r="B35" s="344" t="inlineStr">
        <is>
          <t>MVP</t>
        </is>
      </c>
      <c r="C35" s="344" t="inlineStr">
        <is>
          <t>P0</t>
        </is>
      </c>
      <c r="D35" s="344" t="inlineStr">
        <is>
          <t>Not Started</t>
        </is>
      </c>
      <c r="E35" s="344" t="inlineStr">
        <is>
          <t>cost/successful task</t>
        </is>
      </c>
      <c r="F35" s="344" t="inlineStr">
        <is>
          <t>deterministic-first + model ladder</t>
        </is>
      </c>
      <c r="G35" s="345" t="inlineStr">
        <is>
          <t>Budget per run</t>
        </is>
      </c>
    </row>
    <row r="36">
      <c r="A36" s="354" t="inlineStr">
        <is>
          <t>Temporal Workflows</t>
        </is>
      </c>
      <c r="B36" s="355" t="inlineStr">
        <is>
          <t>MVP</t>
        </is>
      </c>
      <c r="C36" s="355" t="inlineStr">
        <is>
          <t>P0</t>
        </is>
      </c>
      <c r="D36" s="355" t="inlineStr">
        <is>
          <t>Not Started</t>
        </is>
      </c>
      <c r="E36" s="355" t="inlineStr">
        <is>
          <t>resume success</t>
        </is>
      </c>
      <c r="F36" s="355" t="inlineStr">
        <is>
          <t>avoid restart waste</t>
        </is>
      </c>
      <c r="G36" s="356" t="inlineStr">
        <is>
          <t>Durable execution</t>
        </is>
      </c>
    </row>
    <row r="37">
      <c r="A37" s="369" t="inlineStr">
        <is>
          <t>Database Recommender</t>
        </is>
      </c>
      <c r="B37" s="370" t="inlineStr">
        <is>
          <t>MVP</t>
        </is>
      </c>
      <c r="C37" s="370" t="inlineStr">
        <is>
          <t>P1</t>
        </is>
      </c>
      <c r="D37" s="370" t="inlineStr">
        <is>
          <t>Not Started</t>
        </is>
      </c>
      <c r="E37" s="370" t="inlineStr">
        <is>
          <t>recommendation override rate</t>
        </is>
      </c>
      <c r="F37" s="370" t="inlineStr">
        <is>
          <t>avoid unnecessary infra</t>
        </is>
      </c>
      <c r="G37" s="371" t="inlineStr">
        <is>
          <t>Postgres default</t>
        </is>
      </c>
    </row>
    <row r="38">
      <c r="A38" s="354" t="inlineStr">
        <is>
          <t>Remote Debug Bridge</t>
        </is>
      </c>
      <c r="B38" s="355" t="inlineStr">
        <is>
          <t>MID</t>
        </is>
      </c>
      <c r="C38" s="355" t="inlineStr">
        <is>
          <t>P1</t>
        </is>
      </c>
      <c r="D38" s="355" t="inlineStr">
        <is>
          <t>Not Started</t>
        </is>
      </c>
      <c r="E38" s="355" t="inlineStr">
        <is>
          <t>real-device bug closure</t>
        </is>
      </c>
      <c r="F38" s="355" t="inlineStr">
        <is>
          <t>reduce cloud device use</t>
        </is>
      </c>
      <c r="G38" s="356" t="inlineStr">
        <is>
          <t>Secure opt-in telemetry</t>
        </is>
      </c>
    </row>
    <row r="39">
      <c r="A39" s="343" t="inlineStr">
        <is>
          <t>Client Handover</t>
        </is>
      </c>
      <c r="B39" s="344" t="inlineStr">
        <is>
          <t>MID</t>
        </is>
      </c>
      <c r="C39" s="344" t="inlineStr">
        <is>
          <t>P1</t>
        </is>
      </c>
      <c r="D39" s="344" t="inlineStr">
        <is>
          <t>Not Started</t>
        </is>
      </c>
      <c r="E39" s="344" t="inlineStr">
        <is>
          <t>handover completeness</t>
        </is>
      </c>
      <c r="F39" s="344" t="inlineStr">
        <is>
          <t>reduce support lock-in</t>
        </is>
      </c>
      <c r="G39" s="345" t="inlineStr">
        <is>
          <t>Source + IR + docs</t>
        </is>
      </c>
    </row>
    <row r="40">
      <c r="A40" s="354" t="inlineStr">
        <is>
          <t>Supply-chain Provenance</t>
        </is>
      </c>
      <c r="B40" s="355" t="inlineStr">
        <is>
          <t>MVP/MID</t>
        </is>
      </c>
      <c r="C40" s="355" t="inlineStr">
        <is>
          <t>P0</t>
        </is>
      </c>
      <c r="D40" s="355" t="inlineStr">
        <is>
          <t>Not Started</t>
        </is>
      </c>
      <c r="E40" s="355" t="inlineStr">
        <is>
          <t>signed artifact coverage</t>
        </is>
      </c>
      <c r="F40" s="355" t="inlineStr">
        <is>
          <t>reduce release risk</t>
        </is>
      </c>
      <c r="G40" s="356" t="inlineStr">
        <is>
          <t>SBOM + digest + signer</t>
        </is>
      </c>
    </row>
    <row r="41">
      <c r="A41" s="343" t="inlineStr">
        <is>
          <t>Store Publishing</t>
        </is>
      </c>
      <c r="B41" s="344" t="inlineStr">
        <is>
          <t>MID</t>
        </is>
      </c>
      <c r="C41" s="344" t="inlineStr">
        <is>
          <t>P1</t>
        </is>
      </c>
      <c r="D41" s="344" t="inlineStr">
        <is>
          <t>Not Started</t>
        </is>
      </c>
      <c r="E41" s="344" t="inlineStr">
        <is>
          <t>store submission success</t>
        </is>
      </c>
      <c r="F41" s="344" t="inlineStr">
        <is>
          <t>automate repeat work</t>
        </is>
      </c>
      <c r="G41" s="345" t="inlineStr">
        <is>
          <t>Play/TestFlight/App Store</t>
        </is>
      </c>
    </row>
    <row r="42">
      <c r="A42" s="354" t="inlineStr">
        <is>
          <t>Provider Interfaces</t>
        </is>
      </c>
      <c r="B42" s="355" t="inlineStr">
        <is>
          <t>MVP</t>
        </is>
      </c>
      <c r="C42" s="355" t="inlineStr">
        <is>
          <t>P0</t>
        </is>
      </c>
      <c r="D42" s="355" t="inlineStr">
        <is>
          <t>Not Started</t>
        </is>
      </c>
      <c r="E42" s="355" t="inlineStr">
        <is>
          <t>vendor switch effort</t>
        </is>
      </c>
      <c r="F42" s="355" t="inlineStr">
        <is>
          <t>avoid lock-in</t>
        </is>
      </c>
      <c r="G42" s="356" t="inlineStr">
        <is>
          <t>Model/Runtime/Build/Git/etc.</t>
        </is>
      </c>
    </row>
    <row r="43">
      <c r="A43" s="482" t="n"/>
      <c r="B43" s="482" t="n"/>
      <c r="C43" s="482" t="n"/>
      <c r="D43" s="482" t="n"/>
      <c r="E43" s="482" t="n"/>
      <c r="F43" s="482" t="n"/>
      <c r="G43" s="482" t="n"/>
    </row>
    <row r="44">
      <c r="A44" s="551" t="inlineStr">
        <is>
          <t>V6 Execution Additions</t>
        </is>
      </c>
      <c r="B44" s="547" t="n"/>
      <c r="C44" s="547" t="n"/>
      <c r="D44" s="547" t="n"/>
      <c r="E44" s="547" t="n"/>
      <c r="F44" s="547" t="n"/>
      <c r="G44" s="547" t="n"/>
    </row>
    <row r="45">
      <c r="A45" s="545" t="inlineStr">
        <is>
          <t>Module</t>
        </is>
      </c>
      <c r="B45" s="545" t="inlineStr">
        <is>
          <t>Phase</t>
        </is>
      </c>
      <c r="C45" s="545" t="inlineStr">
        <is>
          <t>Priority</t>
        </is>
      </c>
      <c r="D45" s="545" t="inlineStr">
        <is>
          <t>Status</t>
        </is>
      </c>
      <c r="E45" s="545" t="inlineStr">
        <is>
          <t>Primary KPI</t>
        </is>
      </c>
      <c r="F45" s="545" t="inlineStr">
        <is>
          <t>Cost / Risk Lever</t>
        </is>
      </c>
      <c r="G45" s="545" t="inlineStr">
        <is>
          <t>V6 Note</t>
        </is>
      </c>
    </row>
    <row r="46">
      <c r="A46" s="421" t="inlineStr">
        <is>
          <t>Portable AI/Developer Contract</t>
        </is>
      </c>
      <c r="B46" s="421" t="inlineStr">
        <is>
          <t>PHASE 0</t>
        </is>
      </c>
      <c r="C46" s="421" t="inlineStr">
        <is>
          <t>P0</t>
        </is>
      </c>
      <c r="D46" s="421" t="inlineStr">
        <is>
          <t>Not Started</t>
        </is>
      </c>
      <c r="E46" s="421" t="inlineStr">
        <is>
          <t>fresh-session start success</t>
        </is>
      </c>
      <c r="F46" s="421" t="inlineStr">
        <is>
          <t>reduce onboarding/context waste</t>
        </is>
      </c>
      <c r="G46" s="421" t="inlineStr">
        <is>
          <t>AGENTS.md + START_HERE + durable state</t>
        </is>
      </c>
    </row>
    <row r="47">
      <c r="A47" s="421" t="inlineStr">
        <is>
          <t>Ollama / Local Model Provider</t>
        </is>
      </c>
      <c r="B47" s="421" t="inlineStr">
        <is>
          <t>MVP</t>
        </is>
      </c>
      <c r="C47" s="421" t="inlineStr">
        <is>
          <t>P0</t>
        </is>
      </c>
      <c r="D47" s="421" t="inlineStr">
        <is>
          <t>Not Started</t>
        </is>
      </c>
      <c r="E47" s="421" t="inlineStr">
        <is>
          <t>local task acceptance rate</t>
        </is>
      </c>
      <c r="F47" s="421" t="inlineStr">
        <is>
          <t>reduce provider spend / improve privacy</t>
        </is>
      </c>
      <c r="G47" s="421" t="inlineStr">
        <is>
          <t>Same ModelProvider boundary as cloud APIs</t>
        </is>
      </c>
    </row>
    <row r="48">
      <c r="A48" s="421" t="inlineStr">
        <is>
          <t>Model Capability Registry</t>
        </is>
      </c>
      <c r="B48" s="421" t="inlineStr">
        <is>
          <t>MVP</t>
        </is>
      </c>
      <c r="C48" s="421" t="inlineStr">
        <is>
          <t>P0</t>
        </is>
      </c>
      <c r="D48" s="421" t="inlineStr">
        <is>
          <t>Not Started</t>
        </is>
      </c>
      <c r="E48" s="421" t="inlineStr">
        <is>
          <t>routing correctness</t>
        </is>
      </c>
      <c r="F48" s="421" t="inlineStr">
        <is>
          <t>avoid weak/oversized model calls</t>
        </is>
      </c>
      <c r="G48" s="421" t="inlineStr">
        <is>
          <t>Context/tools/JSON/evals per exact model config</t>
        </is>
      </c>
    </row>
    <row r="49">
      <c r="A49" s="421" t="inlineStr">
        <is>
          <t>AI Handoff / Resume Protocol</t>
        </is>
      </c>
      <c r="B49" s="421" t="inlineStr">
        <is>
          <t>PHASE 0</t>
        </is>
      </c>
      <c r="C49" s="421" t="inlineStr">
        <is>
          <t>P0</t>
        </is>
      </c>
      <c r="D49" s="421" t="inlineStr">
        <is>
          <t>Not Started</t>
        </is>
      </c>
      <c r="E49" s="421" t="inlineStr">
        <is>
          <t>resume success</t>
        </is>
      </c>
      <c r="F49" s="421" t="inlineStr">
        <is>
          <t>avoid rework after interruption</t>
        </is>
      </c>
      <c r="G49" s="421" t="inlineStr">
        <is>
          <t>CURRENT_TASK + HANDOFF + exact next command</t>
        </is>
      </c>
    </row>
    <row r="50">
      <c r="A50" s="421" t="inlineStr">
        <is>
          <t>Environment Contract</t>
        </is>
      </c>
      <c r="B50" s="421" t="inlineStr">
        <is>
          <t>PHASE 0</t>
        </is>
      </c>
      <c r="C50" s="421" t="inlineStr">
        <is>
          <t>P0</t>
        </is>
      </c>
      <c r="D50" s="421" t="inlineStr">
        <is>
          <t>Not Started</t>
        </is>
      </c>
      <c r="E50" s="421" t="inlineStr">
        <is>
          <t>bootstrap success</t>
        </is>
      </c>
      <c r="F50" s="421" t="inlineStr">
        <is>
          <t>avoid config/prod incidents</t>
        </is>
      </c>
      <c r="G50" s="421" t="inlineStr">
        <is>
          <t>typed config + .env.example + secret exclusions</t>
        </is>
      </c>
    </row>
    <row r="51">
      <c r="A51" s="421" t="inlineStr">
        <is>
          <t>Model Provider Evals</t>
        </is>
      </c>
      <c r="B51" s="421" t="inlineStr">
        <is>
          <t>MVP</t>
        </is>
      </c>
      <c r="C51" s="421" t="inlineStr">
        <is>
          <t>P0</t>
        </is>
      </c>
      <c r="D51" s="421" t="inlineStr">
        <is>
          <t>Not Started</t>
        </is>
      </c>
      <c r="E51" s="421" t="inlineStr">
        <is>
          <t>tool/patch quality</t>
        </is>
      </c>
      <c r="F51" s="421" t="inlineStr">
        <is>
          <t>use local/cheap model safely</t>
        </is>
      </c>
      <c r="G51" s="421" t="inlineStr">
        <is>
          <t>task-class conformance and quality thresholds</t>
        </is>
      </c>
    </row>
    <row r="52">
      <c r="A52" s="421" t="inlineStr">
        <is>
          <t>Progressive DB/Release Safety</t>
        </is>
      </c>
      <c r="B52" s="421" t="inlineStr">
        <is>
          <t>MVP/MID</t>
        </is>
      </c>
      <c r="C52" s="421" t="inlineStr">
        <is>
          <t>P0</t>
        </is>
      </c>
      <c r="D52" s="421" t="inlineStr">
        <is>
          <t>Not Started</t>
        </is>
      </c>
      <c r="E52" s="421" t="inlineStr">
        <is>
          <t>rollback/roll-forward success</t>
        </is>
      </c>
      <c r="F52" s="421" t="inlineStr">
        <is>
          <t>reduce production outage risk</t>
        </is>
      </c>
      <c r="G52" s="421" t="inlineStr">
        <is>
          <t>expand/migrate/contract + immutable promotion</t>
        </is>
      </c>
    </row>
  </sheetData>
  <mergeCells count="5">
    <mergeCell ref="A44:G44"/>
    <mergeCell ref="A1:G1"/>
    <mergeCell ref="A27:G27"/>
    <mergeCell ref="A29:G29"/>
    <mergeCell ref="A19:G19"/>
  </mergeCells>
  <dataValidations count="1">
    <dataValidation sqref="D46:D52" showDropDown="0" showInputMessage="0" showErrorMessage="0" allowBlank="0" type="list">
      <formula1>"Not Started,In Progress,Blocked,Done,Deferred"</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461"/>
  <sheetViews>
    <sheetView workbookViewId="0">
      <selection activeCell="A1" sqref="A1"/>
    </sheetView>
  </sheetViews>
  <sheetFormatPr baseColWidth="8" defaultRowHeight="15"/>
  <cols>
    <col width="16" customWidth="1" style="401" min="1" max="1"/>
    <col width="28" customWidth="1" style="401" min="2" max="2"/>
    <col width="26" customWidth="1" style="401" min="3" max="3"/>
    <col width="20" customWidth="1" style="401" min="4" max="4"/>
    <col width="31" customWidth="1" style="401" min="5" max="5"/>
    <col width="32" customWidth="1" style="401" min="6" max="6"/>
    <col width="33" customWidth="1" style="401" min="7" max="7"/>
    <col width="31" customWidth="1" style="401" min="8" max="8"/>
    <col width="28" customWidth="1" style="401" min="9" max="9"/>
    <col width="29" customWidth="1" style="401" min="10" max="10"/>
    <col width="28" customWidth="1" style="401" min="11" max="11"/>
    <col width="25" customWidth="1" style="401" min="12" max="12"/>
    <col width="28" customWidth="1" style="401" min="13" max="13"/>
  </cols>
  <sheetData>
    <row r="1" ht="30" customHeight="1" s="401">
      <c r="A1" s="552" t="inlineStr">
        <is>
          <t>OmniStackAI V5 — Phase Roadmap</t>
        </is>
      </c>
      <c r="B1" s="547" t="n"/>
      <c r="C1" s="547" t="n"/>
      <c r="D1" s="547" t="n"/>
      <c r="E1" s="547" t="n"/>
      <c r="F1" s="547" t="n"/>
      <c r="G1" s="547" t="n"/>
      <c r="H1" s="547" t="n"/>
      <c r="I1" s="547" t="n"/>
      <c r="J1" s="547" t="n"/>
      <c r="K1" s="547" t="n"/>
      <c r="L1" s="547" t="n"/>
      <c r="M1" s="547" t="n"/>
    </row>
    <row r="2" ht="34" customHeight="1" s="401">
      <c r="A2" s="553" t="inlineStr">
        <is>
          <t>Build the durable/cost-aware core first; real cloud devices and enterprise flexibility arrive only after the basic factory is reliable.</t>
        </is>
      </c>
      <c r="B2" s="547" t="n"/>
      <c r="C2" s="547" t="n"/>
      <c r="D2" s="547" t="n"/>
      <c r="E2" s="547" t="n"/>
      <c r="F2" s="547" t="n"/>
      <c r="G2" s="547" t="n"/>
      <c r="H2" s="547" t="n"/>
      <c r="I2" s="547" t="n"/>
      <c r="J2" s="547" t="n"/>
      <c r="K2" s="547" t="n"/>
      <c r="L2" s="547" t="n"/>
      <c r="M2" s="547" t="n"/>
    </row>
    <row r="3" ht="28" customHeight="1" s="401">
      <c r="A3" s="413" t="n"/>
      <c r="B3" s="413" t="n"/>
      <c r="C3" s="413" t="n"/>
      <c r="D3" s="413" t="n"/>
      <c r="E3" s="413" t="n"/>
      <c r="F3" s="413" t="n"/>
      <c r="G3" s="413" t="n"/>
      <c r="H3" s="413" t="n"/>
      <c r="I3" s="413" t="n"/>
      <c r="J3" s="413" t="n"/>
      <c r="K3" s="413" t="n"/>
      <c r="L3" s="413" t="n"/>
      <c r="M3" s="413" t="n"/>
    </row>
    <row r="4" ht="28" customHeight="1" s="401">
      <c r="A4" s="141" t="inlineStr">
        <is>
          <t>Phase</t>
        </is>
      </c>
      <c r="B4" s="142" t="inlineStr">
        <is>
          <t>Primary Outcome</t>
        </is>
      </c>
      <c r="C4" s="142" t="inlineStr">
        <is>
          <t>Mobile</t>
        </is>
      </c>
      <c r="D4" s="142" t="inlineStr">
        <is>
          <t>Web/Admin</t>
        </is>
      </c>
      <c r="E4" s="142" t="inlineStr">
        <is>
          <t>Backend/DB</t>
        </is>
      </c>
      <c r="F4" s="142" t="inlineStr">
        <is>
          <t>Context/Memory</t>
        </is>
      </c>
      <c r="G4" s="142" t="inlineStr">
        <is>
          <t>Runtime/Preview</t>
        </is>
      </c>
      <c r="H4" s="142" t="inlineStr">
        <is>
          <t>Workflow/Agents</t>
        </is>
      </c>
      <c r="I4" s="382" t="inlineStr">
        <is>
          <t>Git/Delivery</t>
        </is>
      </c>
      <c r="J4" s="142" t="inlineStr">
        <is>
          <t>Security</t>
        </is>
      </c>
      <c r="K4" s="142" t="inlineStr">
        <is>
          <t>Cost Focus</t>
        </is>
      </c>
      <c r="L4" s="142" t="inlineStr">
        <is>
          <t>Enterprise</t>
        </is>
      </c>
      <c r="M4" s="143" t="inlineStr">
        <is>
          <t>Gate</t>
        </is>
      </c>
    </row>
    <row r="5" ht="34" customHeight="1" s="401">
      <c r="A5" s="144" t="inlineStr">
        <is>
          <t>BASIC / MVP</t>
        </is>
      </c>
      <c r="B5" s="145" t="inlineStr">
        <is>
          <t>Reliable software factory</t>
        </is>
      </c>
      <c r="C5" s="145" t="inlineStr">
        <is>
          <t>Flutter + Expo/RN; native beta</t>
        </is>
      </c>
      <c r="D5" s="145" t="inlineStr">
        <is>
          <t>Next.js</t>
        </is>
      </c>
      <c r="E5" s="145" t="inlineStr">
        <is>
          <t>Go/Python; Postgres default + DB recommender</t>
        </is>
      </c>
      <c r="F5" s="145" t="inlineStr">
        <is>
          <t>IR v4 + Context Engine v1</t>
        </is>
      </c>
      <c r="G5" s="145" t="inlineStr">
        <is>
          <t>Browser first + QR paths; Linux; iOS build</t>
        </is>
      </c>
      <c r="H5" s="145" t="inlineStr">
        <is>
          <t>Temporal + model gateway</t>
        </is>
      </c>
      <c r="I5" s="383" t="inlineStr">
        <is>
          <t>task worktrees/PR</t>
        </is>
      </c>
      <c r="J5" s="145" t="inlineStr">
        <is>
          <t>isolation + secret broker + scans</t>
        </is>
      </c>
      <c r="K5" s="145" t="inlineStr">
        <is>
          <t>cost/successful task</t>
        </is>
      </c>
      <c r="L5" s="145" t="inlineStr">
        <is>
          <t>foundations only</t>
        </is>
      </c>
      <c r="M5" s="146" t="inlineStr">
        <is>
          <t>build/test/deploy evidence</t>
        </is>
      </c>
    </row>
    <row r="6" ht="34" customHeight="1" s="401">
      <c r="A6" s="147" t="inlineStr">
        <is>
          <t>MID</t>
        </is>
      </c>
      <c r="B6" s="455" t="inlineStr">
        <is>
          <t>Professional developer/agency</t>
        </is>
      </c>
      <c r="C6" s="455" t="inlineStr">
        <is>
          <t>Native GA</t>
        </is>
      </c>
      <c r="D6" s="455" t="inlineStr">
        <is>
          <t>enhanced</t>
        </is>
      </c>
      <c r="E6" s="455" t="inlineStr">
        <is>
          <t>store APIs + more DB profiles</t>
        </is>
      </c>
      <c r="F6" s="455" t="inlineStr">
        <is>
          <t>evidence-backed memory + richer graph</t>
        </is>
      </c>
      <c r="G6" s="455" t="inlineStr">
        <is>
          <t>streamed emulators/simulators + Local Agent</t>
        </is>
      </c>
      <c r="H6" s="455" t="inlineStr">
        <is>
          <t>Remote Debug + BYOK</t>
        </is>
      </c>
      <c r="I6" s="531" t="inlineStr">
        <is>
          <t>existing repo + handover</t>
        </is>
      </c>
      <c r="J6" s="455" t="inlineStr">
        <is>
          <t>visual/DAST/SBOM</t>
        </is>
      </c>
      <c r="K6" s="455" t="inlineStr">
        <is>
          <t>native rebuild avoidance</t>
        </is>
      </c>
      <c r="L6" s="455" t="inlineStr">
        <is>
          <t>RBAC/SSO-ready</t>
        </is>
      </c>
      <c r="M6" s="149" t="inlineStr">
        <is>
          <t>quality + supportability</t>
        </is>
      </c>
    </row>
    <row r="7" ht="34" customHeight="1" s="401">
      <c r="A7" s="147" t="inlineStr">
        <is>
          <t>ADVANCED</t>
        </is>
      </c>
      <c r="B7" s="455" t="inlineStr">
        <is>
          <t>Enterprise flexibility</t>
        </is>
      </c>
      <c r="C7" s="455" t="inlineStr">
        <is>
          <t>device cloud + migration</t>
        </is>
      </c>
      <c r="D7" s="455" t="inlineStr">
        <is>
          <t>enterprise profiles</t>
        </is>
      </c>
      <c r="E7" s="455" t="inlineStr">
        <is>
          <t>BYOC/private data</t>
        </is>
      </c>
      <c r="F7" s="455" t="inlineStr">
        <is>
          <t>cross-repo/multi-region memory</t>
        </is>
      </c>
      <c r="G7" s="455" t="inlineStr">
        <is>
          <t>microVM/BYOC/private runners</t>
        </is>
      </c>
      <c r="H7" s="455" t="inlineStr">
        <is>
          <t>private models/policy-as-code</t>
        </is>
      </c>
      <c r="I7" s="531" t="inlineStr">
        <is>
          <t>multi-repo enterprise</t>
        </is>
      </c>
      <c r="J7" s="455" t="inlineStr">
        <is>
          <t>data residency/two-person critical</t>
        </is>
      </c>
      <c r="K7" s="455" t="inlineStr">
        <is>
          <t>predictive scheduling</t>
        </is>
      </c>
      <c r="L7" s="455" t="inlineStr">
        <is>
          <t>full private modes</t>
        </is>
      </c>
      <c r="M7" s="149" t="inlineStr">
        <is>
          <t>scale/isolation evidence</t>
        </is>
      </c>
    </row>
    <row r="8" ht="34" customHeight="1" s="401">
      <c r="A8" s="156" t="inlineStr">
        <is>
          <t>PRODUCTION</t>
        </is>
      </c>
      <c r="B8" s="157" t="inlineStr">
        <is>
          <t>Operational trust</t>
        </is>
      </c>
      <c r="C8" s="157" t="inlineStr">
        <is>
          <t>release matrix</t>
        </is>
      </c>
      <c r="D8" s="157" t="inlineStr">
        <is>
          <t>HA hosting</t>
        </is>
      </c>
      <c r="E8" s="157" t="inlineStr">
        <is>
          <t>HA/DR data</t>
        </is>
      </c>
      <c r="F8" s="157" t="inlineStr">
        <is>
          <t>restore/reindex drills</t>
        </is>
      </c>
      <c r="G8" s="157" t="inlineStr">
        <is>
          <t>multi-region as sold</t>
        </is>
      </c>
      <c r="H8" s="157" t="inlineStr">
        <is>
          <t>workflow failover</t>
        </is>
      </c>
      <c r="I8" s="385" t="inlineStr">
        <is>
          <t>release qualification</t>
        </is>
      </c>
      <c r="J8" s="157" t="inlineStr">
        <is>
          <t>pen test/SOC2-ready controls</t>
        </is>
      </c>
      <c r="K8" s="157" t="inlineStr">
        <is>
          <t>positive unit economics</t>
        </is>
      </c>
      <c r="L8" s="157" t="inlineStr">
        <is>
          <t>SLA/process</t>
        </is>
      </c>
      <c r="M8" s="158" t="inlineStr">
        <is>
          <t>measured outcomes</t>
        </is>
      </c>
    </row>
    <row r="9" ht="34" customHeight="1" s="401">
      <c r="A9" t="inlineStr">
        <is>
          <t>R-453</t>
        </is>
      </c>
      <c r="B9" t="inlineStr">
        <is>
          <t>MVP</t>
        </is>
      </c>
      <c r="C9" t="inlineStr">
        <is>
          <t>Solution Packs</t>
        </is>
      </c>
      <c r="D9" t="inlineStr">
        <is>
          <t>Solution Pack Ecosystem Comprehensive Multi-Surface Health Check, Smoke Testing, and Canary Verification</t>
        </is>
      </c>
      <c r="E9" t="inlineStr">
        <is>
          <t>1. Implement Ecosystem Multi-Surface Health Check, Smoke Testing, and Canary Verification (solution_packs/ecosystem_verification.py): HealthCheckProbe, SmokeTestStep, SmokeTestSpec, CanaryVerificationRule, EcosystemVerificationContract. Deterministic contract synthesis (synthesize_ecosystem_verification) for all surfaces. In-process thread-safe EcosystemVerificationEngine for dry-run simulation and evaluation. 2. Package &amp; Registry: Bundle and verify verification contract with whole-package checksums. 3. Studio Preview &amp; Server: Inject has_verification, probe_count, smoke_test_count, canary_rule_count; GET /api/ecosystem/verification, POST /api/ecosystem/verification/simulate. 4. Studio UI: #preview-verification-info panel with probes, tests, simulate and refresh buttons. 5. CLI: verify-suite subcommand with --json and --simulate.</t>
        </is>
      </c>
      <c r="F9" t="inlineStr">
        <is>
          <t>P1</t>
        </is>
      </c>
      <c r="G9" t="inlineStr">
        <is>
          <t>sanjeetji</t>
        </is>
      </c>
      <c r="H9" t="inlineStr">
        <is>
          <t>Done</t>
        </is>
      </c>
      <c r="I9" t="n">
        <v>1</v>
      </c>
      <c r="J9" t="inlineStr">
        <is>
          <t>R-452</t>
        </is>
      </c>
      <c r="K9" t="inlineStr">
        <is>
          <t>Founder Stage 0</t>
        </is>
      </c>
    </row>
    <row r="10" ht="34" customHeight="1" s="401">
      <c r="A10" t="inlineStr">
        <is>
          <t>R-452</t>
        </is>
      </c>
      <c r="B10" t="inlineStr">
        <is>
          <t>MVP</t>
        </is>
      </c>
      <c r="C10" t="inlineStr">
        <is>
          <t>Solution Packs</t>
        </is>
      </c>
      <c r="D10" t="inlineStr">
        <is>
          <t>Solution Pack Ecosystem Multi-Surface CI/CD Workflow &amp; GitHub Actions Orchestration</t>
        </is>
      </c>
      <c r="E10" t="inlineStr">
        <is>
          <t>1. Implement Ecosystem Multi-Surface CI/CD &amp; GitHub Actions Orchestration (solution_packs/ecosystem_cicd.py): CIJobStep, CIJob, CIWorkflow, EcosystemCICDContract. Deterministic Python 3.13 stdlib-only GitHub Actions YAML generator (0 external dependencies). In-process DAG validator (cycle detection via topological sort) and dry-run pipeline simulation (EcosystemCICDEngine). Deterministic contract synthesis. 2. Package &amp; Registry: Bundle and verify cicd contract with whole-package checksums. 3. Studio Preview &amp; Server: Inject has_cicd, cicd_workflow_count, cicd_job_count; GET /api/ecosystem/cicd, GET /api/ecosystem/cicd/yaml, POST /api/ecosystem/cicd/simulate. 4. Studio UI: #preview-cicd-info panel with workflow triggers, job chips, copy YAML and simulate buttons. 5. CLI: cicd subcommand with --yaml, --json, and --simulate.</t>
        </is>
      </c>
      <c r="F10" t="inlineStr">
        <is>
          <t>P1</t>
        </is>
      </c>
      <c r="G10" t="inlineStr">
        <is>
          <t>sanjeetji</t>
        </is>
      </c>
      <c r="H10" t="inlineStr">
        <is>
          <t>Done</t>
        </is>
      </c>
      <c r="I10" t="n">
        <v>1</v>
      </c>
      <c r="J10" t="inlineStr">
        <is>
          <t>R-451</t>
        </is>
      </c>
      <c r="K10" t="inlineStr">
        <is>
          <t>Founder Stage 0</t>
        </is>
      </c>
    </row>
    <row r="11" ht="34" customHeight="1" s="401">
      <c r="A11" t="inlineStr">
        <is>
          <t>R-451</t>
        </is>
      </c>
      <c r="B11" t="inlineStr">
        <is>
          <t>MVP</t>
        </is>
      </c>
      <c r="C11" t="inlineStr">
        <is>
          <t>Solution Packs</t>
        </is>
      </c>
      <c r="D11" t="inlineStr">
        <is>
          <t>Solution Pack Ecosystem Cross-Surface Data Sync, Conflict Resolution, and Offline-First Sync Protocol</t>
        </is>
      </c>
      <c r="E11" t="inlineStr">
        <is>
          <t>1. Implement Ecosystem Cross-Surface Data Sync &amp; Conflict Resolution Engine (solution_packs/ecosystem_sync.py): SyncEntitySpec, SyncMutation, SyncConflict, SyncCheckpoint, EcosystemSyncContract. Deterministic conflict resolution algorithms (last_write_wins, source_of_truth, field_merge). In-process thread-safe EcosystemSyncEngine with mutation log, state store, conflict log, push/pull checkpoints. Deterministic contract synthesis. 2. Package &amp; Registry: Bundle and verify sync contract with checksums. 3. Studio Preview &amp; Server: Inject has_sync, sync_entity_count, sync_conflict_count; GET /api/ecosystem/sync, POST /api/ecosystem/sync/push, GET /api/ecosystem/sync/pull, POST /api/ecosystem/sync/simulate. 4. Studio UI: #preview-sync-info panel with entity chips, conflict/version badges, simulate button. 5. CLI: sync subcommand with --json.</t>
        </is>
      </c>
      <c r="F11" t="inlineStr">
        <is>
          <t>P1</t>
        </is>
      </c>
      <c r="G11" t="inlineStr">
        <is>
          <t>sanjeetji</t>
        </is>
      </c>
      <c r="H11" t="inlineStr">
        <is>
          <t>Done</t>
        </is>
      </c>
      <c r="I11" t="n">
        <v>1</v>
      </c>
    </row>
    <row r="12" ht="34" customHeight="1" s="401">
      <c r="A12" t="inlineStr">
        <is>
          <t>R-450</t>
        </is>
      </c>
      <c r="B12" t="inlineStr">
        <is>
          <t>MVP</t>
        </is>
      </c>
      <c r="C12" t="inlineStr">
        <is>
          <t>Solution Packs</t>
        </is>
      </c>
      <c r="D12" t="inlineStr">
        <is>
          <t>Solution Pack Ecosystem Multi-Surface Export, Deployment Manifest, and Live Gateway Orchestration</t>
        </is>
      </c>
      <c r="E12" t="inlineStr">
        <is>
          <t>1. Implement Ecosystem Multi-Surface Deployment Manifest &amp; Live Gateway Engine (solution_packs/ecosystem_deployment.py): GatewayRoute, SurfaceDeploymentSpec, EcosystemDeploymentManifest. Python 3.13 stdlib-only deterministic Docker Compose YAML generation (0 external dependencies). In-process EcosystemLiveGateway reverse proxy for local multi-surface preview. Deterministic contract synthesis. 2. Package &amp; Registry: Bundle and verify deployment manifest with checksums. 3. Studio Preview &amp; Server: Inject has_deployment, gateway_url; GET /api/ecosystem/deployment and compose export. 4. Studio UI: #preview-deployment-info panel with route chips and Compose YAML copy. 5. CLI: deploy subcommand with --json and --compose.</t>
        </is>
      </c>
      <c r="F12" t="inlineStr">
        <is>
          <t>P1</t>
        </is>
      </c>
      <c r="G12" t="inlineStr">
        <is>
          <t>sanjeetji</t>
        </is>
      </c>
      <c r="H12" t="inlineStr">
        <is>
          <t>Done</t>
        </is>
      </c>
      <c r="I12" t="n">
        <v>1</v>
      </c>
      <c r="J12" t="inlineStr">
        <is>
          <t>R-449</t>
        </is>
      </c>
      <c r="K12" t="inlineStr">
        <is>
          <t>Founder Stage 0</t>
        </is>
      </c>
    </row>
    <row r="13" ht="34" customHeight="1" s="401">
      <c r="A13" t="inlineStr">
        <is>
          <t>R-449</t>
        </is>
      </c>
      <c r="B13" t="inlineStr">
        <is>
          <t>MVP</t>
        </is>
      </c>
      <c r="C13" t="inlineStr">
        <is>
          <t>Solution Packs</t>
        </is>
      </c>
      <c r="D13" t="inlineStr">
        <is>
          <t>Solution Pack Ecosystem Cross-Surface Telemetry, Audit Trails, and Distributed Tracing</t>
        </is>
      </c>
      <c r="E13" t="inlineStr">
        <is>
          <t>1. Implement Ecosystem Cross-Surface Telemetry, Audit Trails, and Distributed Tracing Engine (solution_packs/ecosystem_telemetry.py): TelemetrySpan, AuditTrailEntry, DistributedTrace, TelemetrySamplingPolicy, TracedSurface, EcosystemTelemetryContract. Python 3.13 stdlib-only trace ID/span ID generation (0 external deps). In-process EcosystemTelemetryCollector with bounded span/audit logs. Deterministic contract synthesis. 2. Package &amp; Registry: Bundle and verify telemetry contract with checksums. 3. Studio Preview &amp; Server: Inject has_telemetry, span_count; GET /api/ecosystem/telemetry. 4. Studio UI: #preview-telemetry-info panel. 5. CLI: telemetry subcommand.</t>
        </is>
      </c>
      <c r="F13" t="inlineStr">
        <is>
          <t>P1</t>
        </is>
      </c>
      <c r="G13" t="inlineStr">
        <is>
          <t>sanjeetji</t>
        </is>
      </c>
      <c r="H13" t="inlineStr">
        <is>
          <t>Done</t>
        </is>
      </c>
      <c r="I13" t="n">
        <v>1</v>
      </c>
      <c r="J13" t="inlineStr">
        <is>
          <t>R-448</t>
        </is>
      </c>
      <c r="K13" t="inlineStr">
        <is>
          <t>Founder Stage 0</t>
        </is>
      </c>
      <c r="L13" t="inlineStr">
        <is>
          <t>task verify passed offline (3,131 tests passed); test_ecosystem_telemetry.py passed (33 tests); lint/security/env pass; 0 model calls.</t>
        </is>
      </c>
      <c r="M13" t="inlineStr">
        <is>
          <t>Completed on 2026-09-14: 20th brick of differentiating spine; verified 100% offline.</t>
        </is>
      </c>
    </row>
    <row r="14" ht="34" customHeight="1" s="401">
      <c r="A14" t="inlineStr">
        <is>
          <t>R-448</t>
        </is>
      </c>
      <c r="B14" t="inlineStr">
        <is>
          <t>MVP</t>
        </is>
      </c>
      <c r="C14" t="inlineStr">
        <is>
          <t>Solution Packs</t>
        </is>
      </c>
      <c r="D14" t="inlineStr">
        <is>
          <t>Solution Pack Ecosystem Cross-Surface Webhook and Event Bridge</t>
        </is>
      </c>
      <c r="E14" t="inlineStr">
        <is>
          <t>1. Implement Ecosystem Cross-Surface Webhook and Event Bridge Engine (`solution_packs/ecosystem_events.py`): - `WebhookRetryPolicy`: Configurable retry attempts, backoff, and timeout parameters. - `EcosystemWebhookSubscription`: Subscription ID, event type, source surface, target surface, webhook path, secret reference, retry policy, and active state. - `EcosystemEventPayload`: Standardized cross-surface event payload containing `event_id`, `event_type`, `ecosystem_id`, `source_surface`, `timest</t>
        </is>
      </c>
      <c r="F14" t="inlineStr">
        <is>
          <t>P1</t>
        </is>
      </c>
      <c r="G14" t="inlineStr">
        <is>
          <t>sanjeetji</t>
        </is>
      </c>
      <c r="H14" t="inlineStr">
        <is>
          <t>Done</t>
        </is>
      </c>
      <c r="I14" t="n">
        <v>1</v>
      </c>
      <c r="J14" t="inlineStr">
        <is>
          <t>R-447</t>
        </is>
      </c>
      <c r="K14" t="inlineStr">
        <is>
          <t>Founder Stage 0</t>
        </is>
      </c>
      <c r="L14" t="inlineStr">
        <is>
          <t>task verify passed offline; lint/security/env pass; 0 model calls.</t>
        </is>
      </c>
      <c r="M14" t="inlineStr">
        <is>
          <t>Added on 2026-09-14 during task compilation audit: completed in founder build sequence as part of UI component suites and differentiating spine (R-359..R-448); verified 100% offline (task verify 3,098 tests passed).</t>
        </is>
      </c>
    </row>
    <row r="15" ht="34" customHeight="1" s="401">
      <c r="A15" t="inlineStr">
        <is>
          <t>R-447</t>
        </is>
      </c>
      <c r="B15" t="inlineStr">
        <is>
          <t>MVP</t>
        </is>
      </c>
      <c r="C15" t="inlineStr">
        <is>
          <t>Solution Packs</t>
        </is>
      </c>
      <c r="D15" t="inlineStr">
        <is>
          <t>Solution Pack Ecosystem Multi-Surface Cross-App Auth and Unified State Binding</t>
        </is>
      </c>
      <c r="E15" t="inlineStr">
        <is>
          <t>1. Implement Ecosystem Cross-App Auth Engine (`solution_packs/ecosystem_auth.py`): - `EcosystemAuthContract`: Canonical, byte-stable specification of shared ecosystem JWT parameters (algorithm `HS256`, secret reference, issuer, audience, TTL, and role bindings). - `CrossAppAuthMatrix`: Formal role-to-surface and role-to-permission mapping verifying role isolation and preventing privilege leaks. - Python 3.13 stdlib-only deterministic JWT token minter &amp; verifier (`mint_ecosystem_token`, `verify_e</t>
        </is>
      </c>
      <c r="F15" t="inlineStr">
        <is>
          <t>P1</t>
        </is>
      </c>
      <c r="G15" t="inlineStr">
        <is>
          <t>sanjeetji</t>
        </is>
      </c>
      <c r="H15" t="inlineStr">
        <is>
          <t>Done</t>
        </is>
      </c>
      <c r="I15" t="n">
        <v>1</v>
      </c>
      <c r="J15" t="inlineStr">
        <is>
          <t>R-446</t>
        </is>
      </c>
      <c r="K15" t="inlineStr">
        <is>
          <t>Founder Stage 0</t>
        </is>
      </c>
      <c r="L15" t="inlineStr">
        <is>
          <t>task verify passed offline; lint/security/env pass; 0 model calls.</t>
        </is>
      </c>
      <c r="M15" t="inlineStr">
        <is>
          <t>Added on 2026-09-14 during task compilation audit: completed in founder build sequence as part of UI component suites and differentiating spine (R-359..R-448); verified 100% offline (task verify 3,098 tests passed).</t>
        </is>
      </c>
    </row>
    <row r="16" ht="34" customHeight="1" s="401">
      <c r="A16" t="inlineStr">
        <is>
          <t>R-446</t>
        </is>
      </c>
      <c r="B16" t="inlineStr">
        <is>
          <t>MVP</t>
        </is>
      </c>
      <c r="C16" t="inlineStr">
        <is>
          <t>Solution Packs</t>
        </is>
      </c>
      <c r="D16" t="inlineStr">
        <is>
          <t>Solution Pack Ecosystem Studio Live Multi-Surface Preview and Process Orchestration</t>
        </is>
      </c>
      <c r="E16" t="inlineStr">
        <is>
          <t>1. Enhance `StudioPreviewManager` (`services/agent-engine/src/omnistackai_agent_engine/studio/preview.py`): - Support multi-surface ecosystem preview lifecycle: `replace_ecosystem(ecosystem_id, surfaces, active_surface_slug=None)`. - Maintain multi-session map (`_sessions: dict[str, LocalAppSession]`), allocating collision-free loopback ports for each surface. - Implement `switch_surface(surface_slug)`: seamless switching to any ecosystem surface, launching it on demand if not yet running. - Imp</t>
        </is>
      </c>
      <c r="F16" t="inlineStr">
        <is>
          <t>P1</t>
        </is>
      </c>
      <c r="G16" t="inlineStr">
        <is>
          <t>sanjeetji</t>
        </is>
      </c>
      <c r="H16" t="inlineStr">
        <is>
          <t>Done</t>
        </is>
      </c>
      <c r="I16" t="n">
        <v>1</v>
      </c>
      <c r="J16" t="inlineStr">
        <is>
          <t>R-445</t>
        </is>
      </c>
      <c r="K16" t="inlineStr">
        <is>
          <t>Founder Stage 0</t>
        </is>
      </c>
      <c r="L16" t="inlineStr">
        <is>
          <t>task verify passed offline; lint/security/env pass; 0 model calls.</t>
        </is>
      </c>
      <c r="M16" t="inlineStr">
        <is>
          <t>Added on 2026-09-14 during task compilation audit: completed in founder build sequence as part of UI component suites and differentiating spine (R-359..R-448); verified 100% offline (task verify 3,098 tests passed).</t>
        </is>
      </c>
    </row>
    <row r="17" ht="34" customHeight="1" s="401">
      <c r="A17" t="inlineStr">
        <is>
          <t>R-445</t>
        </is>
      </c>
      <c r="B17" t="inlineStr">
        <is>
          <t>MVP</t>
        </is>
      </c>
      <c r="C17" t="inlineStr">
        <is>
          <t>Solution Packs</t>
        </is>
      </c>
      <c r="D17" t="inlineStr">
        <is>
          <t>Solution Pack Ecosystem Pack Registry Integration, Catalog Discovery, and Studio Multi-Surface Selection</t>
        </is>
      </c>
      <c r="E17" t="inlineStr">
        <is>
          <t>1. Implement `EcosystemPack` and `EcosystemPackRegistry` in `services/agent-engine/src/omnistackai_agent_engine/solution_packs/ecosystem_registry.py`: - Immutable registry with `list_packs()`, `get()`, `select()`, `recommend()`, and dynamic `register_package()`. - Built-in default ecosystem packs (`minimal-blog-ecosystem`, `rideshare-favourites-ecosystem`) exposed via `DEFAULT_ECOSYSTEM_PACK_REGISTRY`. - `load_surface_ir(ecosystem_id, surface_slug)` method loading clean, normalized, valid `Appli</t>
        </is>
      </c>
      <c r="F17" t="inlineStr">
        <is>
          <t>P1</t>
        </is>
      </c>
      <c r="G17" t="inlineStr">
        <is>
          <t>sanjeetji</t>
        </is>
      </c>
      <c r="H17" t="inlineStr">
        <is>
          <t>Done</t>
        </is>
      </c>
      <c r="I17" t="n">
        <v>1</v>
      </c>
      <c r="J17" t="inlineStr">
        <is>
          <t>R-444</t>
        </is>
      </c>
      <c r="K17" t="inlineStr">
        <is>
          <t>Founder Stage 0</t>
        </is>
      </c>
      <c r="L17" t="inlineStr">
        <is>
          <t>task verify passed offline; lint/security/env pass; 0 model calls.</t>
        </is>
      </c>
      <c r="M17" t="inlineStr">
        <is>
          <t>Added on 2026-09-14 during task compilation audit: completed in founder build sequence as part of UI component suites and differentiating spine (R-359..R-448); verified 100% offline (task verify 3,098 tests passed).</t>
        </is>
      </c>
    </row>
    <row r="18" ht="34" customHeight="1" s="401">
      <c r="A18" t="inlineStr">
        <is>
          <t>R-444</t>
        </is>
      </c>
      <c r="B18" t="inlineStr">
        <is>
          <t>MVP</t>
        </is>
      </c>
      <c r="C18" t="inlineStr">
        <is>
          <t>Solution Packs</t>
        </is>
      </c>
      <c r="D18" t="inlineStr">
        <is>
          <t>Task Contract: R-444 — Solution Pack Multi-Surface Ecosystem Pack Synthesis</t>
        </is>
      </c>
      <c r="E18" t="inlineStr">
        <is>
          <t>Implement Solution Pack Multi-Surface Ecosystem Pack Synthesis (the 15th brick of the differentiating spine and 11th Solution Pack task). Enable synthesizing a coordinated multi-surface ecosystem (e.g. customer web, operator portal, admin dashboard) from a Solution Pack's unified data model, packaging the entire ecosystem into a byte-stable verifiable `EcosystemPackPackage` bundle, and providing CLI export, verification, inspect, and build capabilities.</t>
        </is>
      </c>
      <c r="F18" t="inlineStr">
        <is>
          <t>P1</t>
        </is>
      </c>
      <c r="G18" t="inlineStr">
        <is>
          <t>sanjeetji</t>
        </is>
      </c>
      <c r="H18" t="inlineStr">
        <is>
          <t>Done</t>
        </is>
      </c>
      <c r="I18" t="n">
        <v>1</v>
      </c>
      <c r="J18" t="inlineStr">
        <is>
          <t>R-443</t>
        </is>
      </c>
      <c r="K18" t="inlineStr">
        <is>
          <t>Founder Stage 0</t>
        </is>
      </c>
      <c r="L18" t="inlineStr">
        <is>
          <t>task verify passed offline; lint/security/env pass; 0 model calls.</t>
        </is>
      </c>
      <c r="M18" t="inlineStr">
        <is>
          <t>Added on 2026-09-14 during task compilation audit: completed in founder build sequence as part of UI component suites and differentiating spine (R-359..R-448); verified 100% offline (task verify 3,098 tests passed).</t>
        </is>
      </c>
    </row>
    <row r="19" ht="34" customHeight="1" s="401">
      <c r="A19" t="inlineStr">
        <is>
          <t>R-443</t>
        </is>
      </c>
      <c r="B19" t="inlineStr">
        <is>
          <t>MVP</t>
        </is>
      </c>
      <c r="C19" t="inlineStr">
        <is>
          <t>Solution Packs</t>
        </is>
      </c>
      <c r="D19" t="inlineStr">
        <is>
          <t>Solution Pack Packaging, Verification, and Export CLI</t>
        </is>
      </c>
      <c r="E19" t="inlineStr">
        <is>
          <t>Fourteenth brick of the differentiating spine and tenth Solution Pack task. Implement standalone, portable Solution Pack packaging (`SolutionPackPackage`), package verification, and export/inspect CLI tools (`package_cli.py`), enabling Solution Packs to be bundled with their canonical Application IR, verification plans, and SHA-256 integrity digests into self-contained, redistributable, and tamper-evident `.pack.json` artifacts that can be independently inspected, verified, exported, and importe</t>
        </is>
      </c>
      <c r="F19" t="inlineStr">
        <is>
          <t>P1</t>
        </is>
      </c>
      <c r="G19" t="inlineStr">
        <is>
          <t>sanjeetji</t>
        </is>
      </c>
      <c r="H19" t="inlineStr">
        <is>
          <t>Done</t>
        </is>
      </c>
      <c r="I19" t="n">
        <v>1</v>
      </c>
      <c r="J19" t="inlineStr">
        <is>
          <t>R-442</t>
        </is>
      </c>
      <c r="K19" t="inlineStr">
        <is>
          <t>Founder Stage 0</t>
        </is>
      </c>
      <c r="L19" t="inlineStr">
        <is>
          <t>task verify passed offline; lint/security/env pass; 0 model calls.</t>
        </is>
      </c>
      <c r="M19" t="inlineStr">
        <is>
          <t>Added on 2026-09-14 during task compilation audit: completed in founder build sequence as part of UI component suites and differentiating spine (R-359..R-448); verified 100% offline (task verify 3,098 tests passed).</t>
        </is>
      </c>
    </row>
    <row r="20" ht="34" customHeight="1" s="401">
      <c r="A20" t="inlineStr">
        <is>
          <t>R-442</t>
        </is>
      </c>
      <c r="B20" t="inlineStr">
        <is>
          <t>MVP</t>
        </is>
      </c>
      <c r="C20" t="inlineStr">
        <is>
          <t>Studio</t>
        </is>
      </c>
      <c r="D20" t="inlineStr">
        <is>
          <t>Studio AI-delta feature modification controls above Solution Packs</t>
        </is>
      </c>
      <c r="E20" t="inlineStr">
        <is>
          <t>Wire natural-language AI feature additions / modifications on top of selected Solution Packs into the OmniStackAI Studio: - HTTP API (`server.py`): accept `ai_features` (list of feature specifications or prompt string) in `POST /api/build`. - Live Build Pipeline (`live_serve.py`): when AI features are provided on top of a Solution Pack, formulate typed `ai-delta` changes, call `generate_ai_delta_proposal` via the `ModelProvider` boundary (or bypass when none requested), merge the proposal safely</t>
        </is>
      </c>
      <c r="F20" t="inlineStr">
        <is>
          <t>P1</t>
        </is>
      </c>
      <c r="G20" t="inlineStr">
        <is>
          <t>sanjeetji</t>
        </is>
      </c>
      <c r="H20" t="inlineStr">
        <is>
          <t>Done</t>
        </is>
      </c>
      <c r="I20" t="n">
        <v>1</v>
      </c>
      <c r="J20" t="inlineStr">
        <is>
          <t>R-441</t>
        </is>
      </c>
      <c r="K20" t="inlineStr">
        <is>
          <t>Founder Stage 0</t>
        </is>
      </c>
      <c r="L20" t="inlineStr">
        <is>
          <t>task verify passed offline; lint/security/env pass; 0 model calls.</t>
        </is>
      </c>
      <c r="M20" t="inlineStr">
        <is>
          <t>Added on 2026-09-14 during task compilation audit: completed in founder build sequence as part of UI component suites and differentiating spine (R-359..R-448); verified 100% offline (task verify 3,098 tests passed).</t>
        </is>
      </c>
    </row>
    <row r="21" ht="34" customHeight="1" s="401">
      <c r="A21" t="inlineStr">
        <is>
          <t>R-441</t>
        </is>
      </c>
      <c r="B21" t="inlineStr">
        <is>
          <t>MVP</t>
        </is>
      </c>
      <c r="C21" t="inlineStr">
        <is>
          <t>Studio</t>
        </is>
      </c>
      <c r="D21" t="inlineStr">
        <is>
          <t>Live Studio integration and UI controls for Solution Pack selection and modification</t>
        </is>
      </c>
      <c r="E21" t="inlineStr">
        <is>
          <t>Wire Solution Pack discovery, recommendation, selection, customization, and provenance into the OmniStackAI Studio web interface (`page.py`), live server (`live_serve.py`), HTTP server (`server.py`), and history tracking (`history.py`).</t>
        </is>
      </c>
      <c r="F21" t="inlineStr">
        <is>
          <t>P1</t>
        </is>
      </c>
      <c r="G21" t="inlineStr">
        <is>
          <t>sanjeetji</t>
        </is>
      </c>
      <c r="H21" t="inlineStr">
        <is>
          <t>Done</t>
        </is>
      </c>
      <c r="I21" t="n">
        <v>1</v>
      </c>
      <c r="J21" t="inlineStr">
        <is>
          <t>R-440</t>
        </is>
      </c>
      <c r="K21" t="inlineStr">
        <is>
          <t>Founder Stage 0</t>
        </is>
      </c>
      <c r="L21" t="inlineStr">
        <is>
          <t>task verify passed offline; lint/security/env pass; 0 model calls.</t>
        </is>
      </c>
      <c r="M21" t="inlineStr">
        <is>
          <t>Added on 2026-09-14 during task compilation audit: completed in founder build sequence as part of UI component suites and differentiating spine (R-359..R-448); verified 100% offline (task verify 3,098 tests passed).</t>
        </is>
      </c>
    </row>
    <row r="22" ht="34" customHeight="1" s="401">
      <c r="A22" t="inlineStr">
        <is>
          <t>R-440</t>
        </is>
      </c>
      <c r="B22" t="inlineStr">
        <is>
          <t>MVP</t>
        </is>
      </c>
      <c r="C22" t="inlineStr">
        <is>
          <t>Solution Packs</t>
        </is>
      </c>
      <c r="D22" t="inlineStr">
        <is>
          <t>Standard AI Task Contract: R-440</t>
        </is>
      </c>
      <c r="E22" t="inlineStr">
        <is>
          <t>Eleventh brick of the differentiating spine and seventh Solution Pack task. Connects derived `ApplicationIR` instances from safe Solution Pack customization (`apply_solution_pack_manifest`) into verified single-project generation (`build_solution_pack_project`) and multi-repo ecosystem pipelines (`plan_ecosystem` / `build_ecosystem`).</t>
        </is>
      </c>
      <c r="F22" t="inlineStr">
        <is>
          <t>P1</t>
        </is>
      </c>
      <c r="G22" t="inlineStr">
        <is>
          <t>sanjeetji</t>
        </is>
      </c>
      <c r="H22" t="inlineStr">
        <is>
          <t>Done</t>
        </is>
      </c>
      <c r="I22" t="n">
        <v>1</v>
      </c>
      <c r="J22" t="inlineStr">
        <is>
          <t>R-439</t>
        </is>
      </c>
      <c r="K22" t="inlineStr">
        <is>
          <t>Founder Stage 0</t>
        </is>
      </c>
      <c r="L22" t="inlineStr">
        <is>
          <t>task verify passed offline; lint/security/env pass; 0 model calls.</t>
        </is>
      </c>
      <c r="M22" t="inlineStr">
        <is>
          <t>Added on 2026-09-14 during task compilation audit: completed in founder build sequence as part of UI component suites and differentiating spine (R-359..R-448); verified 100% offline (task verify 3,098 tests passed).</t>
        </is>
      </c>
    </row>
    <row r="23" ht="34" customHeight="1" s="401">
      <c r="A23" t="inlineStr">
        <is>
          <t>R-439</t>
        </is>
      </c>
      <c r="B23" t="inlineStr">
        <is>
          <t>MVP</t>
        </is>
      </c>
      <c r="C23" t="inlineStr">
        <is>
          <t>Solution Packs</t>
        </is>
      </c>
      <c r="D23" t="inlineStr">
        <is>
          <t>Safely Apply Validated AI-Delta Proposals to Application IR</t>
        </is>
      </c>
      <c r="E23" t="inlineStr">
        <is>
          <t>Tenth brick of the differentiating spine and sixth Solution Pack task. Safely apply validated `AIDeltaProposal` objects to a fresh pinned Solution Pack `ApplicationIR`, combining allowlisted configuration updates and verified AI-delta additions into a single, unified `validate_ir`-clean derived `ApplicationIR` with transparent, byte-stable provenance tracking. When no proposal is provided, existing configuration application behavior is strictly preserved.</t>
        </is>
      </c>
      <c r="F23" t="inlineStr">
        <is>
          <t>P1</t>
        </is>
      </c>
      <c r="G23" t="inlineStr">
        <is>
          <t>sanjeetji</t>
        </is>
      </c>
      <c r="H23" t="inlineStr">
        <is>
          <t>Done</t>
        </is>
      </c>
      <c r="I23" t="n">
        <v>1</v>
      </c>
      <c r="J23" t="inlineStr">
        <is>
          <t>R-438</t>
        </is>
      </c>
      <c r="K23" t="inlineStr">
        <is>
          <t>Founder Stage 0</t>
        </is>
      </c>
      <c r="L23" t="inlineStr">
        <is>
          <t>task verify passed offline; lint/security/env pass; 0 model calls.</t>
        </is>
      </c>
      <c r="M23" t="inlineStr">
        <is>
          <t>Added on 2026-09-14 during task compilation audit: completed in founder build sequence as part of UI component suites and differentiating spine (R-359..R-448); verified 100% offline (task verify 3,098 tests passed).</t>
        </is>
      </c>
    </row>
    <row r="24" ht="34" customHeight="1" s="401">
      <c r="A24" t="inlineStr">
        <is>
          <t>R-438</t>
        </is>
      </c>
      <c r="B24" t="inlineStr">
        <is>
          <t>MVP</t>
        </is>
      </c>
      <c r="C24" t="inlineStr">
        <is>
          <t>Solution Packs</t>
        </is>
      </c>
      <c r="D24" t="inlineStr">
        <is>
          <t>Task Contract: R-438 — Bounded Typed Solution Pack AI-Delta Proposal Schema &amp; Local ModelProvider Boundary</t>
        </is>
      </c>
      <c r="E24" t="inlineStr">
        <is>
          <t>Ninth brick of the differentiating spine and fifth Solution Pack task. Define a strict, bounded typed AI-delta proposal schema and an explicit opt-in local `ModelProvider` path that converts pending manifest AI-delta intents into validated proposal data only. Manifests with zero AI-delta changes bypass the model completely (0 calls); all verification runs offline with mock providers; no cloud fallback, proposal application, IR mutation, source generation, or repository build.</t>
        </is>
      </c>
      <c r="F24" t="inlineStr">
        <is>
          <t>P1</t>
        </is>
      </c>
      <c r="G24" t="inlineStr">
        <is>
          <t>sanjeetji</t>
        </is>
      </c>
      <c r="H24" t="inlineStr">
        <is>
          <t>Done</t>
        </is>
      </c>
      <c r="I24" t="n">
        <v>1</v>
      </c>
      <c r="J24" t="inlineStr">
        <is>
          <t>R-437</t>
        </is>
      </c>
      <c r="K24" t="inlineStr">
        <is>
          <t>Founder Stage 0</t>
        </is>
      </c>
      <c r="L24" t="inlineStr">
        <is>
          <t>task verify passed offline; lint/security/env pass; 0 model calls.</t>
        </is>
      </c>
      <c r="M24" t="inlineStr">
        <is>
          <t>Added on 2026-09-14 during task compilation audit: completed in founder build sequence as part of UI component suites and differentiating spine (R-359..R-448); verified 100% offline (task verify 3,098 tests passed).</t>
        </is>
      </c>
    </row>
    <row r="25" ht="34" customHeight="1" s="401">
      <c r="A25" t="inlineStr">
        <is>
          <t>R-437</t>
        </is>
      </c>
      <c r="B25" t="inlineStr">
        <is>
          <t>MVP</t>
        </is>
      </c>
      <c r="C25" t="inlineStr">
        <is>
          <t>Solution Packs</t>
        </is>
      </c>
      <c r="D25" t="inlineStr">
        <is>
          <t>Deterministic Solution Pack configuration application</t>
        </is>
      </c>
      <c r="E25" t="inlineStr">
        <is>
          <t>Implement the first deterministic application layer above R-436. An exact-pinned manifest may update only the fresh baseline Application IR's project name and description using explicit bounded text; the result is validated and accompanied by immutable provenance. AI-delta entries remain reviewable, explicitly unapplied intent. No source generation, build, provider, or model path is part of this task.</t>
        </is>
      </c>
      <c r="F25" t="inlineStr">
        <is>
          <t>P1</t>
        </is>
      </c>
      <c r="G25" t="inlineStr">
        <is>
          <t>sanjeetji</t>
        </is>
      </c>
      <c r="H25" t="inlineStr">
        <is>
          <t>Done</t>
        </is>
      </c>
      <c r="I25" t="n">
        <v>1</v>
      </c>
      <c r="J25" t="inlineStr">
        <is>
          <t>R-436</t>
        </is>
      </c>
      <c r="K25" t="inlineStr">
        <is>
          <t>Founder Stage 0</t>
        </is>
      </c>
      <c r="L25" t="inlineStr">
        <is>
          <t>task verify passed offline; lint/security/env pass; 0 model calls.</t>
        </is>
      </c>
      <c r="M25" t="inlineStr">
        <is>
          <t>Added on 2026-09-14 during task compilation audit: completed in founder build sequence as part of UI component suites and differentiating spine (R-359..R-448); verified 100% offline (task verify 3,098 tests passed).</t>
        </is>
      </c>
    </row>
    <row r="26" ht="34" customHeight="1" s="401">
      <c r="A26" t="inlineStr">
        <is>
          <t>R-436</t>
        </is>
      </c>
      <c r="B26" t="inlineStr">
        <is>
          <t>MVP</t>
        </is>
      </c>
      <c r="C26" t="inlineStr">
        <is>
          <t>Solution Packs</t>
        </is>
      </c>
      <c r="D26" t="inlineStr">
        <is>
          <t>Pinned declarative Solution Pack customization manifests</t>
        </is>
      </c>
      <c r="E26" t="inlineStr">
        <is>
          <t>Define the immutable boundary between an R-435 exact-compatible baseline recommendation and future pack customization. The manifest records only bounded semantic intent: deterministic configuration and AI-delta changes. It pins the selected pack and compatibility query, but does not load or apply the pack, mutate an Application IR, generate source, build, or call a model.</t>
        </is>
      </c>
      <c r="F26" t="inlineStr">
        <is>
          <t>P1</t>
        </is>
      </c>
      <c r="G26" t="inlineStr">
        <is>
          <t>sanjeetji</t>
        </is>
      </c>
      <c r="H26" t="inlineStr">
        <is>
          <t>Done</t>
        </is>
      </c>
      <c r="I26" t="n">
        <v>1</v>
      </c>
      <c r="J26" t="inlineStr">
        <is>
          <t>R-435</t>
        </is>
      </c>
      <c r="K26" t="inlineStr">
        <is>
          <t>Founder Stage 0</t>
        </is>
      </c>
      <c r="L26" t="inlineStr">
        <is>
          <t>task verify passed offline; lint/security/env pass; 0 model calls.</t>
        </is>
      </c>
      <c r="M26" t="inlineStr">
        <is>
          <t>Added on 2026-09-14 during task compilation audit: completed in founder build sequence as part of UI component suites and differentiating spine (R-359..R-448); verified 100% offline (task verify 3,098 tests passed).</t>
        </is>
      </c>
    </row>
    <row r="27" ht="34" customHeight="1" s="401">
      <c r="A27" t="inlineStr">
        <is>
          <t>R-435</t>
        </is>
      </c>
      <c r="B27" t="inlineStr">
        <is>
          <t>MVP</t>
        </is>
      </c>
      <c r="C27" t="inlineStr">
        <is>
          <t>Solution Packs</t>
        </is>
      </c>
      <c r="D27" t="inlineStr">
        <is>
          <t>Exact-compatible Solution Pack recommendations in ecosystem planning</t>
        </is>
      </c>
      <c r="E27" t="inlineStr">
        <is>
          <t>Connect the R-434 immutable baseline registry to R-431/R-433 ecosystem planning as transparent metadata, without applying a pack or changing any generated Application IR/repository. Compatibility is factual: exact domain plus caller-required capabilities and the target set derived from the already planned apps.</t>
        </is>
      </c>
      <c r="F27" t="inlineStr">
        <is>
          <t>P1</t>
        </is>
      </c>
      <c r="G27" t="inlineStr">
        <is>
          <t>sanjeetji</t>
        </is>
      </c>
      <c r="H27" t="inlineStr">
        <is>
          <t>Done</t>
        </is>
      </c>
      <c r="I27" t="n">
        <v>1</v>
      </c>
      <c r="J27" t="inlineStr">
        <is>
          <t>R-434</t>
        </is>
      </c>
      <c r="K27" t="inlineStr">
        <is>
          <t>Founder Stage 0</t>
        </is>
      </c>
      <c r="L27" t="inlineStr">
        <is>
          <t>task verify passed offline; lint/security/env pass; 0 model calls.</t>
        </is>
      </c>
      <c r="M27" t="inlineStr">
        <is>
          <t>Added on 2026-09-14 during task compilation audit: completed in founder build sequence as part of UI component suites and differentiating spine (R-359..R-448); verified 100% offline (task verify 3,098 tests passed).</t>
        </is>
      </c>
    </row>
    <row r="28" ht="34" customHeight="1" s="401">
      <c r="A28" t="inlineStr">
        <is>
          <t>R-434</t>
        </is>
      </c>
      <c r="B28" t="inlineStr">
        <is>
          <t>MVP</t>
        </is>
      </c>
      <c r="C28" t="inlineStr">
        <is>
          <t>Solution Packs</t>
        </is>
      </c>
      <c r="D28" t="inlineStr">
        <is>
          <t>Versioned baseline Solution Pack registry</t>
        </is>
      </c>
      <c r="E28" t="inlineStr">
        <is>
          <t>Implement the smallest honest foundation for Master Architecture Specification section 5 / Stream C. Register the two Application IR examples that are already heavily exercised by the offline suite and builder demos as immutable, versioned Solution Pack descriptors. Reuse those IR builders directly, pin their canonical contents and assembled targets, and provide deterministic validation and selection. Do not copy a generated repository, claim unexecuted verification, or introduce AI-delta genera</t>
        </is>
      </c>
      <c r="F28" t="inlineStr">
        <is>
          <t>P1</t>
        </is>
      </c>
      <c r="G28" t="inlineStr">
        <is>
          <t>sanjeetji</t>
        </is>
      </c>
      <c r="H28" t="inlineStr">
        <is>
          <t>Done</t>
        </is>
      </c>
      <c r="I28" t="n">
        <v>1</v>
      </c>
      <c r="J28" t="inlineStr">
        <is>
          <t>R-433</t>
        </is>
      </c>
      <c r="K28" t="inlineStr">
        <is>
          <t>Founder Stage 0</t>
        </is>
      </c>
      <c r="L28" t="inlineStr">
        <is>
          <t>task verify passed offline; lint/security/env pass; 0 model calls.</t>
        </is>
      </c>
      <c r="M28" t="inlineStr">
        <is>
          <t>Added on 2026-09-14 during task compilation audit: completed in founder build sequence as part of UI component suites and differentiating spine (R-359..R-448); verified 100% offline (task verify 3,098 tests passed).</t>
        </is>
      </c>
    </row>
    <row r="29" ht="34" customHeight="1" s="401">
      <c r="A29" t="inlineStr">
        <is>
          <t>R-433</t>
        </is>
      </c>
      <c r="B29" t="inlineStr">
        <is>
          <t>MVP</t>
        </is>
      </c>
      <c r="C29" t="inlineStr">
        <is>
          <t>Ecosystem</t>
        </is>
      </c>
      <c r="D29" t="inlineStr">
        <is>
          <t>Surface-specific ecosystem data and capability scoping</t>
        </is>
      </c>
      <c r="E29" t="inlineStr">
        <is>
          <t>Make each ecosystem surface a genuinely bounded product rather than cloning the same complete domain model and all platform actors into every generated app. The deterministic planner must select relevant entities for the surface, retain required relation targets as read dependencies, distinguish readable from writable capabilities, declare only the surface actor role, and role-gate authenticated mutations. This must work for curated R-430/R-431 proposals and validated R-432 refinements without a</t>
        </is>
      </c>
      <c r="F29" t="inlineStr">
        <is>
          <t>P1</t>
        </is>
      </c>
      <c r="G29" t="inlineStr">
        <is>
          <t>sanjeetji</t>
        </is>
      </c>
      <c r="H29" t="inlineStr">
        <is>
          <t>Done</t>
        </is>
      </c>
      <c r="I29" t="n">
        <v>1</v>
      </c>
      <c r="J29" t="inlineStr">
        <is>
          <t>R-432</t>
        </is>
      </c>
      <c r="K29" t="inlineStr">
        <is>
          <t>Founder Stage 0</t>
        </is>
      </c>
      <c r="L29" t="inlineStr">
        <is>
          <t>task verify passed offline; lint/security/env pass; 0 model calls.</t>
        </is>
      </c>
      <c r="M29" t="inlineStr">
        <is>
          <t>Added on 2026-09-14 during task compilation audit: completed in founder build sequence as part of UI component suites and differentiating spine (R-359..R-448); verified 100% offline (task verify 3,098 tests passed).</t>
        </is>
      </c>
    </row>
    <row r="30" ht="34" customHeight="1" s="401">
      <c r="A30" t="inlineStr">
        <is>
          <t>R-432</t>
        </is>
      </c>
      <c r="B30" t="inlineStr">
        <is>
          <t>MVP</t>
        </is>
      </c>
      <c r="C30" t="inlineStr">
        <is>
          <t>Ecosystem</t>
        </is>
      </c>
      <c r="D30" t="inlineStr">
        <is>
          <t>Opt-in model refinement for tailored ecosystems outside curated domains</t>
        </is>
      </c>
      <c r="E30" t="inlineStr">
        <is>
          <t>Keep the R-430 deterministic classifier and R-431 curated domain models as the authoritative first pass. When that pass yields `custom-application`, an explicit opt-in path may ask a cheap model-through the platform-owned `ModelProvider` contract-to propose a tailored business domain, actors, app surfaces, at most three material questions, and a compact typed entity model. Parse that untrusted response into bounded framework-neutral values, reject malformed or unsafe shapes, and feed the validat</t>
        </is>
      </c>
      <c r="F30" t="inlineStr">
        <is>
          <t>P1</t>
        </is>
      </c>
      <c r="G30" t="inlineStr">
        <is>
          <t>sanjeetji</t>
        </is>
      </c>
      <c r="H30" t="inlineStr">
        <is>
          <t>Done</t>
        </is>
      </c>
      <c r="I30" t="n">
        <v>1</v>
      </c>
      <c r="J30" t="inlineStr">
        <is>
          <t>R-431</t>
        </is>
      </c>
      <c r="K30" t="inlineStr">
        <is>
          <t>Founder Stage 0</t>
        </is>
      </c>
      <c r="L30" t="inlineStr">
        <is>
          <t>task verify passed offline; lint/security/env pass; 0 model calls.</t>
        </is>
      </c>
      <c r="M30" t="inlineStr">
        <is>
          <t>Added on 2026-09-14 during task compilation audit: completed in founder build sequence as part of UI component suites and differentiating spine (R-359..R-448); verified 100% offline (task verify 3,098 tests passed).</t>
        </is>
      </c>
    </row>
    <row r="31" ht="34" customHeight="1" s="401">
      <c r="A31" t="inlineStr">
        <is>
          <t>R-431</t>
        </is>
      </c>
      <c r="B31" t="inlineStr">
        <is>
          <t>MVP</t>
        </is>
      </c>
      <c r="C31" t="inlineStr">
        <is>
          <t>Ecosystem</t>
        </is>
      </c>
      <c r="D31" t="inlineStr">
        <is>
          <t>Scope → Application IRs — materialize a multi-app ecosystem from one prompt</t>
        </is>
      </c>
      <c r="E31" t="inlineStr">
        <is>
          <t>Add a Python-3.13-stdlib-only `intake/ecosystem.py` that turns a `ScopeProposal` (+ a chosen build-scope option) into an `EcosystemPlan`: one framework-neutral, `validate_ir`-clean `ApplicationIR` per selected surface, built from a curated per-domain data model + a deterministic CRUD deriver (standard LIST/GET/CREATE/ UPDATE/DELETE + sub-collection LIST_BY endpoints that WIRE to real repository-backed handlers — no stubs, no fake data). Then `build_ecosystem(plan, out_dir)` materializes each app</t>
        </is>
      </c>
      <c r="F31" t="inlineStr">
        <is>
          <t>P1</t>
        </is>
      </c>
      <c r="G31" t="inlineStr">
        <is>
          <t>sanjeetji</t>
        </is>
      </c>
      <c r="H31" t="inlineStr">
        <is>
          <t>Done</t>
        </is>
      </c>
      <c r="I31" t="n">
        <v>1</v>
      </c>
      <c r="J31" t="inlineStr">
        <is>
          <t>R-430</t>
        </is>
      </c>
      <c r="K31" t="inlineStr">
        <is>
          <t>Founder Stage 0</t>
        </is>
      </c>
      <c r="L31" t="inlineStr">
        <is>
          <t>task verify passed offline; lint/security/env pass; 0 model calls.</t>
        </is>
      </c>
      <c r="M31" t="inlineStr">
        <is>
          <t>Added on 2026-09-14 during task compilation audit: completed in founder build sequence as part of UI component suites and differentiating spine (R-359..R-448); verified 100% offline (task verify 3,098 tests passed).</t>
        </is>
      </c>
    </row>
    <row r="32" ht="34" customHeight="1" s="401">
      <c r="A32" t="inlineStr">
        <is>
          <t>R-430</t>
        </is>
      </c>
      <c r="B32" t="inlineStr">
        <is>
          <t>MVP</t>
        </is>
      </c>
      <c r="C32" t="inlineStr">
        <is>
          <t>Ecosystem</t>
        </is>
      </c>
      <c r="D32" t="inlineStr">
        <is>
          <t>Ecosystem Scope Compiler — deterministic domain classification + multi-app scope proposal</t>
        </is>
      </c>
      <c r="E32" t="inlineStr">
        <is>
          <t>Add a Python-3.13-stdlib-only `intake/scope_compiler.py` that turns a plain-English business prompt into a structured, framework-neutral **ScopeProposal**: the detected domain (+ confidence + matched keywords), the business actors, the multi-surface app ecosystem, and 1–3 build-scope options (Complete Business Platform [recommended], Customer Experience Only, Custom) plus at most 3 high-materiality clarifying questions. The classification is a deterministic, curated keyword-heuristic layer (no m</t>
        </is>
      </c>
      <c r="F32" t="inlineStr">
        <is>
          <t>P1</t>
        </is>
      </c>
      <c r="G32" t="inlineStr">
        <is>
          <t>sanjeetji</t>
        </is>
      </c>
      <c r="H32" t="inlineStr">
        <is>
          <t>Done</t>
        </is>
      </c>
      <c r="I32" t="n">
        <v>1</v>
      </c>
      <c r="J32" t="inlineStr">
        <is>
          <t>R-429</t>
        </is>
      </c>
      <c r="K32" t="inlineStr">
        <is>
          <t>Founder Stage 0</t>
        </is>
      </c>
      <c r="L32" t="inlineStr">
        <is>
          <t>task verify passed offline; lint/security/env pass; 0 model calls.</t>
        </is>
      </c>
      <c r="M32" t="inlineStr">
        <is>
          <t>Added on 2026-09-14 during task compilation audit: completed in founder build sequence as part of UI component suites and differentiating spine (R-359..R-448); verified 100% offline (task verify 3,098 tests passed).</t>
        </is>
      </c>
    </row>
    <row r="33" ht="34" customHeight="1" s="401">
      <c r="A33" t="inlineStr">
        <is>
          <t>R-429</t>
        </is>
      </c>
      <c r="B33" t="inlineStr">
        <is>
          <t>MVP</t>
        </is>
      </c>
      <c r="C33" t="inlineStr">
        <is>
          <t>Codegen / Preview</t>
        </is>
      </c>
      <c r="D33" t="inlineStr">
        <is>
          <t>Generated web app passes strict `tsc --noEmit` — component-library type cleanup</t>
        </is>
      </c>
      <c r="E33" t="inlineStr">
        <is>
          <t>Make a generated Next.js app type-check cleanly under strict TypeScript. Running the R-428 opt-in gate on a generated `minimal-blog` reports 84 errors: 4 from `node_modules/next` type declarations (a missing `skipLibCheck`, which is Next.js's own default) and 80 in our generated code across 19 component files plus `lib/hooks.ts`, in 8 distinct, mechanical patterns (below). Fix each pattern at the generator (`codegen/nextjs.py`) so `tsc --noEmit` exits 0 on BOTH example IRs, extend the web-typech</t>
        </is>
      </c>
      <c r="F33" t="inlineStr">
        <is>
          <t>P1</t>
        </is>
      </c>
      <c r="G33" t="inlineStr">
        <is>
          <t>sanjeetji</t>
        </is>
      </c>
      <c r="H33" t="inlineStr">
        <is>
          <t>Done</t>
        </is>
      </c>
      <c r="I33" t="n">
        <v>1</v>
      </c>
      <c r="J33" t="inlineStr">
        <is>
          <t>R-428</t>
        </is>
      </c>
      <c r="K33" t="inlineStr">
        <is>
          <t>Founder Stage 0</t>
        </is>
      </c>
      <c r="L33" t="inlineStr">
        <is>
          <t>task verify passed offline; lint/security/env pass; 0 model calls.</t>
        </is>
      </c>
      <c r="M33" t="inlineStr">
        <is>
          <t>Added on 2026-09-14 during task compilation audit: completed in founder build sequence as part of UI component suites and differentiating spine (R-359..R-448); verified 100% offline (task verify 3,098 tests passed).</t>
        </is>
      </c>
    </row>
    <row r="34" ht="34" customHeight="1" s="401">
      <c r="A34" t="inlineStr">
        <is>
          <t>R-428</t>
        </is>
      </c>
      <c r="B34" t="inlineStr">
        <is>
          <t>MVP</t>
        </is>
      </c>
      <c r="C34" t="inlineStr">
        <is>
          <t>Codegen / Preview</t>
        </is>
      </c>
      <c r="D34" t="inlineStr">
        <is>
          <t>Generated web app compiles — opt-in TypeScript typecheck gate + fix the bugs it reveals</t>
        </is>
      </c>
      <c r="E34" t="inlineStr">
        <is>
          <t>Generated Next.js apps have accumulated multiple compile-time bugs that `task verify` never catches because it asserts generated code as strings and never compiles the TSX. Add an opt-in, live TypeScript typecheck gate — `task agent-engine:web-typecheck -- &lt;example&gt; [out-dir]` — that generates an example app, ensures its web dependencies, and runs `tsc --noEmit` on `apps/web`, reporting the errors. Then fix every generator bug the gate reveals (inconsistent f-string brace escaping in event handl</t>
        </is>
      </c>
      <c r="F34" t="inlineStr">
        <is>
          <t>P1</t>
        </is>
      </c>
      <c r="G34" t="inlineStr">
        <is>
          <t>sanjeetji</t>
        </is>
      </c>
      <c r="H34" t="inlineStr">
        <is>
          <t>Done</t>
        </is>
      </c>
      <c r="I34" t="n">
        <v>1</v>
      </c>
      <c r="J34" t="inlineStr">
        <is>
          <t>R-427</t>
        </is>
      </c>
      <c r="K34" t="inlineStr">
        <is>
          <t>Founder Stage 0</t>
        </is>
      </c>
      <c r="L34" t="inlineStr">
        <is>
          <t>task verify passed offline; lint/security/env pass; 0 model calls.</t>
        </is>
      </c>
      <c r="M34" t="inlineStr">
        <is>
          <t>Added on 2026-09-14 during task compilation audit: completed in founder build sequence as part of UI component suites and differentiating spine (R-359..R-448); verified 100% offline (task verify 3,098 tests passed).</t>
        </is>
      </c>
    </row>
    <row r="35" ht="34" customHeight="1" s="401">
      <c r="A35" t="inlineStr">
        <is>
          <t>R-427</t>
        </is>
      </c>
      <c r="B35" t="inlineStr">
        <is>
          <t>MVP</t>
        </is>
      </c>
      <c r="C35" t="inlineStr">
        <is>
          <t>Codegen / Preview</t>
        </is>
      </c>
      <c r="D35" t="inlineStr">
        <is>
          <t>Fix malformed single-brace inline styles in generated Next.js screens</t>
        </is>
      </c>
      <c r="E35" t="inlineStr">
        <is>
          <t xml:space="preserve">Generated Next.js screen files emit invalid JSX inline styles: several f-string templates in `codegen/nextjs.py` write `style={{ ... }}`, which Python collapses to single-brace `style={ ... }` in the output (JSX requires double braces). This is a hard syntax error, so any generated web app containing the affected form/list/detail screen headers and definition lists fails to compile and returns HTTP 500 — the Studio preview shows a blank/500 page even though the backend runs. `task verify` never </t>
        </is>
      </c>
      <c r="F35" t="inlineStr">
        <is>
          <t>P1</t>
        </is>
      </c>
      <c r="G35" t="inlineStr">
        <is>
          <t>sanjeetji</t>
        </is>
      </c>
      <c r="H35" t="inlineStr">
        <is>
          <t>Done</t>
        </is>
      </c>
      <c r="I35" t="n">
        <v>1</v>
      </c>
      <c r="J35" t="inlineStr">
        <is>
          <t>R-426</t>
        </is>
      </c>
      <c r="K35" t="inlineStr">
        <is>
          <t>Founder Stage 0</t>
        </is>
      </c>
      <c r="L35" t="inlineStr">
        <is>
          <t>task verify passed offline; lint/security/env pass; 0 model calls.</t>
        </is>
      </c>
      <c r="M35" t="inlineStr">
        <is>
          <t>Added on 2026-09-14 during task compilation audit: completed in founder build sequence as part of UI component suites and differentiating spine (R-359..R-448); verified 100% offline (task verify 3,098 tests passed).</t>
        </is>
      </c>
    </row>
    <row r="36" ht="34" customHeight="1" s="401">
      <c r="A36" t="inlineStr">
        <is>
          <t>R-426</t>
        </is>
      </c>
      <c r="B36" t="inlineStr">
        <is>
          <t>MVP</t>
        </is>
      </c>
      <c r="C36" t="inlineStr">
        <is>
          <t>Codegen / Preview</t>
        </is>
      </c>
      <c r="D36" t="inlineStr">
        <is>
          <t>Remove a build from the Studio history</t>
        </is>
      </c>
      <c r="E36" t="inlineStr">
        <is>
          <t>Let the operator clear a recorded build from the Studio's in-session "Recent builds" list. Add `StudioBuildHistory.remove(build_id) -&gt; bool` (thread-safe; removes the entry by id, returns whether it existed). Expose it over the stdlib Studio server as `POST /api/history/delete {id}` via a new injected handler (`delete_build_fn(build_id) -&gt; dict`), reusing the existing generic `{id}`-body reader; unset handler returns 404, missing id returns 400. Because removing an entry only edits the bounded i</t>
        </is>
      </c>
      <c r="F36" t="inlineStr">
        <is>
          <t>P1</t>
        </is>
      </c>
      <c r="G36" t="inlineStr">
        <is>
          <t>sanjeetji</t>
        </is>
      </c>
      <c r="H36" t="inlineStr">
        <is>
          <t>Done</t>
        </is>
      </c>
      <c r="I36" t="n">
        <v>1</v>
      </c>
      <c r="J36" t="inlineStr">
        <is>
          <t>R-425</t>
        </is>
      </c>
      <c r="K36" t="inlineStr">
        <is>
          <t>Founder Stage 0</t>
        </is>
      </c>
      <c r="L36" t="inlineStr">
        <is>
          <t>task verify passed offline; lint/security/env pass; 0 model calls.</t>
        </is>
      </c>
      <c r="M36" t="inlineStr">
        <is>
          <t>Added on 2026-09-14 during task compilation audit: completed in founder build sequence as part of UI component suites and differentiating spine (R-359..R-448); verified 100% offline (task verify 3,098 tests passed).</t>
        </is>
      </c>
    </row>
    <row r="37" ht="34" customHeight="1" s="401">
      <c r="A37" t="inlineStr">
        <is>
          <t>R-425</t>
        </is>
      </c>
      <c r="B37" t="inlineStr">
        <is>
          <t>MVP</t>
        </is>
      </c>
      <c r="C37" t="inlineStr">
        <is>
          <t>Codegen / Preview</t>
        </is>
      </c>
      <c r="D37" t="inlineStr">
        <is>
          <t>Per-build repo actions — copy path + open folder</t>
        </is>
      </c>
      <c r="E37" t="inlineStr">
        <is>
          <t xml:space="preserve">Let the operator jump from a recorded Studio build to the owned code on disk. Add per-build actions to the "Recent builds" list: a purely client-side **Copy path** (copies the recorded repo `target_dir` to the clipboard; works in both Studio modes), and an **Open folder** action that opens the recorded repo directory in the OS file browser via a new trusted-local route `POST /api/history/open {id}`. The open route reuses the same injected-handler pattern (an `open_dir_fn(build_id) -&gt; dict`) and </t>
        </is>
      </c>
      <c r="F37" t="inlineStr">
        <is>
          <t>P1</t>
        </is>
      </c>
      <c r="G37" t="inlineStr">
        <is>
          <t>sanjeetji</t>
        </is>
      </c>
      <c r="H37" t="inlineStr">
        <is>
          <t>Done</t>
        </is>
      </c>
      <c r="I37" t="n">
        <v>1</v>
      </c>
      <c r="J37" t="inlineStr">
        <is>
          <t>R-424</t>
        </is>
      </c>
      <c r="K37" t="inlineStr">
        <is>
          <t>Founder Stage 0</t>
        </is>
      </c>
      <c r="L37" t="inlineStr">
        <is>
          <t>task verify passed offline; lint/security/env pass; 0 model calls.</t>
        </is>
      </c>
      <c r="M37" t="inlineStr">
        <is>
          <t>Added on 2026-09-14 during task compilation audit: completed in founder build sequence as part of UI component suites and differentiating spine (R-359..R-448); verified 100% offline (task verify 3,098 tests passed).</t>
        </is>
      </c>
    </row>
    <row r="38" ht="34" customHeight="1" s="401">
      <c r="A38" t="inlineStr">
        <is>
          <t>R-424</t>
        </is>
      </c>
      <c r="B38" t="inlineStr">
        <is>
          <t>MVP</t>
        </is>
      </c>
      <c r="C38" t="inlineStr">
        <is>
          <t>Codegen / Preview</t>
        </is>
      </c>
      <c r="D38" t="inlineStr">
        <is>
          <t>Live preview status — liveness-aware status + Studio polling</t>
        </is>
      </c>
      <c r="E38" t="inlineStr">
        <is>
          <t>Make the Studio's view of a running preview stay accurate over time. Add `LocalAppSession.is_alive()` (true only when the session is not stopped and every owned background process is still running). Make `StudioPreviewManager.status()` liveness-aware: when the active preview's processes have exited on their own, it stops/forgets the dead session and reports a bounded, secret-free "stopped" state instead of a stale "ready". Have the Studio page **poll** the existing `GET /api/preview` route while</t>
        </is>
      </c>
      <c r="F38" t="inlineStr">
        <is>
          <t>P1</t>
        </is>
      </c>
      <c r="G38" t="inlineStr">
        <is>
          <t>sanjeetji</t>
        </is>
      </c>
      <c r="H38" t="inlineStr">
        <is>
          <t>Done</t>
        </is>
      </c>
      <c r="I38" t="n">
        <v>1</v>
      </c>
      <c r="J38" t="inlineStr">
        <is>
          <t>R-423</t>
        </is>
      </c>
      <c r="K38" t="inlineStr">
        <is>
          <t>Founder Stage 0</t>
        </is>
      </c>
      <c r="L38" t="inlineStr">
        <is>
          <t>task verify passed offline; lint/security/env pass; 0 model calls.</t>
        </is>
      </c>
      <c r="M38" t="inlineStr">
        <is>
          <t>Added on 2026-09-14 during task compilation audit: completed in founder build sequence as part of UI component suites and differentiating spine (R-359..R-448); verified 100% offline (task verify 3,098 tests passed).</t>
        </is>
      </c>
    </row>
    <row r="39" ht="34" customHeight="1" s="401">
      <c r="A39" t="inlineStr">
        <is>
          <t>R-423</t>
        </is>
      </c>
      <c r="B39" t="inlineStr">
        <is>
          <t>MVP</t>
        </is>
      </c>
      <c r="C39" t="inlineStr">
        <is>
          <t>Codegen / Preview</t>
        </is>
      </c>
      <c r="D39" t="inlineStr">
        <is>
          <t>Studio build history + re-preview a recent build</t>
        </is>
      </c>
      <c r="E39" t="inlineStr">
        <is>
          <t>Give the local Studio a bounded, in-session memory of recent builds and let the operator re-open/re-preview any of them. Add a dependency-free, thread-safe `StudioBuildHistory` (Python stdlib only) that records each successful build as a bounded, secret-free entry (id, prompt (truncated), app name, entities, file_count, target_dir, commit_sha, created_at) capped at a fixed number of most-recent entries. Expose it over the existing stdlib Studio server: `GET /api/history` returns the recent build</t>
        </is>
      </c>
      <c r="F39" t="inlineStr">
        <is>
          <t>P1</t>
        </is>
      </c>
      <c r="G39" t="inlineStr">
        <is>
          <t>sanjeetji</t>
        </is>
      </c>
      <c r="H39" t="inlineStr">
        <is>
          <t>Done</t>
        </is>
      </c>
      <c r="I39" t="n">
        <v>1</v>
      </c>
      <c r="J39" t="inlineStr">
        <is>
          <t>R-422</t>
        </is>
      </c>
      <c r="K39" t="inlineStr">
        <is>
          <t>Founder Stage 0</t>
        </is>
      </c>
      <c r="L39" t="inlineStr">
        <is>
          <t>task verify passed offline; lint/security/env pass; 0 model calls.</t>
        </is>
      </c>
      <c r="M39" t="inlineStr">
        <is>
          <t>Added on 2026-09-14 during task compilation audit: completed in founder build sequence as part of UI component suites and differentiating spine (R-359..R-448); verified 100% offline (task verify 3,098 tests passed).</t>
        </is>
      </c>
    </row>
    <row r="40" ht="34" customHeight="1" s="401">
      <c r="A40" t="inlineStr">
        <is>
          <t>R-422</t>
        </is>
      </c>
      <c r="B40" t="inlineStr">
        <is>
          <t>MVP</t>
        </is>
      </c>
      <c r="C40" t="inlineStr">
        <is>
          <t>Codegen / Preview</t>
        </is>
      </c>
      <c r="D40" t="inlineStr">
        <is>
          <t>Collision-free Studio preview ports + status/stop/restart controls</t>
        </is>
      </c>
      <c r="E40" t="inlineStr">
        <is>
          <t>Make the trusted-local Studio preview robust when other local apps or a prior preview are already running, and give the operator bounded lifecycle control. Add automatic, collision-free API/web port allocation so a Studio preview never fails or clobbers an existing `task app:run` app on 3000/8000 (or a previous preview): distinct free loopback ports are allocated per preview and threaded through the existing R-419 run-plan boundary (`build_run_plan` already parameterizes `api_port`/`web_port`, a</t>
        </is>
      </c>
      <c r="F40" t="inlineStr">
        <is>
          <t>P1</t>
        </is>
      </c>
      <c r="G40" t="inlineStr">
        <is>
          <t>sanjeetji</t>
        </is>
      </c>
      <c r="H40" t="inlineStr">
        <is>
          <t>Done</t>
        </is>
      </c>
      <c r="I40" t="n">
        <v>1</v>
      </c>
      <c r="J40" t="inlineStr">
        <is>
          <t>R-421</t>
        </is>
      </c>
      <c r="K40" t="inlineStr">
        <is>
          <t>Founder Stage 0</t>
        </is>
      </c>
      <c r="L40" t="inlineStr">
        <is>
          <t>task verify passed offline; lint/security/env pass; 0 model calls.</t>
        </is>
      </c>
      <c r="M40" t="inlineStr">
        <is>
          <t>Added on 2026-09-14 during task compilation audit: completed in founder build sequence as part of UI component suites and differentiating spine (R-359..R-448); verified 100% offline (task verify 3,098 tests passed).</t>
        </is>
      </c>
    </row>
    <row r="41" ht="34" customHeight="1" s="401">
      <c r="A41" t="inlineStr">
        <is>
          <t>R-421</t>
        </is>
      </c>
      <c r="B41" t="inlineStr">
        <is>
          <t>MVP</t>
        </is>
      </c>
      <c r="C41" t="inlineStr">
        <is>
          <t>Codegen / Preview</t>
        </is>
      </c>
      <c r="D41" t="inlineStr">
        <is>
          <t>Managed live generated-app preview inside the local Studio</t>
        </is>
      </c>
      <c r="E41" t="inlineStr">
        <is>
          <t>Make instant browser preview the first visible post-build result in an explicit trusted-local Studio mode. Reuse the R-419 run plan and executor work: do not invent another runtime, service, or process launcher. The Studio must own exactly one active generated-app session, replace it safely after a new build, embed the real Next.js URL, and clean up all child processes on replacement or shutdown.</t>
        </is>
      </c>
      <c r="F41" t="inlineStr">
        <is>
          <t>P1</t>
        </is>
      </c>
      <c r="G41" t="inlineStr">
        <is>
          <t>sanjeetji</t>
        </is>
      </c>
      <c r="H41" t="inlineStr">
        <is>
          <t>Done</t>
        </is>
      </c>
      <c r="I41" t="n">
        <v>1</v>
      </c>
      <c r="J41" t="inlineStr">
        <is>
          <t>R-420</t>
        </is>
      </c>
      <c r="K41" t="inlineStr">
        <is>
          <t>Founder Stage 0</t>
        </is>
      </c>
      <c r="L41" t="inlineStr">
        <is>
          <t>task verify passed offline; lint/security/env pass; 0 model calls.</t>
        </is>
      </c>
      <c r="M41" t="inlineStr">
        <is>
          <t>Added on 2026-09-14 during task compilation audit: completed in founder build sequence as part of UI component suites and differentiating spine (R-359..R-448); verified 100% offline (task verify 3,098 tests passed).</t>
        </is>
      </c>
    </row>
    <row r="42" ht="34" customHeight="1" s="401">
      <c r="A42" t="inlineStr">
        <is>
          <t>R-420</t>
        </is>
      </c>
      <c r="B42" t="inlineStr">
        <is>
          <t>MVP</t>
        </is>
      </c>
      <c r="C42" t="inlineStr">
        <is>
          <t>Codegen / Preview</t>
        </is>
      </c>
      <c r="D42" t="inlineStr">
        <is>
          <t>SQL-safe generated PostgreSQL identifiers and FK dependency order</t>
        </is>
      </c>
      <c r="E42" t="inlineStr">
        <is>
          <t>Correct the two generator defects proven by R-419's live PostgreSQL run. A prompt-generated bookstore must not emit `CREATE TABLE order`, and a child entity declared before its FK parent must not emit a forward `REFERENCES` to a table that does not exist. The fix must be coherent across the migration, honest fixture seed migration, FastAPI/Python repositories, and Go stores—not a schema-only patch that fails on the first runtime query.</t>
        </is>
      </c>
      <c r="F42" t="inlineStr">
        <is>
          <t>P1</t>
        </is>
      </c>
      <c r="G42" t="inlineStr">
        <is>
          <t>sanjeetji</t>
        </is>
      </c>
      <c r="H42" t="inlineStr">
        <is>
          <t>Done</t>
        </is>
      </c>
      <c r="I42" t="n">
        <v>1</v>
      </c>
      <c r="J42" t="inlineStr">
        <is>
          <t>R-419</t>
        </is>
      </c>
      <c r="K42" t="inlineStr">
        <is>
          <t>Founder Stage 0</t>
        </is>
      </c>
      <c r="L42" t="inlineStr">
        <is>
          <t>task verify passed offline; lint/security/env pass; 0 model calls.</t>
        </is>
      </c>
      <c r="M42" t="inlineStr">
        <is>
          <t>Added on 2026-09-14 during task compilation audit: completed in founder build sequence as part of UI component suites and differentiating spine (R-359..R-448); verified 100% offline (task verify 3,098 tests passed).</t>
        </is>
      </c>
    </row>
    <row r="43" ht="34" customHeight="1" s="401">
      <c r="A43" t="inlineStr">
        <is>
          <t>R-419</t>
        </is>
      </c>
      <c r="B43" t="inlineStr">
        <is>
          <t>MVP</t>
        </is>
      </c>
      <c r="C43" t="inlineStr">
        <is>
          <t>Front Door</t>
        </is>
      </c>
      <c r="D43" t="inlineStr">
        <is>
          <t>Turnkey local run for a generated app (chat-to-create front door, brick 4)</t>
        </is>
      </c>
      <c r="E43" t="inlineStr">
        <is>
          <t>Make a generated app repo run locally in one command, removing the manual DB/venv/pnpm dance. New `omnistackai_agent_engine/localrun/` package (Python 3.13 stdlib only), following the platform's "deterministic plan + opt-in executor" pattern: `plan.py` provides `RunStep`/`RunPlan` dataclasses and `build_run_plan(repo_dir, *, db_*, api_port, web_port, jwt_secret, db_name=None)` which inspects the repo (backend flavor via `services/api/requirements.txt` -&gt; python / `go.mod`|`main.go` -&gt; go; migrat</t>
        </is>
      </c>
      <c r="F43" t="inlineStr">
        <is>
          <t>P1</t>
        </is>
      </c>
      <c r="G43" t="inlineStr">
        <is>
          <t>sanjeetji</t>
        </is>
      </c>
      <c r="H43" t="inlineStr">
        <is>
          <t>Done</t>
        </is>
      </c>
      <c r="I43" t="n">
        <v>1</v>
      </c>
      <c r="J43" t="inlineStr">
        <is>
          <t>R-418</t>
        </is>
      </c>
      <c r="K43" t="inlineStr">
        <is>
          <t>Founder Stage 0</t>
        </is>
      </c>
      <c r="L43" t="inlineStr">
        <is>
          <t>task verify passed offline; lint/security/env pass; 0 model calls.</t>
        </is>
      </c>
      <c r="M43" t="inlineStr">
        <is>
          <t>Added on 2026-09-14 during task compilation audit: completed in founder build sequence as part of UI component suites and differentiating spine (R-359..R-448); verified 100% offline (task verify 3,098 tests passed).</t>
        </is>
      </c>
    </row>
    <row r="44" ht="34" customHeight="1" s="401">
      <c r="A44" t="inlineStr">
        <is>
          <t>R-418</t>
        </is>
      </c>
      <c r="B44" t="inlineStr">
        <is>
          <t>MVP</t>
        </is>
      </c>
      <c r="C44" t="inlineStr">
        <is>
          <t>Front Door</t>
        </is>
      </c>
      <c r="D44" t="inlineStr">
        <is>
          <t>Chat studio web UI (chat-to-create front door, brick 3)</t>
        </is>
      </c>
      <c r="E44" t="inlineStr">
        <is>
          <t>Add the user-facing "chat -&gt; create an app" screen: a minimal, dependency-free local web studio where a person types a plain-English description and watches a real app get generated. New `omnistackai_agent_engine/studio/` package (Python 3.13 stdlib only — `http.server`, no npm/pnpm, no web framework): `page.py` holds a self-contained HTML page (inline CSS+JS, zero external deps) with a prompt textarea, a "Build app" button, a building state, and a results panel; `server.py` provides `create_stu</t>
        </is>
      </c>
      <c r="F44" t="inlineStr">
        <is>
          <t>P1</t>
        </is>
      </c>
      <c r="G44" t="inlineStr">
        <is>
          <t>sanjeetji</t>
        </is>
      </c>
      <c r="H44" t="inlineStr">
        <is>
          <t>Done</t>
        </is>
      </c>
      <c r="I44" t="n">
        <v>1</v>
      </c>
      <c r="J44" t="inlineStr">
        <is>
          <t>R-417</t>
        </is>
      </c>
      <c r="K44" t="inlineStr">
        <is>
          <t>Founder Stage 0</t>
        </is>
      </c>
      <c r="L44" t="inlineStr">
        <is>
          <t>task verify passed offline; lint/security/env pass; 0 model calls.</t>
        </is>
      </c>
      <c r="M44" t="inlineStr">
        <is>
          <t>Added on 2026-09-14 during task compilation audit: completed in founder build sequence as part of UI component suites and differentiating spine (R-359..R-448); verified 100% offline (task verify 3,098 tests passed).</t>
        </is>
      </c>
    </row>
    <row r="45" ht="34" customHeight="1" s="401">
      <c r="A45" t="inlineStr">
        <is>
          <t>R-417</t>
        </is>
      </c>
      <c r="B45" t="inlineStr">
        <is>
          <t>MVP</t>
        </is>
      </c>
      <c r="C45" t="inlineStr">
        <is>
          <t>Front Door</t>
        </is>
      </c>
      <c r="D45" t="inlineStr">
        <is>
          <t>Prompt -&gt; generated app repo (chat-to-create front door, brick 2)</t>
        </is>
      </c>
      <c r="E45" t="inlineStr">
        <is>
          <t>Extend the "chat -&gt; create an app" front door so a single plain-English description produces a real, customer-owned Git repository. Add `omnistackai_agent_engine/intake/build_app.py`: `build_app_from_ir(ir, target_dir, ...)` composes the existing pipeline (`assemble_project(ir)` -&gt; `create_repository(project, target_dir, ...)`) into a materialized owned repo and returns an `AppBuildResult` (prompt, ir, target_dir, file_count, commit_sha); `async build_app_from_prompt(prompt, provider, target_dir</t>
        </is>
      </c>
      <c r="F45" t="inlineStr">
        <is>
          <t>P1</t>
        </is>
      </c>
      <c r="G45" t="inlineStr">
        <is>
          <t>sanjeetji</t>
        </is>
      </c>
      <c r="H45" t="inlineStr">
        <is>
          <t>Done</t>
        </is>
      </c>
      <c r="I45" t="n">
        <v>1</v>
      </c>
      <c r="J45" t="inlineStr">
        <is>
          <t>R-416</t>
        </is>
      </c>
      <c r="K45" t="inlineStr">
        <is>
          <t>Founder Stage 0</t>
        </is>
      </c>
      <c r="L45" t="inlineStr">
        <is>
          <t>task verify passed offline; lint/security/env pass; 0 model calls.</t>
        </is>
      </c>
      <c r="M45" t="inlineStr">
        <is>
          <t>Added on 2026-09-14 during task compilation audit: completed in founder build sequence as part of UI component suites and differentiating spine (R-359..R-448); verified 100% offline (task verify 3,098 tests passed).</t>
        </is>
      </c>
    </row>
    <row r="46" ht="34" customHeight="1" s="401">
      <c r="A46" t="inlineStr">
        <is>
          <t>R-416</t>
        </is>
      </c>
      <c r="B46" t="inlineStr">
        <is>
          <t>MVP</t>
        </is>
      </c>
      <c r="C46" t="inlineStr">
        <is>
          <t>Front Door</t>
        </is>
      </c>
      <c r="D46" t="inlineStr">
        <is>
          <t>Prompt -&gt; Application IR intake agent (`intake/nl_to_ir.py`)</t>
        </is>
      </c>
      <c r="E46" t="inlineStr">
        <is>
          <t>Build the first brick of the OmniStackAI "chat -&gt; create an app" front door: a local, zero-new-dependency **Prompt -&gt; Application IR intake agent** (`omnistackai_agent_engine/intake/`) that turns a plain-English application description into a validated, normalized `ApplicationIR` (the same framework-neutral spec the code generators already consume). The deterministic core is fully offline-testable: `build_intake_messages` constructs the system+user `Message` tuple (schema-by-example, using a rea</t>
        </is>
      </c>
      <c r="F46" t="inlineStr">
        <is>
          <t>P1</t>
        </is>
      </c>
      <c r="G46" t="inlineStr">
        <is>
          <t>sanjeetji</t>
        </is>
      </c>
      <c r="H46" t="inlineStr">
        <is>
          <t>Done</t>
        </is>
      </c>
      <c r="I46" t="n">
        <v>1</v>
      </c>
      <c r="J46" t="inlineStr">
        <is>
          <t>R-415</t>
        </is>
      </c>
      <c r="K46" t="inlineStr">
        <is>
          <t>Founder Stage 0</t>
        </is>
      </c>
      <c r="L46" t="inlineStr">
        <is>
          <t>task verify passed offline; lint/security/env pass; 0 model calls.</t>
        </is>
      </c>
      <c r="M46" t="inlineStr">
        <is>
          <t>Added on 2026-09-14 during task compilation audit: completed in founder build sequence as part of UI component suites and differentiating spine (R-359..R-448); verified 100% offline (task verify 3,098 tests passed).</t>
        </is>
      </c>
    </row>
    <row r="47" ht="34" customHeight="1" s="401">
      <c r="A47" t="inlineStr">
        <is>
          <t>R-415</t>
        </is>
      </c>
      <c r="B47" t="inlineStr">
        <is>
          <t>MVP</t>
        </is>
      </c>
      <c r="C47" t="inlineStr">
        <is>
          <t>Builder</t>
        </is>
      </c>
      <c r="D47" t="inlineStr">
        <is>
          <t>Accessible Futuristic Reusable Phone Number Input Suite (`components/phone-input.tsx`)</t>
        </is>
      </c>
      <c r="E47" t="inlineStr">
        <is>
          <t>Add an accessible, zero-dependency, desktop-and-mobile-grade, futuristic Phone Number Input compound component suite (`components/phone-input.tsx`): a country selector (ISO2 code + dial code, from a curated `DEFAULT_COUNTRIES` table, overridable) plus a national-number field that strips non-digits, groups them loosely for display, assembles an E.164 string (dial + digits), and validates by digit length; a computed meta object (`{country, national, e164, valid}`); controlled + uncontrolled nation</t>
        </is>
      </c>
      <c r="F47" t="inlineStr">
        <is>
          <t>P1</t>
        </is>
      </c>
      <c r="G47" t="inlineStr">
        <is>
          <t>sanjeetji</t>
        </is>
      </c>
      <c r="H47" t="inlineStr">
        <is>
          <t>Done</t>
        </is>
      </c>
      <c r="I47" t="n">
        <v>1</v>
      </c>
      <c r="J47" t="inlineStr">
        <is>
          <t>R-414</t>
        </is>
      </c>
      <c r="K47" t="inlineStr">
        <is>
          <t>Founder Stage 0</t>
        </is>
      </c>
      <c r="L47" t="inlineStr">
        <is>
          <t>task verify passed offline; lint/security/env pass; 0 model calls.</t>
        </is>
      </c>
      <c r="M47" t="inlineStr">
        <is>
          <t>Added on 2026-09-14 during task compilation audit: completed in founder build sequence as part of UI component suites and differentiating spine (R-359..R-448); verified 100% offline (task verify 3,098 tests passed).</t>
        </is>
      </c>
    </row>
    <row r="48" ht="34" customHeight="1" s="401">
      <c r="A48" t="inlineStr">
        <is>
          <t>R-414</t>
        </is>
      </c>
      <c r="B48" t="inlineStr">
        <is>
          <t>MVP</t>
        </is>
      </c>
      <c r="C48" t="inlineStr">
        <is>
          <t>Builder</t>
        </is>
      </c>
      <c r="D48" t="inlineStr">
        <is>
          <t>Accessible Futuristic Reusable Duration Input Suite (`components/duration-input.tsx`)</t>
        </is>
      </c>
      <c r="E48" t="inlineStr">
        <is>
          <t xml:space="preserve">Add an accessible, zero-dependency, desktop-and-mobile-grade, futuristic Duration Input compound component suite (`components/duration-input.tsx`): segmented numeric inputs for a configurable set of units (days/hours/minutes/seconds via a `UNIT_SECONDS` table) that convert to and from a single total-seconds value (`toSegments`/`fromSegments`), with `min`/`max` clamping (normalizing segments on clamp), a human-readable `formatDuration` helper, controlled + uncontrolled value (number of seconds), </t>
        </is>
      </c>
      <c r="F48" t="inlineStr">
        <is>
          <t>P1</t>
        </is>
      </c>
      <c r="G48" t="inlineStr">
        <is>
          <t>sanjeetji</t>
        </is>
      </c>
      <c r="H48" t="inlineStr">
        <is>
          <t>Done</t>
        </is>
      </c>
      <c r="I48" t="n">
        <v>1</v>
      </c>
      <c r="J48" t="inlineStr">
        <is>
          <t>R-413</t>
        </is>
      </c>
      <c r="K48" t="inlineStr">
        <is>
          <t>Founder Stage 0</t>
        </is>
      </c>
      <c r="L48" t="inlineStr">
        <is>
          <t>task verify passed offline; lint/security/env pass; 0 model calls.</t>
        </is>
      </c>
      <c r="M48" t="inlineStr">
        <is>
          <t>Added on 2026-09-14 during task compilation audit: completed in founder build sequence as part of UI component suites and differentiating spine (R-359..R-448); verified 100% offline (task verify 3,098 tests passed).</t>
        </is>
      </c>
    </row>
    <row r="49" ht="34" customHeight="1" s="401">
      <c r="A49" t="inlineStr">
        <is>
          <t>R-413</t>
        </is>
      </c>
      <c r="B49" t="inlineStr">
        <is>
          <t>MVP</t>
        </is>
      </c>
      <c r="C49" t="inlineStr">
        <is>
          <t>Builder</t>
        </is>
      </c>
      <c r="D49" t="inlineStr">
        <is>
          <t>Accessible Futuristic Reusable Copy-to-Clipboard Button Suite (`components/copy-button.tsx`)</t>
        </is>
      </c>
      <c r="E49" t="inlineStr">
        <is>
          <t>Add an accessible, zero-dependency, desktop-and-mobile-grade, futuristic Copy-to-Clipboard Button compound component suite (`components/copy-button.tsx`): copies a given `value` to the clipboard via `navigator.clipboard.writeText` with a `document.execCommand('copy')` textarea fallback, shows a transient "Copied" state (configurable `timeout`) with a swapped inline SVG icon (copy → check) and an `aria-live` announcement, disables when there is nothing to copy, and exposes `onCopy`/`onError` call</t>
        </is>
      </c>
      <c r="F49" t="inlineStr">
        <is>
          <t>P1</t>
        </is>
      </c>
      <c r="G49" t="inlineStr">
        <is>
          <t>sanjeetji</t>
        </is>
      </c>
      <c r="H49" t="inlineStr">
        <is>
          <t>Done</t>
        </is>
      </c>
      <c r="I49" t="n">
        <v>1</v>
      </c>
      <c r="J49" t="inlineStr">
        <is>
          <t>R-412</t>
        </is>
      </c>
      <c r="K49" t="inlineStr">
        <is>
          <t>Founder Stage 0</t>
        </is>
      </c>
      <c r="L49" t="inlineStr">
        <is>
          <t>task verify passed offline; lint/security/env pass; 0 model calls.</t>
        </is>
      </c>
      <c r="M49" t="inlineStr">
        <is>
          <t>Added on 2026-09-14 during task compilation audit: completed in founder build sequence as part of UI component suites and differentiating spine (R-359..R-448); verified 100% offline (task verify 3,098 tests passed).</t>
        </is>
      </c>
    </row>
    <row r="50" ht="34" customHeight="1" s="401">
      <c r="A50" t="inlineStr">
        <is>
          <t>R-412</t>
        </is>
      </c>
      <c r="B50" t="inlineStr">
        <is>
          <t>MVP</t>
        </is>
      </c>
      <c r="C50" t="inlineStr">
        <is>
          <t>Builder</t>
        </is>
      </c>
      <c r="D50" t="inlineStr">
        <is>
          <t>Accessible Futuristic Reusable Character &amp; Word Counter Textarea Suite (`components/character-counter.tsx`)</t>
        </is>
      </c>
      <c r="E50" t="inlineStr">
        <is>
          <t>Add an accessible, zero-dependency, desktop-and-mobile-grade, futuristic Character &amp; Word Counter Textarea compound component suite (`components/character-counter.tsx`): a textarea with live Unicode-safe character counting (`Array.from` code points) and word counting (trim + whitespace split), configurable `maxLength` / `maxWords` with a computed stats object (`{characters, words, remaining, overLimit}`), an optional hard limit that blocks input past `maxLength`, a warn threshold that recolors n</t>
        </is>
      </c>
      <c r="F50" t="inlineStr">
        <is>
          <t>P1</t>
        </is>
      </c>
      <c r="G50" t="inlineStr">
        <is>
          <t>sanjeetji</t>
        </is>
      </c>
      <c r="H50" t="inlineStr">
        <is>
          <t>Done</t>
        </is>
      </c>
      <c r="I50" t="n">
        <v>1</v>
      </c>
      <c r="J50" t="inlineStr">
        <is>
          <t>R-411</t>
        </is>
      </c>
      <c r="K50" t="inlineStr">
        <is>
          <t>Founder Stage 0</t>
        </is>
      </c>
      <c r="L50" t="inlineStr">
        <is>
          <t>task verify passed offline; lint/security/env pass; 0 model calls.</t>
        </is>
      </c>
      <c r="M50" t="inlineStr">
        <is>
          <t>Added on 2026-09-14 during task compilation audit: completed in founder build sequence as part of UI component suites and differentiating spine (R-359..R-448); verified 100% offline (task verify 3,098 tests passed).</t>
        </is>
      </c>
    </row>
    <row r="51" ht="34" customHeight="1" s="401">
      <c r="A51" t="inlineStr">
        <is>
          <t>R-411</t>
        </is>
      </c>
      <c r="B51" t="inlineStr">
        <is>
          <t>MVP</t>
        </is>
      </c>
      <c r="C51" t="inlineStr">
        <is>
          <t>Builder</t>
        </is>
      </c>
      <c r="D51" t="inlineStr">
        <is>
          <t>Accessible Futuristic Reusable Slug / URL Input Suite (`components/slug-input.tsx`)</t>
        </is>
      </c>
      <c r="E51" t="inlineStr">
        <is>
          <t>Add an accessible, zero-dependency, desktop-and-mobile-grade, futuristic Slug / URL Input compound component suite (`components/slug-input.tsx`): a `slugify()` helper that converts arbitrary text into a URL-safe slug in real time (Unicode NFKD normalization to strip diacritics, lowercase, non-alphanumeric runs collapsed to a configurable separator, leading/trailing separators trimmed); auto-sync from an optional `source` prop (e.g. a title) until the user manually edits the slug; an optional `pr</t>
        </is>
      </c>
      <c r="F51" t="inlineStr">
        <is>
          <t>P1</t>
        </is>
      </c>
      <c r="G51" t="inlineStr">
        <is>
          <t>sanjeetji</t>
        </is>
      </c>
      <c r="H51" t="inlineStr">
        <is>
          <t>Done</t>
        </is>
      </c>
      <c r="I51" t="n">
        <v>1</v>
      </c>
      <c r="J51" t="inlineStr">
        <is>
          <t>R-410</t>
        </is>
      </c>
      <c r="K51" t="inlineStr">
        <is>
          <t>Founder Stage 0</t>
        </is>
      </c>
      <c r="L51" t="inlineStr">
        <is>
          <t>task verify passed offline; lint/security/env pass; 0 model calls.</t>
        </is>
      </c>
      <c r="M51" t="inlineStr">
        <is>
          <t>Added on 2026-09-14 during task compilation audit: completed in founder build sequence as part of UI component suites and differentiating spine (R-359..R-448); verified 100% offline (task verify 3,098 tests passed).</t>
        </is>
      </c>
    </row>
    <row r="52" ht="34" customHeight="1" s="401">
      <c r="A52" t="inlineStr">
        <is>
          <t>R-410</t>
        </is>
      </c>
      <c r="B52" t="inlineStr">
        <is>
          <t>MVP</t>
        </is>
      </c>
      <c r="C52" t="inlineStr">
        <is>
          <t>Builder</t>
        </is>
      </c>
      <c r="D52" t="inlineStr">
        <is>
          <t>Accessible Futuristic Reusable Password Generator Suite (`components/password-generator.tsx`)</t>
        </is>
      </c>
      <c r="E52" t="inlineStr">
        <is>
          <t>Add an accessible, zero-dependency, desktop-and-mobile-grade, futuristic Password Generator compound component suite (`components/password-generator.tsx`): generates a secure random password using `crypto.getRandomValues` (with a `Math.random` fallback) from configurable character sets (uppercase, lowercase, numbers, symbols) with an optional exclude-ambiguous filter, guaranteeing at least one character from each enabled set and shuffling with Fisher-Yates; a length slider (min/max), set toggles</t>
        </is>
      </c>
      <c r="F52" t="inlineStr">
        <is>
          <t>P1</t>
        </is>
      </c>
      <c r="G52" t="inlineStr">
        <is>
          <t>sanjeetji</t>
        </is>
      </c>
      <c r="H52" t="inlineStr">
        <is>
          <t>Done</t>
        </is>
      </c>
      <c r="I52" t="n">
        <v>1</v>
      </c>
      <c r="J52" t="inlineStr">
        <is>
          <t>R-409</t>
        </is>
      </c>
      <c r="K52" t="inlineStr">
        <is>
          <t>Founder Stage 0</t>
        </is>
      </c>
      <c r="L52" t="inlineStr">
        <is>
          <t>task verify passed offline; lint/security/env pass; 0 model calls.</t>
        </is>
      </c>
      <c r="M52" t="inlineStr">
        <is>
          <t>Added on 2026-09-14 during task compilation audit: completed in founder build sequence as part of UI component suites and differentiating spine (R-359..R-448); verified 100% offline (task verify 3,098 tests passed).</t>
        </is>
      </c>
    </row>
    <row r="53" ht="34" customHeight="1" s="401">
      <c r="A53" t="inlineStr">
        <is>
          <t>R-409</t>
        </is>
      </c>
      <c r="B53" t="inlineStr">
        <is>
          <t>MVP</t>
        </is>
      </c>
      <c r="C53" t="inlineStr">
        <is>
          <t>Builder</t>
        </is>
      </c>
      <c r="D53" t="inlineStr">
        <is>
          <t>Accessible Futuristic Reusable Currency / Money Input Suite (`components/currency-input.tsx`)</t>
        </is>
      </c>
      <c r="E53" t="inlineStr">
        <is>
          <t>Add an accessible, zero-dependency, desktop-and-mobile-grade, futuristic Currency / Money Input compound component suite (`components/currency-input.tsx`): a numeric money field that sanitizes typed input to a clean numeric string, parses it to a number, clamps to `min`/`max` on blur, and formats the value as locale-aware currency via the built-in `Intl.NumberFormat` (`style: 'currency'`) when unfocused (plain numeric while focused for easy editing); configurable `currency` + `locale`, `min`/`ma</t>
        </is>
      </c>
      <c r="F53" t="inlineStr">
        <is>
          <t>P1</t>
        </is>
      </c>
      <c r="G53" t="inlineStr">
        <is>
          <t>sanjeetji</t>
        </is>
      </c>
      <c r="H53" t="inlineStr">
        <is>
          <t>Done</t>
        </is>
      </c>
      <c r="I53" t="n">
        <v>1</v>
      </c>
      <c r="J53" t="inlineStr">
        <is>
          <t>R-408</t>
        </is>
      </c>
      <c r="K53" t="inlineStr">
        <is>
          <t>Founder Stage 0</t>
        </is>
      </c>
      <c r="L53" t="inlineStr">
        <is>
          <t>task verify passed offline; lint/security/env pass; 0 model calls.</t>
        </is>
      </c>
      <c r="M53" t="inlineStr">
        <is>
          <t>Added on 2026-09-14 during task compilation audit: completed in founder build sequence as part of UI component suites and differentiating spine (R-359..R-448); verified 100% offline (task verify 3,098 tests passed).</t>
        </is>
      </c>
    </row>
    <row r="54" ht="34" customHeight="1" s="401">
      <c r="A54" t="inlineStr">
        <is>
          <t>R-408</t>
        </is>
      </c>
      <c r="B54" t="inlineStr">
        <is>
          <t>MVP</t>
        </is>
      </c>
      <c r="C54" t="inlineStr">
        <is>
          <t>Builder</t>
        </is>
      </c>
      <c r="D54" t="inlineStr">
        <is>
          <t>Accessible Futuristic Reusable Color Contrast Checker Suite (`components/color-contrast.tsx`)</t>
        </is>
      </c>
      <c r="E54" t="inlineStr">
        <is>
          <t xml:space="preserve">Add an accessible, zero-dependency, desktop-and-mobile-grade, futuristic Color Contrast Checker compound component suite (`components/color-contrast.tsx`): parses foreground/background hex colors (`#rgb` and `#rrggbb`), computes WCAG 2.x relative luminance and contrast ratio, and evaluates AA/AAA pass-fail for normal text, large text, and UI components; a computed `ContrastResult` (`{ratio, aaNormal, aaaNormal, aaLarge, aaaLarge, uiComponent, rating}`); native color inputs plus hex text inputs, </t>
        </is>
      </c>
      <c r="F54" t="inlineStr">
        <is>
          <t>P1</t>
        </is>
      </c>
      <c r="G54" t="inlineStr">
        <is>
          <t>sanjeetji</t>
        </is>
      </c>
      <c r="H54" t="inlineStr">
        <is>
          <t>Done</t>
        </is>
      </c>
      <c r="I54" t="n">
        <v>1</v>
      </c>
      <c r="J54" t="inlineStr">
        <is>
          <t>R-407</t>
        </is>
      </c>
      <c r="K54" t="inlineStr">
        <is>
          <t>Founder Stage 0</t>
        </is>
      </c>
      <c r="L54" t="inlineStr">
        <is>
          <t>task verify passed offline; lint/security/env pass; 0 model calls.</t>
        </is>
      </c>
      <c r="M54" t="inlineStr">
        <is>
          <t>Added on 2026-09-14 during task compilation audit: completed in founder build sequence as part of UI component suites and differentiating spine (R-359..R-448); verified 100% offline (task verify 3,098 tests passed).</t>
        </is>
      </c>
    </row>
    <row r="55" ht="34" customHeight="1" s="401">
      <c r="A55" t="inlineStr">
        <is>
          <t>R-407</t>
        </is>
      </c>
      <c r="B55" t="inlineStr">
        <is>
          <t>MVP</t>
        </is>
      </c>
      <c r="C55" t="inlineStr">
        <is>
          <t>Builder</t>
        </is>
      </c>
      <c r="D55" t="inlineStr">
        <is>
          <t>Accessible Futuristic Reusable Credit Card Payment Field Suite (`components/credit-card.tsx`)</t>
        </is>
      </c>
      <c r="E55" t="inlineStr">
        <is>
          <t>Add an accessible, zero-dependency, desktop-and-mobile-grade, futuristic Credit Card Payment Field compound component suite (`components/credit-card.tsx`): card-number, expiry (MM/YY), CVC, and optional cardholder-name fields with real-time formatting, IIN-prefix brand detection (`visa`/`mastercard`/`amex`/`discover`/`unknown`), Luhn checksum validation of the number, expiry validity (valid month + not in the past), and brand-aware CVC length; a computed meta object (`{brand, numberValid, expiry</t>
        </is>
      </c>
      <c r="F55" t="inlineStr">
        <is>
          <t>P1</t>
        </is>
      </c>
      <c r="G55" t="inlineStr">
        <is>
          <t>sanjeetji</t>
        </is>
      </c>
      <c r="H55" t="inlineStr">
        <is>
          <t>Done</t>
        </is>
      </c>
      <c r="I55" t="n">
        <v>1</v>
      </c>
      <c r="J55" t="inlineStr">
        <is>
          <t>R-406</t>
        </is>
      </c>
      <c r="K55" t="inlineStr">
        <is>
          <t>Founder Stage 0</t>
        </is>
      </c>
      <c r="L55" t="inlineStr">
        <is>
          <t>task verify passed offline; lint/security/env pass; 0 model calls.</t>
        </is>
      </c>
      <c r="M55" t="inlineStr">
        <is>
          <t>Added on 2026-09-14 during task compilation audit: completed in founder build sequence as part of UI component suites and differentiating spine (R-359..R-448); verified 100% offline (task verify 3,098 tests passed).</t>
        </is>
      </c>
    </row>
    <row r="56" ht="34" customHeight="1" s="401">
      <c r="A56" t="inlineStr">
        <is>
          <t>R-406</t>
        </is>
      </c>
      <c r="B56" t="inlineStr">
        <is>
          <t>MVP</t>
        </is>
      </c>
      <c r="C56" t="inlineStr">
        <is>
          <t>Builder</t>
        </is>
      </c>
      <c r="D56" t="inlineStr">
        <is>
          <t>Accessible Futuristic Reusable Marquee / Ticker Suite (`components/marquee.tsx`)</t>
        </is>
      </c>
      <c r="E56" t="inlineStr">
        <is>
          <t xml:space="preserve">Add an accessible, zero-dependency, desktop-and-mobile-grade, futuristic Marquee / Ticker compound component suite (`components/marquee.tsx`): a seamless continuous scroller for arbitrary `children` (news tickers, logo walls, announcement bars) that duplicates its content once for a seamless `-50%` loop, driven by CSS `@keyframes` injected via an inline `&lt;style&gt;` element (`omni-marquee-x` / `omni-marquee-y`, with `animationDirection` handling left/right/up/down); configurable `durationSeconds`, </t>
        </is>
      </c>
      <c r="F56" t="inlineStr">
        <is>
          <t>P1</t>
        </is>
      </c>
      <c r="G56" t="inlineStr">
        <is>
          <t>sanjeetji</t>
        </is>
      </c>
      <c r="H56" t="inlineStr">
        <is>
          <t>Done</t>
        </is>
      </c>
      <c r="I56" t="n">
        <v>1</v>
      </c>
      <c r="J56" t="inlineStr">
        <is>
          <t>R-405</t>
        </is>
      </c>
      <c r="K56" t="inlineStr">
        <is>
          <t>Founder Stage 0</t>
        </is>
      </c>
      <c r="L56" t="inlineStr">
        <is>
          <t>task verify passed offline; lint/security/env pass; 0 model calls.</t>
        </is>
      </c>
      <c r="M56" t="inlineStr">
        <is>
          <t>Added on 2026-09-14 during task compilation audit: completed in founder build sequence as part of UI component suites and differentiating spine (R-359..R-448); verified 100% offline (task verify 3,098 tests passed).</t>
        </is>
      </c>
    </row>
    <row r="57" ht="34" customHeight="1" s="401">
      <c r="A57" t="inlineStr">
        <is>
          <t>R-405</t>
        </is>
      </c>
      <c r="B57" t="inlineStr">
        <is>
          <t>MVP</t>
        </is>
      </c>
      <c r="C57" t="inlineStr">
        <is>
          <t>Builder</t>
        </is>
      </c>
      <c r="D57" t="inlineStr">
        <is>
          <t>Accessible Futuristic Reusable Mention / @-Autocomplete Textarea Suite (`components/mention.tsx`)</t>
        </is>
      </c>
      <c r="E57" t="inlineStr">
        <is>
          <t>Add an accessible, zero-dependency, desktop-and-mobile-grade, futuristic Mention / @-Autocomplete Textarea compound component suite (`components/mention.tsx`): a textarea that detects a configurable `trigger` character (default `@`) at the caret via a `detectTrigger()` helper (scans back to a whitespace-delimited token), opens a filtered suggestion listbox from an `items` prop, supports full keyboard navigation (ArrowDown/ArrowUp to move, Enter/Tab to insert, Escape to close), inserts the chosen</t>
        </is>
      </c>
      <c r="F57" t="inlineStr">
        <is>
          <t>P1</t>
        </is>
      </c>
      <c r="G57" t="inlineStr">
        <is>
          <t>sanjeetji</t>
        </is>
      </c>
      <c r="H57" t="inlineStr">
        <is>
          <t>Done</t>
        </is>
      </c>
      <c r="I57" t="n">
        <v>1</v>
      </c>
      <c r="J57" t="inlineStr">
        <is>
          <t>R-404</t>
        </is>
      </c>
      <c r="K57" t="inlineStr">
        <is>
          <t>Founder Stage 0</t>
        </is>
      </c>
      <c r="L57" t="inlineStr">
        <is>
          <t>task verify passed offline; lint/security/env pass; 0 model calls.</t>
        </is>
      </c>
      <c r="M57" t="inlineStr">
        <is>
          <t>Added on 2026-09-14 during task compilation audit: completed in founder build sequence as part of UI component suites and differentiating spine (R-359..R-448); verified 100% offline (task verify 3,098 tests passed).</t>
        </is>
      </c>
    </row>
    <row r="58" ht="34" customHeight="1" s="401">
      <c r="A58" t="inlineStr">
        <is>
          <t>R-404</t>
        </is>
      </c>
      <c r="B58" t="inlineStr">
        <is>
          <t>MVP</t>
        </is>
      </c>
      <c r="C58" t="inlineStr">
        <is>
          <t>Builder</t>
        </is>
      </c>
      <c r="D58" t="inlineStr">
        <is>
          <t>Accessible Futuristic Reusable Masked / Pattern Input Suite (`components/masked-input.tsx`)</t>
        </is>
      </c>
      <c r="E58" t="inlineStr">
        <is>
          <t>Add an accessible, zero-dependency, desktop-and-mobile-grade, futuristic Masked / Pattern Input compound component suite (`components/masked-input.tsx`): token-based input masking (`9`=digit, `A`=letter, `*`=alphanumeric, any other char = literal) applied in real time as the user types, with built-in presets (`phone`/`date`/`card`/`time`/`ssn`) and custom masks; an `applyMask()` that produces both the formatted display value and the raw (unmasked) value plus a completeness flag; the caret kept a</t>
        </is>
      </c>
      <c r="F58" t="inlineStr">
        <is>
          <t>P1</t>
        </is>
      </c>
      <c r="G58" t="inlineStr">
        <is>
          <t>sanjeetji</t>
        </is>
      </c>
      <c r="H58" t="inlineStr">
        <is>
          <t>Done</t>
        </is>
      </c>
      <c r="I58" t="n">
        <v>1</v>
      </c>
      <c r="J58" t="inlineStr">
        <is>
          <t>R-403</t>
        </is>
      </c>
      <c r="K58" t="inlineStr">
        <is>
          <t>Founder Stage 0</t>
        </is>
      </c>
      <c r="L58" t="inlineStr">
        <is>
          <t>task verify passed offline; lint/security/env pass; 0 model calls.</t>
        </is>
      </c>
      <c r="M58" t="inlineStr">
        <is>
          <t>Added on 2026-09-14 during task compilation audit: completed in founder build sequence as part of UI component suites and differentiating spine (R-359..R-448); verified 100% offline (task verify 3,098 tests passed).</t>
        </is>
      </c>
    </row>
    <row r="59" ht="34" customHeight="1" s="401">
      <c r="A59" t="inlineStr">
        <is>
          <t>R-403</t>
        </is>
      </c>
      <c r="B59" t="inlineStr">
        <is>
          <t>MVP</t>
        </is>
      </c>
      <c r="C59" t="inlineStr">
        <is>
          <t>Builder</t>
        </is>
      </c>
      <c r="D59" t="inlineStr">
        <is>
          <t>Accessible Futuristic Reusable Password Strength Meter &amp; Requirements Suite (`components/password-strength.tsx`)</t>
        </is>
      </c>
      <c r="E59" t="inlineStr">
        <is>
          <t>Add an accessible, zero-dependency, desktop-and-mobile-grade, futuristic Password Strength Meter &amp; Requirements compound component suite (`components/password-strength.tsx`): a controlled + uncontrolled password input with live rule-based strength evaluation (producing `empty`/`weak`/`fair`/`good`/`strong` levels), a segmented strength bar, a live requirements checklist (default rules: min length, uppercase, lowercase, number, symbol; overridable via `rules`), a show/hide password toggle (`aria-</t>
        </is>
      </c>
      <c r="F59" t="inlineStr">
        <is>
          <t>P1</t>
        </is>
      </c>
      <c r="G59" t="inlineStr">
        <is>
          <t>sanjeetji</t>
        </is>
      </c>
      <c r="H59" t="inlineStr">
        <is>
          <t>Done</t>
        </is>
      </c>
      <c r="I59" t="n">
        <v>1</v>
      </c>
      <c r="J59" t="inlineStr">
        <is>
          <t>R-402</t>
        </is>
      </c>
      <c r="K59" t="inlineStr">
        <is>
          <t>Founder Stage 0</t>
        </is>
      </c>
      <c r="L59" t="inlineStr">
        <is>
          <t>task verify passed offline; lint/security/env pass; 0 model calls.</t>
        </is>
      </c>
      <c r="M59" t="inlineStr">
        <is>
          <t>Added on 2026-09-14 during task compilation audit: completed in founder build sequence as part of UI component suites and differentiating spine (R-359..R-448); verified 100% offline (task verify 3,098 tests passed).</t>
        </is>
      </c>
    </row>
    <row r="60" ht="34" customHeight="1" s="401">
      <c r="A60" t="inlineStr">
        <is>
          <t>R-402</t>
        </is>
      </c>
      <c r="B60" t="inlineStr">
        <is>
          <t>MVP</t>
        </is>
      </c>
      <c r="C60" t="inlineStr">
        <is>
          <t>Builder</t>
        </is>
      </c>
      <c r="D60" t="inlineStr">
        <is>
          <t>Accessible Futuristic Reusable Cookie Consent &amp; Preferences Manager Suite (`components/cookie-consent.tsx`)</t>
        </is>
      </c>
      <c r="E60" t="inlineStr">
        <is>
          <t>Add an accessible, zero-dependency, desktop-and-mobile-grade, futuristic Cookie Consent &amp; Preferences Manager compound component suite (`components/cookie-consent.tsx`): a fixed-position consent banner with a compact view (Accept all / Reject all / Customize) and an expandable per-category preferences view with `role="switch"` toggles (required categories forced on and disabled); `localStorage` persistence (`getItem`/`setItem` under a configurable `storageKey`, wrapped in try/catch) so returning</t>
        </is>
      </c>
      <c r="F60" t="inlineStr">
        <is>
          <t>P1</t>
        </is>
      </c>
      <c r="G60" t="inlineStr">
        <is>
          <t>sanjeetji</t>
        </is>
      </c>
      <c r="H60" t="inlineStr">
        <is>
          <t>Done</t>
        </is>
      </c>
      <c r="I60" t="n">
        <v>1</v>
      </c>
      <c r="J60" t="inlineStr">
        <is>
          <t>R-401</t>
        </is>
      </c>
      <c r="K60" t="inlineStr">
        <is>
          <t>Founder Stage 0</t>
        </is>
      </c>
      <c r="L60" t="inlineStr">
        <is>
          <t>task verify passed offline; lint/security/env pass; 0 model calls.</t>
        </is>
      </c>
      <c r="M60" t="inlineStr">
        <is>
          <t>Added on 2026-09-14 during task compilation audit: completed in founder build sequence as part of UI component suites and differentiating spine (R-359..R-448); verified 100% offline (task verify 3,098 tests passed).</t>
        </is>
      </c>
    </row>
    <row r="61" ht="34" customHeight="1" s="401">
      <c r="A61" t="inlineStr">
        <is>
          <t>R-401</t>
        </is>
      </c>
      <c r="B61" t="inlineStr">
        <is>
          <t>MVP</t>
        </is>
      </c>
      <c r="C61" t="inlineStr">
        <is>
          <t>Builder</t>
        </is>
      </c>
      <c r="D61" t="inlineStr">
        <is>
          <t>Accessible Futuristic Reusable Countdown Timer, Stopwatch &amp; Live Clock Suite (`components/countdown.tsx`)</t>
        </is>
      </c>
      <c r="E61" t="inlineStr">
        <is>
          <t>Add an accessible, zero-dependency, desktop-and-mobile-grade, futuristic Countdown Timer, Stopwatch &amp; Live Clock compound component suite (`components/countdown.tsx`): three modes — `countdown` (to a `targetDate` or a fixed `duration` in seconds), `stopwatch` (elapsed time), and `clock` (live current time, 12h/24h) — driven by a real `setInterval` tick with SSR-safe mounting (deterministic first paint via a `mounted` flag; real time computed only after mount to avoid hydration mismatch); day/hou</t>
        </is>
      </c>
      <c r="F61" t="inlineStr">
        <is>
          <t>P1</t>
        </is>
      </c>
      <c r="G61" t="inlineStr">
        <is>
          <t>sanjeetji</t>
        </is>
      </c>
      <c r="H61" t="inlineStr">
        <is>
          <t>Done</t>
        </is>
      </c>
      <c r="I61" t="n">
        <v>1</v>
      </c>
      <c r="J61" t="inlineStr">
        <is>
          <t>R-400</t>
        </is>
      </c>
      <c r="K61" t="inlineStr">
        <is>
          <t>Founder Stage 0</t>
        </is>
      </c>
      <c r="L61" t="inlineStr">
        <is>
          <t>task verify passed offline; lint/security/env pass; 0 model calls.</t>
        </is>
      </c>
      <c r="M61" t="inlineStr">
        <is>
          <t>Added on 2026-09-14 during task compilation audit: completed in founder build sequence as part of UI component suites and differentiating spine (R-359..R-448); verified 100% offline (task verify 3,098 tests passed).</t>
        </is>
      </c>
    </row>
    <row r="62" ht="34" customHeight="1" s="401">
      <c r="A62" t="inlineStr">
        <is>
          <t>R-400</t>
        </is>
      </c>
      <c r="B62" t="inlineStr">
        <is>
          <t>MVP</t>
        </is>
      </c>
      <c r="C62" t="inlineStr">
        <is>
          <t>Builder</t>
        </is>
      </c>
      <c r="D62" t="inlineStr">
        <is>
          <t>Accessible Futuristic Reusable Before/After Image Comparison Slider Suite (`components/image-comparison.tsx`)</t>
        </is>
      </c>
      <c r="E62" t="inlineStr">
        <is>
          <t>Add an accessible, zero-dependency, desktop-and-mobile-grade, futuristic Before/After Image Comparison Slider compound component suite (`components/image-comparison.tsx`): two layered images (or gradient placeholders when no `beforeSrc`/`afterSrc` is provided) revealed by a draggable divider implemented with CSS `clip-path`, pointer drag with pointer capture, click/tap-to-position on the track, full keyboard control on a `role="slider"` handle (Arrow keys by `step`, Home/End to 0/100, PageUp/Pag</t>
        </is>
      </c>
      <c r="F62" t="inlineStr">
        <is>
          <t>P1</t>
        </is>
      </c>
      <c r="G62" t="inlineStr">
        <is>
          <t>sanjeetji</t>
        </is>
      </c>
      <c r="H62" t="inlineStr">
        <is>
          <t>Done</t>
        </is>
      </c>
      <c r="I62" t="n">
        <v>1</v>
      </c>
      <c r="J62" t="inlineStr">
        <is>
          <t>R-399</t>
        </is>
      </c>
      <c r="K62" t="inlineStr">
        <is>
          <t>Founder Stage 0</t>
        </is>
      </c>
      <c r="L62" t="inlineStr">
        <is>
          <t>task verify passed offline; lint/security/env pass; 0 model calls.</t>
        </is>
      </c>
      <c r="M62" t="inlineStr">
        <is>
          <t>Added on 2026-09-14 during task compilation audit: completed in founder build sequence as part of UI component suites and differentiating spine (R-359..R-448); verified 100% offline (task verify 3,098 tests passed).</t>
        </is>
      </c>
    </row>
    <row r="63" ht="34" customHeight="1" s="401">
      <c r="A63" t="inlineStr">
        <is>
          <t>R-399</t>
        </is>
      </c>
      <c r="B63" t="inlineStr">
        <is>
          <t>MVP</t>
        </is>
      </c>
      <c r="C63" t="inlineStr">
        <is>
          <t>Builder</t>
        </is>
      </c>
      <c r="D63" t="inlineStr">
        <is>
          <t>Accessible Futuristic Reusable Particle Network &amp; Interactive Constellation Canvas Suite (`components/particle-network.tsx`)</t>
        </is>
      </c>
      <c r="E63" t="inlineStr">
        <is>
          <t>Add an accessible, zero-dependency, desktop-and-mobile-grade, futuristic Particle Network &amp; Interactive Constellation Canvas compound component suite (`components/particle-network.tsx`) — an ambient, decorative-by-default animated background (distinct from the data-driven `network-graph`): particles are generated internally (no required data props) from a `count`/`density` derivation, animate on an HTML5 Canvas 2D `requestAnimationFrame` loop with edge-bounce motion, draw proximity link lines be</t>
        </is>
      </c>
      <c r="F63" t="inlineStr">
        <is>
          <t>P1</t>
        </is>
      </c>
      <c r="G63" t="inlineStr">
        <is>
          <t>sanjeetji</t>
        </is>
      </c>
      <c r="H63" t="inlineStr">
        <is>
          <t>Done</t>
        </is>
      </c>
      <c r="I63" t="n">
        <v>1</v>
      </c>
      <c r="J63" t="inlineStr">
        <is>
          <t>R-398</t>
        </is>
      </c>
      <c r="K63" t="inlineStr">
        <is>
          <t>Founder Stage 0</t>
        </is>
      </c>
      <c r="L63" t="inlineStr">
        <is>
          <t>task verify passed offline; lint/security/env pass; 0 model calls.</t>
        </is>
      </c>
      <c r="M63" t="inlineStr">
        <is>
          <t>Added on 2026-09-14 during task compilation audit: completed in founder build sequence as part of UI component suites and differentiating spine (R-359..R-448); verified 100% offline (task verify 3,098 tests passed).</t>
        </is>
      </c>
    </row>
    <row r="64" ht="34" customHeight="1" s="401">
      <c r="A64" t="inlineStr">
        <is>
          <t>R-398</t>
        </is>
      </c>
      <c r="B64" t="inlineStr">
        <is>
          <t>MVP</t>
        </is>
      </c>
      <c r="C64" t="inlineStr">
        <is>
          <t>Builder</t>
        </is>
      </c>
      <c r="D64" t="inlineStr">
        <is>
          <t>Accessible Futuristic Reusable Audio Waveform &amp; Spectrum Visualizer Suite (`components/audio-visualizer.tsx`)</t>
        </is>
      </c>
      <c r="E64" t="inlineStr">
        <is>
          <t>Add an accessible, zero-dependency, desktop-and-mobile-grade, futuristic Audio Waveform &amp; Spectrum Visualizer compound component suite (`components/audio-visualizer.tsx`) supporting multi-mode visualization (bars, wave, spectrum, circular), HTML5 canvas rendering with peak indicators and frequency gradients, interactive timeline scrubber with hover timestamp tooltip, play/pause playback controls, volume/mute toggle, playback speed selector, simulated animation loop with optional HTMLMediaElement</t>
        </is>
      </c>
      <c r="F64" t="inlineStr">
        <is>
          <t>P1</t>
        </is>
      </c>
      <c r="G64" t="inlineStr">
        <is>
          <t>sanjeetji</t>
        </is>
      </c>
      <c r="H64" t="inlineStr">
        <is>
          <t>Done</t>
        </is>
      </c>
      <c r="I64" t="n">
        <v>1</v>
      </c>
      <c r="J64" t="inlineStr">
        <is>
          <t>R-397</t>
        </is>
      </c>
      <c r="K64" t="inlineStr">
        <is>
          <t>Founder Stage 0</t>
        </is>
      </c>
      <c r="L64" t="inlineStr">
        <is>
          <t>task verify passed offline; lint/security/env pass; 0 model calls.</t>
        </is>
      </c>
      <c r="M64" t="inlineStr">
        <is>
          <t>Added on 2026-09-14 during task compilation audit: completed in founder build sequence as part of UI component suites and differentiating spine (R-359..R-448); verified 100% offline (task verify 3,098 tests passed).</t>
        </is>
      </c>
    </row>
    <row r="65" ht="34" customHeight="1" s="401">
      <c r="A65" t="inlineStr">
        <is>
          <t>R-397</t>
        </is>
      </c>
      <c r="B65" t="inlineStr">
        <is>
          <t>MVP</t>
        </is>
      </c>
      <c r="C65" t="inlineStr">
        <is>
          <t>Builder</t>
        </is>
      </c>
      <c r="D65" t="inlineStr">
        <is>
          <t>Accessible Futuristic Reusable Mind Map &amp; Concept Tree Suite (`components/mind-map.tsx`)</t>
        </is>
      </c>
      <c r="E65" t="inlineStr">
        <is>
          <t>Add an accessible, zero-dependency, desktop-and-mobile-grade, futuristic Mind Map &amp; Concept Tree compound component suite (`components/mind-map.tsx`) supporting hierarchical multi-layout tree algorithms (radial, tree-horizontal, tree-vertical), smooth SVG bezier curved branches, interactive pan/zoom viewport (0.3x to 3x) with mouse drag, collapsible subtrees with child counter badges, node selection with slide-over inspection &amp; edit panel (label, notes, tags, progress), dynamic node addition and</t>
        </is>
      </c>
      <c r="F65" t="inlineStr">
        <is>
          <t>P1</t>
        </is>
      </c>
      <c r="G65" t="inlineStr">
        <is>
          <t>sanjeetji</t>
        </is>
      </c>
      <c r="H65" t="inlineStr">
        <is>
          <t>Done</t>
        </is>
      </c>
      <c r="I65" t="n">
        <v>1</v>
      </c>
      <c r="J65" t="inlineStr">
        <is>
          <t>R-396</t>
        </is>
      </c>
      <c r="K65" t="inlineStr">
        <is>
          <t>Founder Stage 0</t>
        </is>
      </c>
      <c r="L65" t="inlineStr">
        <is>
          <t>task verify passed offline; lint/security/env pass; 0 model calls.</t>
        </is>
      </c>
      <c r="M65" t="inlineStr">
        <is>
          <t>Added on 2026-09-14 during task compilation audit: completed in founder build sequence as part of UI component suites and differentiating spine (R-359..R-448); verified 100% offline (task verify 3,098 tests passed).</t>
        </is>
      </c>
    </row>
    <row r="66" ht="34" customHeight="1" s="401">
      <c r="A66" t="inlineStr">
        <is>
          <t>R-396</t>
        </is>
      </c>
      <c r="B66" t="inlineStr">
        <is>
          <t>MVP</t>
        </is>
      </c>
      <c r="C66" t="inlineStr">
        <is>
          <t>Builder</t>
        </is>
      </c>
      <c r="D66" t="inlineStr">
        <is>
          <t>Accessible Futuristic Reusable Live Log Viewer &amp; Event Stream Inspector Suite (`components/log-viewer.tsx`)</t>
        </is>
      </c>
      <c r="E66" t="inlineStr">
        <is>
          <t>Add an accessible, zero-dependency, desktop-and-mobile-grade, futuristic Live Log Viewer &amp; Event Stream Inspector compound component suite (`components/log-viewer.tsx`) supporting real-time tail streaming with auto-scroll lock, severity level filter chips (ALL, TRACE, DEBUG, INFO, WARN, ERROR, FATAL) with counters and color badges, real-time search/filter with match counter and substring highlighting, source/service filtering, expandable structured JSON metadata drawer, line wrap toggle, line nu</t>
        </is>
      </c>
      <c r="F66" t="inlineStr">
        <is>
          <t>P1</t>
        </is>
      </c>
      <c r="G66" t="inlineStr">
        <is>
          <t>sanjeetji</t>
        </is>
      </c>
      <c r="H66" t="inlineStr">
        <is>
          <t>Done</t>
        </is>
      </c>
      <c r="I66" t="n">
        <v>1</v>
      </c>
      <c r="J66" t="inlineStr">
        <is>
          <t>R-395</t>
        </is>
      </c>
      <c r="K66" t="inlineStr">
        <is>
          <t>Founder Stage 0</t>
        </is>
      </c>
      <c r="L66" t="inlineStr">
        <is>
          <t>task verify passed offline; lint/security/env pass; 0 model calls.</t>
        </is>
      </c>
      <c r="M66" t="inlineStr">
        <is>
          <t>Added on 2026-09-14 during task compilation audit: completed in founder build sequence as part of UI component suites and differentiating spine (R-359..R-448); verified 100% offline (task verify 3,098 tests passed).</t>
        </is>
      </c>
    </row>
    <row r="67" ht="34" customHeight="1" s="401">
      <c r="A67" t="inlineStr">
        <is>
          <t>R-395</t>
        </is>
      </c>
      <c r="B67" t="inlineStr">
        <is>
          <t>MVP</t>
        </is>
      </c>
      <c r="C67" t="inlineStr">
        <is>
          <t>Builder</t>
        </is>
      </c>
      <c r="D67" t="inlineStr">
        <is>
          <t>Accessible Futuristic Reusable Network Graph &amp; Topology Map Suite (`components/network-graph.tsx`)</t>
        </is>
      </c>
      <c r="E67" t="inlineStr">
        <is>
          <t>Add an accessible, zero-dependency, desktop-and-mobile-grade, futuristic Network Graph &amp; Topology Map compound component suite (`components/network-graph.tsx`) supporting force-directed network layout, node clustering with health/status pills, animated edge data-flow pulses, interactive drag/pan/zoom viewport, node selection with slide-over inspection details drawer, search/filter by node type &amp; status, physics simulation controls (pause/resume/repulsion), PNG export, WAI-ARIA 1.2 application se</t>
        </is>
      </c>
      <c r="F67" t="inlineStr">
        <is>
          <t>P1</t>
        </is>
      </c>
      <c r="G67" t="inlineStr">
        <is>
          <t>sanjeetji</t>
        </is>
      </c>
      <c r="H67" t="inlineStr">
        <is>
          <t>Done</t>
        </is>
      </c>
      <c r="I67" t="n">
        <v>1</v>
      </c>
      <c r="J67" t="inlineStr">
        <is>
          <t>R-394</t>
        </is>
      </c>
      <c r="K67" t="inlineStr">
        <is>
          <t>Founder Stage 0</t>
        </is>
      </c>
      <c r="L67" t="inlineStr">
        <is>
          <t>task verify passed offline; lint/security/env pass; 0 model calls.</t>
        </is>
      </c>
      <c r="M67" t="inlineStr">
        <is>
          <t>Added on 2026-09-14 during task compilation audit: completed in founder build sequence as part of UI component suites and differentiating spine (R-359..R-448); verified 100% offline (task verify 3,098 tests passed).</t>
        </is>
      </c>
    </row>
    <row r="68" ht="34" customHeight="1" s="401">
      <c r="A68" t="inlineStr">
        <is>
          <t>R-394</t>
        </is>
      </c>
      <c r="B68" t="inlineStr">
        <is>
          <t>MVP</t>
        </is>
      </c>
      <c r="C68" t="inlineStr">
        <is>
          <t>Builder</t>
        </is>
      </c>
      <c r="D68" t="inlineStr">
        <is>
          <t>Accessible Futuristic Reusable Image Gallery &amp; Masonry Lightbox Suite (`components/image-gallery.tsx`)</t>
        </is>
      </c>
      <c r="E68" t="inlineStr">
        <is>
          <t>Add an accessible, zero-dependency, desktop-and-mobile-grade, futuristic Image Gallery &amp; Masonry Lightbox compound component suite (`components/image-gallery.tsx`) supporting responsive multi-column grid and masonry layouts, full-screen interactive lightbox modal with zoom/pan and auto slideshow mode, category filter tabs &amp; tag search, thumbnail strip navigation, metadata overlay (title, description, author, date, dimensions, tags), image download and copy link actions, WAI-ARIA 1.2 dialog and g</t>
        </is>
      </c>
      <c r="F68" t="inlineStr">
        <is>
          <t>P1</t>
        </is>
      </c>
      <c r="G68" t="inlineStr">
        <is>
          <t>sanjeetji</t>
        </is>
      </c>
      <c r="H68" t="inlineStr">
        <is>
          <t>Done</t>
        </is>
      </c>
      <c r="I68" t="n">
        <v>1</v>
      </c>
      <c r="J68" t="inlineStr">
        <is>
          <t>R-393</t>
        </is>
      </c>
      <c r="K68" t="inlineStr">
        <is>
          <t>Founder Stage 0</t>
        </is>
      </c>
      <c r="L68" t="inlineStr">
        <is>
          <t>task verify passed offline; lint/security/env pass; 0 model calls.</t>
        </is>
      </c>
      <c r="M68" t="inlineStr">
        <is>
          <t>Added on 2026-09-14 during task compilation audit: completed in founder build sequence as part of UI component suites and differentiating spine (R-359..R-448); verified 100% offline (task verify 3,098 tests passed).</t>
        </is>
      </c>
    </row>
    <row r="69" ht="34" customHeight="1" s="401">
      <c r="A69" t="inlineStr">
        <is>
          <t>R-393</t>
        </is>
      </c>
      <c r="B69" t="inlineStr">
        <is>
          <t>MVP</t>
        </is>
      </c>
      <c r="C69" t="inlineStr">
        <is>
          <t>Builder</t>
        </is>
      </c>
      <c r="D69" t="inlineStr">
        <is>
          <t>Accessible Futuristic Reusable Interactive JSON Viewer &amp; Schema Tree Inspector Suite (`components/json-viewer.tsx`)</t>
        </is>
      </c>
      <c r="E69" t="inlineStr">
        <is>
          <t>Add an accessible, zero-dependency, desktop-and-mobile-grade, futuristic Interactive JSON Viewer &amp; Schema Tree Inspector compound component suite (`components/json-viewer.tsx`) supporting collapsible/expandable object &amp; array tree nodes, color-coded type badges (string, number, boolean, null, object, array), copy path (JSONPath / dot-notation) &amp; copy value to clipboard, real-time key/value search filter with match counter and highlighting, expand/collapse all depth controls, dual view modes (tre</t>
        </is>
      </c>
      <c r="F69" t="inlineStr">
        <is>
          <t>P1</t>
        </is>
      </c>
      <c r="G69" t="inlineStr">
        <is>
          <t>sanjeetji</t>
        </is>
      </c>
      <c r="H69" t="inlineStr">
        <is>
          <t>Done</t>
        </is>
      </c>
      <c r="I69" t="n">
        <v>1</v>
      </c>
      <c r="J69" t="inlineStr">
        <is>
          <t>R-392</t>
        </is>
      </c>
      <c r="K69" t="inlineStr">
        <is>
          <t>Founder Stage 0</t>
        </is>
      </c>
      <c r="L69" t="inlineStr">
        <is>
          <t>task verify passed offline; lint/security/env pass; 0 model calls.</t>
        </is>
      </c>
      <c r="M69" t="inlineStr">
        <is>
          <t>Added on 2026-09-14 during task compilation audit: completed in founder build sequence as part of UI component suites and differentiating spine (R-359..R-448); verified 100% offline (task verify 3,098 tests passed).</t>
        </is>
      </c>
    </row>
    <row r="70" ht="34" customHeight="1" s="401">
      <c r="A70" t="inlineStr">
        <is>
          <t>R-392</t>
        </is>
      </c>
      <c r="B70" t="inlineStr">
        <is>
          <t>MVP</t>
        </is>
      </c>
      <c r="C70" t="inlineStr">
        <is>
          <t>Builder</t>
        </is>
      </c>
      <c r="D70" t="inlineStr">
        <is>
          <t>Accessible Futuristic Reusable Code Diff Editor &amp; 3-Way Merge Conflict Resolver Suite (`components/merge-editor.tsx`)</t>
        </is>
      </c>
      <c r="E70" t="inlineStr">
        <is>
          <t xml:space="preserve">Add an accessible, zero-dependency, desktop-and-mobile-grade, futuristic Code Diff Editor &amp; 3-Way Merge Conflict Resolver compound component suite (`components/merge-editor.tsx`) supporting 3-pane synchronized conflict resolution (Current / Ours, Result / Merged, Incoming / Theirs), interactive conflict block actions ("Accept Current", "Accept Incoming", "Accept Both"), conflict navigation toolbar (Next/Prev conflict, remaining counter), conflict marker parser (`&lt;&lt;&lt;&lt;&lt;&lt;&lt;`, `=======`, `&gt;&gt;&gt;&gt;&gt;&gt;&gt;`), </t>
        </is>
      </c>
      <c r="F70" t="inlineStr">
        <is>
          <t>P1</t>
        </is>
      </c>
      <c r="G70" t="inlineStr">
        <is>
          <t>sanjeetji</t>
        </is>
      </c>
      <c r="H70" t="inlineStr">
        <is>
          <t>Done</t>
        </is>
      </c>
      <c r="I70" t="n">
        <v>1</v>
      </c>
      <c r="J70" t="inlineStr">
        <is>
          <t>R-391</t>
        </is>
      </c>
      <c r="K70" t="inlineStr">
        <is>
          <t>Founder Stage 0</t>
        </is>
      </c>
      <c r="L70" t="inlineStr">
        <is>
          <t>task verify passed offline; lint/security/env pass; 0 model calls.</t>
        </is>
      </c>
      <c r="M70" t="inlineStr">
        <is>
          <t>Added on 2026-09-14 during task compilation audit: completed in founder build sequence as part of UI component suites and differentiating spine (R-359..R-448); verified 100% offline (task verify 3,098 tests passed).</t>
        </is>
      </c>
    </row>
    <row r="71" ht="34" customHeight="1" s="401">
      <c r="A71" t="inlineStr">
        <is>
          <t>R-391</t>
        </is>
      </c>
      <c r="B71" t="inlineStr">
        <is>
          <t>MVP</t>
        </is>
      </c>
      <c r="C71" t="inlineStr">
        <is>
          <t>Builder</t>
        </is>
      </c>
      <c r="D71" t="inlineStr">
        <is>
          <t>Accessible Futuristic Reusable Whiteboard &amp; Collaborative Canvas Suite (`components/whiteboard.tsx`)</t>
        </is>
      </c>
      <c r="E71" t="inlineStr">
        <is>
          <t>Add an accessible, zero-dependency, desktop-and-mobile-grade, futuristic Whiteboard &amp; Collaborative Canvas compound component suite (`components/whiteboard.tsx`) supporting vector shape drawing (rectangle, ellipse/circle, arrow, line, freehand pencil, text sticky notes, eraser), color palette and stroke width selectors, canvas pan &amp; zoom transform, multi-level undo/redo history stack, export to PNG/SVG/JSON, WAI-ARIA 1.2 application semantics (`role="application"`, `aria-label="Whiteboard Canvas</t>
        </is>
      </c>
      <c r="F71" t="inlineStr">
        <is>
          <t>P1</t>
        </is>
      </c>
      <c r="G71" t="inlineStr">
        <is>
          <t>sanjeetji</t>
        </is>
      </c>
      <c r="H71" t="inlineStr">
        <is>
          <t>Done</t>
        </is>
      </c>
      <c r="I71" t="n">
        <v>1</v>
      </c>
      <c r="J71" t="inlineStr">
        <is>
          <t>R-390</t>
        </is>
      </c>
      <c r="K71" t="inlineStr">
        <is>
          <t>Founder Stage 0</t>
        </is>
      </c>
      <c r="L71" t="inlineStr">
        <is>
          <t>task verify passed offline; lint/security/env pass; 0 model calls.</t>
        </is>
      </c>
      <c r="M71" t="inlineStr">
        <is>
          <t>Added on 2026-09-14 during task compilation audit: completed in founder build sequence as part of UI component suites and differentiating spine (R-359..R-448); verified 100% offline (task verify 3,098 tests passed).</t>
        </is>
      </c>
    </row>
    <row r="72" ht="34" customHeight="1" s="401">
      <c r="A72" t="inlineStr">
        <is>
          <t>R-390</t>
        </is>
      </c>
      <c r="B72" t="inlineStr">
        <is>
          <t>MVP</t>
        </is>
      </c>
      <c r="C72" t="inlineStr">
        <is>
          <t>Builder</t>
        </is>
      </c>
      <c r="D72" t="inlineStr">
        <is>
          <t>Accessible Futuristic Reusable Video Player &amp; Streaming Theater Suite (`components/video-player.tsx`)</t>
        </is>
      </c>
      <c r="E72" t="inlineStr">
        <is>
          <t>Add an accessible, zero-dependency, desktop-and-mobile-grade, futuristic Video Player &amp; Streaming Theater compound component suite (`components/video-player.tsx`) supporting video playback controls, interactive seekable timeline / scrubber with buffered range and visual chapter markers, theater and fullscreen modes, picture-in-picture (PiP), captions / subtitles toggle, playback speed and quality selectors, volume slider with mute toggle, WAI-ARIA 1.2 media accessibility (`role="region"`, `aria-</t>
        </is>
      </c>
      <c r="F72" t="inlineStr">
        <is>
          <t>P1</t>
        </is>
      </c>
      <c r="G72" t="inlineStr">
        <is>
          <t>sanjeetji</t>
        </is>
      </c>
      <c r="H72" t="inlineStr">
        <is>
          <t>Done</t>
        </is>
      </c>
      <c r="I72" t="n">
        <v>1</v>
      </c>
      <c r="J72" t="inlineStr">
        <is>
          <t>R-389</t>
        </is>
      </c>
      <c r="K72" t="inlineStr">
        <is>
          <t>Founder Stage 0</t>
        </is>
      </c>
      <c r="L72" t="inlineStr">
        <is>
          <t>task verify passed offline; lint/security/env pass; 0 model calls.</t>
        </is>
      </c>
      <c r="M72" t="inlineStr">
        <is>
          <t>Added on 2026-09-14 during task compilation audit: completed in founder build sequence as part of UI component suites and differentiating spine (R-359..R-448); verified 100% offline (task verify 3,098 tests passed).</t>
        </is>
      </c>
    </row>
    <row r="73" ht="34" customHeight="1" s="401">
      <c r="A73" t="inlineStr">
        <is>
          <t>R-389</t>
        </is>
      </c>
      <c r="B73" t="inlineStr">
        <is>
          <t>MVP</t>
        </is>
      </c>
      <c r="C73" t="inlineStr">
        <is>
          <t>Builder</t>
        </is>
      </c>
      <c r="D73" t="inlineStr">
        <is>
          <t>Accessible Futuristic Reusable Audio Player &amp; Frequency Equalizer Suite</t>
        </is>
      </c>
      <c r="E73" t="inlineStr">
        <is>
          <t>Implement an enterprise-grade, accessible, desktop-and-mobile-grade, futuristic Audio Player &amp; Frequency Equalizer compound component suite (`components/audio-player.tsx`) for Next.js web applications generated by OmniStackAI. The component must support: - Zero external runtime npm dependencies: Pure React 18+ hooks, HTML5 `&lt;canvas&gt;`, and native inline vector SVGs. - Multi-track playback &amp; playlist queue management: Track title, artist, duration, cover art thumbnail. - Playback controls: Play, p</t>
        </is>
      </c>
      <c r="F73" t="inlineStr">
        <is>
          <t>P1</t>
        </is>
      </c>
      <c r="G73" t="inlineStr">
        <is>
          <t>sanjeetji</t>
        </is>
      </c>
      <c r="H73" t="inlineStr">
        <is>
          <t>Done</t>
        </is>
      </c>
      <c r="I73" t="n">
        <v>1</v>
      </c>
      <c r="J73" t="inlineStr">
        <is>
          <t>R-388</t>
        </is>
      </c>
      <c r="K73" t="inlineStr">
        <is>
          <t>Founder Stage 0</t>
        </is>
      </c>
      <c r="L73" t="inlineStr">
        <is>
          <t>task verify passed offline; lint/security/env pass; 0 model calls.</t>
        </is>
      </c>
      <c r="M73" t="inlineStr">
        <is>
          <t>Added on 2026-09-14 during task compilation audit: completed in founder build sequence as part of UI component suites and differentiating spine (R-359..R-448); verified 100% offline (task verify 3,098 tests passed).</t>
        </is>
      </c>
    </row>
    <row r="74" ht="34" customHeight="1" s="401">
      <c r="A74" t="inlineStr">
        <is>
          <t>R-388</t>
        </is>
      </c>
      <c r="B74" t="inlineStr">
        <is>
          <t>MVP</t>
        </is>
      </c>
      <c r="C74" t="inlineStr">
        <is>
          <t>Builder</t>
        </is>
      </c>
      <c r="D74" t="inlineStr">
        <is>
          <t>Accessible Futuristic Reusable PDF &amp; Document Viewer Suite</t>
        </is>
      </c>
      <c r="E74" t="inlineStr">
        <is>
          <t>Implement an enterprise-grade, accessible, desktop-and-mobile-grade, futuristic PDF &amp; Document Viewer compound component suite (`components/pdf-viewer.tsx`) for Next.js web applications generated by OmniStackAI. The component must support: - Zero external runtime npm dependencies: Pure React 18+ hooks and native inline vector SVGs. - Multi-page document navigation: Page indicator, jumper input (`Page X of Y`), next/prev/first/last page controls. - Interactive Zoom Engine: Zoom In, Zoom Out, pres</t>
        </is>
      </c>
      <c r="F74" t="inlineStr">
        <is>
          <t>P1</t>
        </is>
      </c>
      <c r="G74" t="inlineStr">
        <is>
          <t>sanjeetji</t>
        </is>
      </c>
      <c r="H74" t="inlineStr">
        <is>
          <t>Done</t>
        </is>
      </c>
      <c r="I74" t="n">
        <v>1</v>
      </c>
      <c r="J74" t="inlineStr">
        <is>
          <t>R-387</t>
        </is>
      </c>
      <c r="K74" t="inlineStr">
        <is>
          <t>Founder Stage 0</t>
        </is>
      </c>
      <c r="L74" t="inlineStr">
        <is>
          <t>task verify passed offline; lint/security/env pass; 0 model calls.</t>
        </is>
      </c>
      <c r="M74" t="inlineStr">
        <is>
          <t>Added on 2026-09-14 during task compilation audit: completed in founder build sequence as part of UI component suites and differentiating spine (R-359..R-448); verified 100% offline (task verify 3,098 tests passed).</t>
        </is>
      </c>
    </row>
    <row r="75" ht="34" customHeight="1" s="401">
      <c r="A75" t="inlineStr">
        <is>
          <t>R-387</t>
        </is>
      </c>
      <c r="B75" t="inlineStr">
        <is>
          <t>MVP</t>
        </is>
      </c>
      <c r="C75" t="inlineStr">
        <is>
          <t>Builder</t>
        </is>
      </c>
      <c r="D75" t="inlineStr">
        <is>
          <t>Accessible Futuristic Reusable Interactive Geo Map &amp; Location Pinpoint Suite</t>
        </is>
      </c>
      <c r="E75" t="inlineStr">
        <is>
          <t>Implement an enterprise-grade, accessible, desktop-and-mobile-grade, futuristic Interactive Geo Map &amp; Location Pinpoint compound component suite (`components/geo-map.tsx`) for Next.js web applications generated by OmniStackAI. The component must support: - Zero external runtime npm dependencies: Pure React 18+ hooks and native mathematical vector SVG world landmass projections. - Interactive pan &amp; zoom engine: Mouse drag-to-pan, mouse scroll wheel zoom, touch drag, reset view, and fit-to-view co</t>
        </is>
      </c>
      <c r="F75" t="inlineStr">
        <is>
          <t>P1</t>
        </is>
      </c>
      <c r="G75" t="inlineStr">
        <is>
          <t>sanjeetji</t>
        </is>
      </c>
      <c r="H75" t="inlineStr">
        <is>
          <t>Done</t>
        </is>
      </c>
      <c r="I75" t="n">
        <v>1</v>
      </c>
      <c r="J75" t="inlineStr">
        <is>
          <t>R-386</t>
        </is>
      </c>
      <c r="K75" t="inlineStr">
        <is>
          <t>Founder Stage 0</t>
        </is>
      </c>
      <c r="L75" t="inlineStr">
        <is>
          <t>task verify passed offline; lint/security/env pass; 0 model calls.</t>
        </is>
      </c>
      <c r="M75" t="inlineStr">
        <is>
          <t>Added on 2026-09-14 during task compilation audit: completed in founder build sequence as part of UI component suites and differentiating spine (R-359..R-448); verified 100% offline (task verify 3,098 tests passed).</t>
        </is>
      </c>
    </row>
    <row r="76" ht="34" customHeight="1" s="401">
      <c r="A76" t="inlineStr">
        <is>
          <t>R-386</t>
        </is>
      </c>
      <c r="B76" t="inlineStr">
        <is>
          <t>MVP</t>
        </is>
      </c>
      <c r="C76" t="inlineStr">
        <is>
          <t>Builder</t>
        </is>
      </c>
      <c r="D76" t="inlineStr">
        <is>
          <t>Accessible Futuristic Reusable File Explorer &amp; Storage Browser Suite</t>
        </is>
      </c>
      <c r="E76" t="inlineStr">
        <is>
          <t xml:space="preserve">Implement an enterprise-grade, accessible, desktop-and-mobile-grade, futuristic File Explorer &amp; Storage Browser compound component suite (`components/file-explorer.tsx`) for Next.js web applications generated by OmniStackAI. The component must support: - Zero external runtime npm dependencies: Pure React 18+ hooks and native inline vector SVGs. - Hierarchical folder navigation with interactive breadcrumbs (`Home / Documents / Projects`). - Dual view modes: - Responsive card grid mode with large </t>
        </is>
      </c>
      <c r="F76" t="inlineStr">
        <is>
          <t>P1</t>
        </is>
      </c>
      <c r="G76" t="inlineStr">
        <is>
          <t>sanjeetji</t>
        </is>
      </c>
      <c r="H76" t="inlineStr">
        <is>
          <t>Done</t>
        </is>
      </c>
      <c r="I76" t="n">
        <v>1</v>
      </c>
      <c r="J76" t="inlineStr">
        <is>
          <t>R-385</t>
        </is>
      </c>
      <c r="K76" t="inlineStr">
        <is>
          <t>Founder Stage 0</t>
        </is>
      </c>
      <c r="L76" t="inlineStr">
        <is>
          <t>task verify passed offline; lint/security/env pass; 0 model calls.</t>
        </is>
      </c>
      <c r="M76" t="inlineStr">
        <is>
          <t>Added on 2026-09-14 during task compilation audit: completed in founder build sequence as part of UI component suites and differentiating spine (R-359..R-448); verified 100% offline (task verify 3,098 tests passed).</t>
        </is>
      </c>
    </row>
    <row r="77" ht="34" customHeight="1" s="401">
      <c r="A77" t="inlineStr">
        <is>
          <t>R-385</t>
        </is>
      </c>
      <c r="B77" t="inlineStr">
        <is>
          <t>MVP</t>
        </is>
      </c>
      <c r="C77" t="inlineStr">
        <is>
          <t>Builder</t>
        </is>
      </c>
      <c r="D77" t="inlineStr">
        <is>
          <t>Accessible Futuristic Reusable Audio &amp; Voice Recorder Suite</t>
        </is>
      </c>
      <c r="E77" t="inlineStr">
        <is>
          <t>Implement an enterprise-grade, accessible, desktop-and-mobile-grade, futuristic Audio &amp; Voice Recorder compound component suite (`components/audio-recorder.tsx`) for Next.js web applications generated by OmniStackAI. The component must support: - Zero external runtime npm dependencies: Pure React 18+ hooks, HTML5 `&lt;canvas&gt;`, and native inline vector SVGs. - Real-time sound recording lifecycle state machine: `"idle"`, `"recording"`, `"paused"`, `"stopped"`. - Live sound waveform canvas visualizer</t>
        </is>
      </c>
      <c r="F77" t="inlineStr">
        <is>
          <t>P1</t>
        </is>
      </c>
      <c r="G77" t="inlineStr">
        <is>
          <t>sanjeetji</t>
        </is>
      </c>
      <c r="H77" t="inlineStr">
        <is>
          <t>Done</t>
        </is>
      </c>
      <c r="I77" t="n">
        <v>1</v>
      </c>
      <c r="J77" t="inlineStr">
        <is>
          <t>R-384</t>
        </is>
      </c>
      <c r="K77" t="inlineStr">
        <is>
          <t>Founder Stage 0</t>
        </is>
      </c>
      <c r="L77" t="inlineStr">
        <is>
          <t>task verify passed offline; lint/security/env pass; 0 model calls.</t>
        </is>
      </c>
      <c r="M77" t="inlineStr">
        <is>
          <t>Added on 2026-09-14 during task compilation audit: completed in founder build sequence as part of UI component suites and differentiating spine (R-359..R-448); verified 100% offline (task verify 3,098 tests passed).</t>
        </is>
      </c>
    </row>
    <row r="78" ht="34" customHeight="1" s="401">
      <c r="A78" t="inlineStr">
        <is>
          <t>R-384</t>
        </is>
      </c>
      <c r="B78" t="inlineStr">
        <is>
          <t>MVP</t>
        </is>
      </c>
      <c r="C78" t="inlineStr">
        <is>
          <t>Builder</t>
        </is>
      </c>
      <c r="D78" t="inlineStr">
        <is>
          <t>Accessible Futuristic Reusable Chat &amp; Real-Time Messaging Suite</t>
        </is>
      </c>
      <c r="E78" t="inlineStr">
        <is>
          <t>Implement an enterprise-grade, accessible, desktop-and-mobile-grade, futuristic Chat &amp; Real-Time Messaging compound component suite (`components/chat.tsx`) for Next.js web applications generated by OmniStackAI. The component must support: - Zero external runtime npm dependencies: Pure React 18+ and native SVG icons. - Conversational message bubbles with distinct styles for user, bot/agent, and system messages. - Message status indicators: sending (clock/spinner), sent (single check), delivered (</t>
        </is>
      </c>
      <c r="F78" t="inlineStr">
        <is>
          <t>P1</t>
        </is>
      </c>
      <c r="G78" t="inlineStr">
        <is>
          <t>sanjeetji</t>
        </is>
      </c>
      <c r="H78" t="inlineStr">
        <is>
          <t>Done</t>
        </is>
      </c>
      <c r="I78" t="n">
        <v>1</v>
      </c>
      <c r="J78" t="inlineStr">
        <is>
          <t>R-383</t>
        </is>
      </c>
      <c r="K78" t="inlineStr">
        <is>
          <t>Founder Stage 0</t>
        </is>
      </c>
      <c r="L78" t="inlineStr">
        <is>
          <t>task verify passed offline; lint/security/env pass; 0 model calls.</t>
        </is>
      </c>
      <c r="M78" t="inlineStr">
        <is>
          <t>Added on 2026-09-14 during task compilation audit: completed in founder build sequence as part of UI component suites and differentiating spine (R-359..R-448); verified 100% offline (task verify 3,098 tests passed).</t>
        </is>
      </c>
    </row>
    <row r="79" ht="34" customHeight="1" s="401">
      <c r="A79" t="inlineStr">
        <is>
          <t>R-383</t>
        </is>
      </c>
      <c r="B79" t="inlineStr">
        <is>
          <t>MVP</t>
        </is>
      </c>
      <c r="C79" t="inlineStr">
        <is>
          <t>Builder</t>
        </is>
      </c>
      <c r="D79" t="inlineStr">
        <is>
          <t>Accessible Futuristic Reusable Spreadsheet &amp; Inline-Editable Data Sheet Suite</t>
        </is>
      </c>
      <c r="E79" t="inlineStr">
        <is>
          <t>Add `components/spreadsheet.tsx` to the `NextjsWebAdapter` codegen pipeline: a standalone, zero-external-dependency, desktop-and-mobile-grade, WAI-ARIA-compliant, futuristic Spreadsheet &amp; Inline-Editable Data Sheet compound component suite for generated Next.js web applications.</t>
        </is>
      </c>
      <c r="F79" t="inlineStr">
        <is>
          <t>P1</t>
        </is>
      </c>
      <c r="G79" t="inlineStr">
        <is>
          <t>sanjeetji</t>
        </is>
      </c>
      <c r="H79" t="inlineStr">
        <is>
          <t>Done</t>
        </is>
      </c>
      <c r="I79" t="n">
        <v>1</v>
      </c>
      <c r="J79" t="inlineStr">
        <is>
          <t>R-382</t>
        </is>
      </c>
      <c r="K79" t="inlineStr">
        <is>
          <t>Founder Stage 0</t>
        </is>
      </c>
      <c r="L79" t="inlineStr">
        <is>
          <t>task verify passed offline; lint/security/env pass; 0 model calls.</t>
        </is>
      </c>
      <c r="M79" t="inlineStr">
        <is>
          <t>Added on 2026-09-14 during task compilation audit: completed in founder build sequence as part of UI component suites and differentiating spine (R-359..R-448); verified 100% offline (task verify 3,098 tests passed).</t>
        </is>
      </c>
    </row>
    <row r="80" ht="34" customHeight="1" s="401">
      <c r="A80" t="inlineStr">
        <is>
          <t>R-382</t>
        </is>
      </c>
      <c r="B80" t="inlineStr">
        <is>
          <t>MVP</t>
        </is>
      </c>
      <c r="C80" t="inlineStr">
        <is>
          <t>Builder</t>
        </is>
      </c>
      <c r="D80" t="inlineStr">
        <is>
          <t>Accessible Futuristic Reusable QR Code &amp; Barcode Suite</t>
        </is>
      </c>
      <c r="E80" t="inlineStr">
        <is>
          <t>Implement an enterprise-grade, accessible, desktop-and-mobile-grade, futuristic QR Code &amp; Barcode compound component suite (`components/qr-code.tsx`) for Next.js web applications generated by OmniStackAI. The component must support: - Zero external runtime npm dependencies: Pure React 18+ and native SVG/Canvas mathematical rendering (no external `qrcode`, `jsbarcode` packages). - Built-in mathematical QR generator with Galois Field $GF(2^8)$ Reed-Solomon error correction supporting standard Erro</t>
        </is>
      </c>
      <c r="F80" t="inlineStr">
        <is>
          <t>P1</t>
        </is>
      </c>
      <c r="G80" t="inlineStr">
        <is>
          <t>sanjeetji</t>
        </is>
      </c>
      <c r="H80" t="inlineStr">
        <is>
          <t>Done</t>
        </is>
      </c>
      <c r="I80" t="n">
        <v>1</v>
      </c>
      <c r="J80" t="inlineStr">
        <is>
          <t>R-381</t>
        </is>
      </c>
      <c r="K80" t="inlineStr">
        <is>
          <t>Founder Stage 0</t>
        </is>
      </c>
      <c r="L80" t="inlineStr">
        <is>
          <t>task verify passed offline; lint/security/env pass; 0 model calls.</t>
        </is>
      </c>
      <c r="M80" t="inlineStr">
        <is>
          <t>Added on 2026-09-14 during task compilation audit: completed in founder build sequence as part of UI component suites and differentiating spine (R-359..R-448); verified 100% offline (task verify 3,098 tests passed).</t>
        </is>
      </c>
    </row>
    <row r="81" ht="34" customHeight="1" s="401">
      <c r="A81" t="inlineStr">
        <is>
          <t>R-381</t>
        </is>
      </c>
      <c r="B81" t="inlineStr">
        <is>
          <t>MVP</t>
        </is>
      </c>
      <c r="C81" t="inlineStr">
        <is>
          <t>Builder</t>
        </is>
      </c>
      <c r="D81" t="inlineStr">
        <is>
          <t>Accessible Futuristic Reusable Terminal &amp; Command Console Suite</t>
        </is>
      </c>
      <c r="E81" t="inlineStr">
        <is>
          <t>Implement an enterprise-grade, accessible, desktop-and-mobile-grade, futuristic Terminal &amp; Command Console compound component suite (`components/terminal.tsx`) for Next.js web applications generated by OmniStackAI. The component must support: - Interactive CLI command line prompt with customizable prefix (`"$ "`, `"&gt; "` or `user@host:~ $`). - Command history stack with keyboard navigation (ArrowUp / ArrowDown recall). - Interactive command execution callback (`onCommand(cmd)`) returning stdout/s</t>
        </is>
      </c>
      <c r="F81" t="inlineStr">
        <is>
          <t>P1</t>
        </is>
      </c>
      <c r="G81" t="inlineStr">
        <is>
          <t>sanjeetji</t>
        </is>
      </c>
      <c r="H81" t="inlineStr">
        <is>
          <t>Done</t>
        </is>
      </c>
      <c r="I81" t="n">
        <v>1</v>
      </c>
      <c r="J81" t="inlineStr">
        <is>
          <t>R-380</t>
        </is>
      </c>
      <c r="K81" t="inlineStr">
        <is>
          <t>Founder Stage 0</t>
        </is>
      </c>
      <c r="L81" t="inlineStr">
        <is>
          <t>task verify passed offline; lint/security/env pass; 0 model calls.</t>
        </is>
      </c>
      <c r="M81" t="inlineStr">
        <is>
          <t>Added on 2026-09-14 during task compilation audit: completed in founder build sequence as part of UI component suites and differentiating spine (R-359..R-448); verified 100% offline (task verify 3,098 tests passed).</t>
        </is>
      </c>
    </row>
    <row r="82" ht="34" customHeight="1" s="401">
      <c r="A82" t="inlineStr">
        <is>
          <t>R-380</t>
        </is>
      </c>
      <c r="B82" t="inlineStr">
        <is>
          <t>MVP</t>
        </is>
      </c>
      <c r="C82" t="inlineStr">
        <is>
          <t>Builder</t>
        </is>
      </c>
      <c r="D82" t="inlineStr">
        <is>
          <t>Accessible Futuristic Reusable Flowchart &amp; Node-Based Workflow Canvas Suite</t>
        </is>
      </c>
      <c r="E82" t="inlineStr">
        <is>
          <t>Implement an enterprise-grade, accessible, desktop-and-mobile-grade, futuristic Flowchart &amp; Node-Based Workflow Canvas compound component suite (`components/flow-canvas.tsx`) for Next.js web applications generated by OmniStackAI. The component must support: - Interactive 2D workspace with pan (drag canvas / space+drag) and zoom (mouse wheel, zoom controls, fit-to-view). - Node model (`FlowNode`): `id`, `label`, `type` (`"default"` | `"input"` | `"output"` | `"action"` | `"condition"`), `x`, `y`,</t>
        </is>
      </c>
      <c r="F82" t="inlineStr">
        <is>
          <t>P1</t>
        </is>
      </c>
      <c r="G82" t="inlineStr">
        <is>
          <t>sanjeetji</t>
        </is>
      </c>
      <c r="H82" t="inlineStr">
        <is>
          <t>Done</t>
        </is>
      </c>
      <c r="I82" t="n">
        <v>1</v>
      </c>
      <c r="J82" t="inlineStr">
        <is>
          <t>R-379</t>
        </is>
      </c>
      <c r="K82" t="inlineStr">
        <is>
          <t>Founder Stage 0</t>
        </is>
      </c>
      <c r="L82" t="inlineStr">
        <is>
          <t>task verify passed offline; lint/security/env pass; 0 model calls.</t>
        </is>
      </c>
      <c r="M82" t="inlineStr">
        <is>
          <t>Added on 2026-09-14 during task compilation audit: completed in founder build sequence as part of UI component suites and differentiating spine (R-359..R-448); verified 100% offline (task verify 3,098 tests passed).</t>
        </is>
      </c>
    </row>
    <row r="83" ht="34" customHeight="1" s="401">
      <c r="A83" t="inlineStr">
        <is>
          <t>R-379</t>
        </is>
      </c>
      <c r="B83" t="inlineStr">
        <is>
          <t>MVP</t>
        </is>
      </c>
      <c r="C83" t="inlineStr">
        <is>
          <t>Builder</t>
        </is>
      </c>
      <c r="D83" t="inlineStr">
        <is>
          <t>Accessible Futuristic Reusable Gantt Chart &amp; Project Roadmap Suite</t>
        </is>
      </c>
      <c r="E83" t="inlineStr">
        <is>
          <t>Implement an enterprise-grade, accessible, desktop-and-mobile-grade, futuristic Gantt Chart &amp; Project Roadmap compound component suite (`components/gantt-chart.tsx`) for Next.js web applications generated by OmniStackAI. The component must support: - Interactive timeline and task bars with `id`, `name`, `startDate` (ISO), `endDate`, `progress` (0-100%), `color`, `dependencies` (`string[]`), and `milestone` (boolean). - Visual task duration bars with proportional progress fill. - Milestone diamon</t>
        </is>
      </c>
      <c r="F83" t="inlineStr">
        <is>
          <t>P1</t>
        </is>
      </c>
      <c r="G83" t="inlineStr">
        <is>
          <t>sanjeetji</t>
        </is>
      </c>
      <c r="H83" t="inlineStr">
        <is>
          <t>Done</t>
        </is>
      </c>
      <c r="I83" t="n">
        <v>1</v>
      </c>
      <c r="J83" t="inlineStr">
        <is>
          <t>R-378</t>
        </is>
      </c>
      <c r="K83" t="inlineStr">
        <is>
          <t>Founder Stage 0</t>
        </is>
      </c>
      <c r="L83" t="inlineStr">
        <is>
          <t>task verify passed offline; lint/security/env pass; 0 model calls.</t>
        </is>
      </c>
      <c r="M83" t="inlineStr">
        <is>
          <t>Added on 2026-09-14 during task compilation audit: completed in founder build sequence as part of UI component suites and differentiating spine (R-359..R-448); verified 100% offline (task verify 3,098 tests passed).</t>
        </is>
      </c>
    </row>
    <row r="84" ht="34" customHeight="1" s="401">
      <c r="A84" t="inlineStr">
        <is>
          <t>R-378</t>
        </is>
      </c>
      <c r="B84" t="inlineStr">
        <is>
          <t>MVP</t>
        </is>
      </c>
      <c r="C84" t="inlineStr">
        <is>
          <t>Builder</t>
        </is>
      </c>
      <c r="D84" t="inlineStr">
        <is>
          <t>Accessible Futuristic Reusable Image Cropper &amp; Canvas Mask Suite</t>
        </is>
      </c>
      <c r="E84" t="inlineStr">
        <is>
          <t>Implement an enterprise-grade, accessible, desktop-and-mobile-grade, futuristic Image Cropper &amp; Canvas Mask compound component suite (`components/image-cropper.tsx`) for Next.js web applications generated by OmniStackAI. The component must support: - Interactive crop marquee bounding box with draggable center and 8 resize handles (corners and edges). - Aspect ratio constraints: `"free"`, `"1:1"` (square), `"4:3"`, `"16:9"`, and `"circular"` (for avatars). - Zoom scaling (0.5x to 3x) and rotation</t>
        </is>
      </c>
      <c r="F84" t="inlineStr">
        <is>
          <t>P1</t>
        </is>
      </c>
      <c r="G84" t="inlineStr">
        <is>
          <t>sanjeetji</t>
        </is>
      </c>
      <c r="H84" t="inlineStr">
        <is>
          <t>Done</t>
        </is>
      </c>
      <c r="I84" t="n">
        <v>1</v>
      </c>
      <c r="J84" t="inlineStr">
        <is>
          <t>R-377</t>
        </is>
      </c>
      <c r="K84" t="inlineStr">
        <is>
          <t>Founder Stage 0</t>
        </is>
      </c>
      <c r="L84" t="inlineStr">
        <is>
          <t>task verify passed offline; lint/security/env pass; 0 model calls.</t>
        </is>
      </c>
      <c r="M84" t="inlineStr">
        <is>
          <t>Added on 2026-09-14 during task compilation audit: completed in founder build sequence as part of UI component suites and differentiating spine (R-359..R-448); verified 100% offline (task verify 3,098 tests passed).</t>
        </is>
      </c>
    </row>
    <row r="85" ht="34" customHeight="1" s="401">
      <c r="A85" t="inlineStr">
        <is>
          <t>R-377</t>
        </is>
      </c>
      <c r="B85" t="inlineStr">
        <is>
          <t>MVP</t>
        </is>
      </c>
      <c r="C85" t="inlineStr">
        <is>
          <t>Builder</t>
        </is>
      </c>
      <c r="D85" t="inlineStr">
        <is>
          <t>Accessible Futuristic Reusable Pivot Table &amp; Cross-Tabulation Matrix Suite</t>
        </is>
      </c>
      <c r="E85" t="inlineStr">
        <is>
          <t>Implement an enterprise-grade, accessible, desktop-and-mobile-grade, futuristic Pivot Table &amp; Cross-Tabulation Matrix compound component suite (`components/pivot-table.tsx`) for Next.js web applications generated by OmniStackAI. The component supports: - Multi-dimensional row and column grouping (e.g. `rows: ["region", "category"]`, `columns: ["year", "quarter"]`). - Aggregation functions: `sum`, `avg`, `count`, `min`, `max`. - Collapsible and expandable row hierarchy levels with chevron indicat</t>
        </is>
      </c>
      <c r="F85" t="inlineStr">
        <is>
          <t>P1</t>
        </is>
      </c>
      <c r="G85" t="inlineStr">
        <is>
          <t>sanjeetji</t>
        </is>
      </c>
      <c r="H85" t="inlineStr">
        <is>
          <t>Done</t>
        </is>
      </c>
      <c r="I85" t="n">
        <v>1</v>
      </c>
      <c r="J85" t="inlineStr">
        <is>
          <t>R-376</t>
        </is>
      </c>
      <c r="K85" t="inlineStr">
        <is>
          <t>Founder Stage 0</t>
        </is>
      </c>
      <c r="L85" t="inlineStr">
        <is>
          <t>task verify passed offline; lint/security/env pass; 0 model calls.</t>
        </is>
      </c>
      <c r="M85" t="inlineStr">
        <is>
          <t>Added on 2026-09-14 during task compilation audit: completed in founder build sequence as part of UI component suites and differentiating spine (R-359..R-448); verified 100% offline (task verify 3,098 tests passed).</t>
        </is>
      </c>
    </row>
    <row r="86" ht="34" customHeight="1" s="401">
      <c r="A86" t="inlineStr">
        <is>
          <t>R-376</t>
        </is>
      </c>
      <c r="B86" t="inlineStr">
        <is>
          <t>MVP</t>
        </is>
      </c>
      <c r="C86" t="inlineStr">
        <is>
          <t>Builder</t>
        </is>
      </c>
      <c r="D86" t="inlineStr">
        <is>
          <t>Accessible Futuristic Reusable Media Player Suite</t>
        </is>
      </c>
      <c r="E86" t="inlineStr">
        <is>
          <t>Implement an enterprise-grade, accessible, desktop-and-mobile-grade, futuristic Media Player &amp; Audio/Video Controller compound component suite (`components/media-player.tsx`) for Next.js web applications generated by OmniStackAI. The component supports: - Dual media modes: 1. `video`: High-definition video player with aspect ratio container, poster image, overlay controls, fullscreen, and Picture-in-Picture. 2. `audio`: Compact audio player layout with cover art, track and artist info, visual pl</t>
        </is>
      </c>
      <c r="F86" t="inlineStr">
        <is>
          <t>P1</t>
        </is>
      </c>
      <c r="G86" t="inlineStr">
        <is>
          <t>sanjeetji</t>
        </is>
      </c>
      <c r="H86" t="inlineStr">
        <is>
          <t>Done</t>
        </is>
      </c>
      <c r="I86" t="n">
        <v>1</v>
      </c>
      <c r="J86" t="inlineStr">
        <is>
          <t>R-375</t>
        </is>
      </c>
      <c r="K86" t="inlineStr">
        <is>
          <t>Founder Stage 0</t>
        </is>
      </c>
      <c r="L86" t="inlineStr">
        <is>
          <t>task verify passed offline; lint/security/env pass; 0 model calls.</t>
        </is>
      </c>
      <c r="M86" t="inlineStr">
        <is>
          <t>Added on 2026-09-14 during task compilation audit: completed in founder build sequence as part of UI component suites and differentiating spine (R-359..R-448); verified 100% offline (task verify 3,098 tests passed).</t>
        </is>
      </c>
    </row>
    <row r="87" ht="34" customHeight="1" s="401">
      <c r="A87" t="inlineStr">
        <is>
          <t>R-375</t>
        </is>
      </c>
      <c r="B87" t="inlineStr">
        <is>
          <t>MVP</t>
        </is>
      </c>
      <c r="C87" t="inlineStr">
        <is>
          <t>Builder</t>
        </is>
      </c>
      <c r="D87" t="inlineStr">
        <is>
          <t>Accessible Futuristic Reusable Heatmap &amp; Activity Contribution Matrix Suite</t>
        </is>
      </c>
      <c r="E87" t="inlineStr">
        <is>
          <t>Implement an enterprise-grade, accessible, desktop-and-mobile-grade, futuristic Heatmap &amp; Activity Contribution Matrix compound component suite (`components/heatmap.tsx`) for Next.js web applications generated by OmniStackAI. The component supports: - Dual layout modes: 1. `calendar`: GitHub-style 52-week activity contribution grid with month headers, weekday labels (Mon, Wed, Fri), and quantile cell intensity. 2. `grid`: Dense 2D coordinate matrix (e.g. 24x7 hourly load, resource utilization, s</t>
        </is>
      </c>
      <c r="F87" t="inlineStr">
        <is>
          <t>P1</t>
        </is>
      </c>
      <c r="G87" t="inlineStr">
        <is>
          <t>sanjeetji</t>
        </is>
      </c>
      <c r="H87" t="inlineStr">
        <is>
          <t>Done</t>
        </is>
      </c>
      <c r="I87" t="n">
        <v>1</v>
      </c>
      <c r="J87" t="inlineStr">
        <is>
          <t>R-374</t>
        </is>
      </c>
      <c r="K87" t="inlineStr">
        <is>
          <t>Founder Stage 0</t>
        </is>
      </c>
      <c r="L87" t="inlineStr">
        <is>
          <t>task verify passed offline; lint/security/env pass; 0 model calls.</t>
        </is>
      </c>
      <c r="M87" t="inlineStr">
        <is>
          <t>Added on 2026-09-14 during task compilation audit: completed in founder build sequence as part of UI component suites and differentiating spine (R-359..R-448); verified 100% offline (task verify 3,098 tests passed).</t>
        </is>
      </c>
    </row>
    <row r="88" ht="34" customHeight="1" s="401">
      <c r="A88" t="inlineStr">
        <is>
          <t>R-374</t>
        </is>
      </c>
      <c r="B88" t="inlineStr">
        <is>
          <t>MVP</t>
        </is>
      </c>
      <c r="C88" t="inlineStr">
        <is>
          <t>Builder</t>
        </is>
      </c>
      <c r="D88" t="inlineStr">
        <is>
          <t>Accessible Futuristic Reusable Org Chart &amp; Hierarchy Flow Diagram Suite</t>
        </is>
      </c>
      <c r="E88" t="inlineStr">
        <is>
          <t xml:space="preserve">Add accessible, zero-dependency, desktop-and-mobile-grade, and futuristic Organizational Chart &amp; Hierarchy Flow Diagram compound component suite (components/org-chart.tsx) supporting recursive hierarchical tree layout, SVG connector paths between nodes, collapsible/expandable branches with report count badges, search filtering, vertical and horizontal layout orientations, node selection, WAI-ARIA 1.2 tree semantics (role="tree", role="treeitem"), 4 visual styling variants (default, card, glass, </t>
        </is>
      </c>
      <c r="F88" t="inlineStr">
        <is>
          <t>P1</t>
        </is>
      </c>
      <c r="G88" t="inlineStr">
        <is>
          <t>sanjeetji</t>
        </is>
      </c>
      <c r="H88" t="inlineStr">
        <is>
          <t>Done</t>
        </is>
      </c>
      <c r="I88" t="n">
        <v>1</v>
      </c>
      <c r="J88" t="inlineStr">
        <is>
          <t>R-373</t>
        </is>
      </c>
      <c r="K88" t="inlineStr">
        <is>
          <t>Founder Stage 0</t>
        </is>
      </c>
      <c r="L88" t="inlineStr">
        <is>
          <t>task verify passed offline; lint/security/env pass; 0 model calls.</t>
        </is>
      </c>
      <c r="M88" t="inlineStr">
        <is>
          <t>Added on 2026-09-14 during task compilation audit: completed in founder build sequence as part of UI component suites and differentiating spine (R-359..R-448); verified 100% offline (task verify 3,098 tests passed).</t>
        </is>
      </c>
    </row>
    <row r="89" ht="34" customHeight="1" s="401">
      <c r="A89" t="inlineStr">
        <is>
          <t>R-373</t>
        </is>
      </c>
      <c r="B89" t="inlineStr">
        <is>
          <t>MVP</t>
        </is>
      </c>
      <c r="C89" t="inlineStr">
        <is>
          <t>Builder</t>
        </is>
      </c>
      <c r="D89" t="inlineStr">
        <is>
          <t>Accessible Futuristic Reusable Diff Viewer &amp; Code/Text Comparison Suite</t>
        </is>
      </c>
      <c r="E89" t="inlineStr">
        <is>
          <t>Add accessible, zero-dependency, desktop-and-mobile-grade, and futuristic Diff Viewer &amp; Code/Text Comparison compound component suite (components/diff-viewer.tsx) supporting mathematical LCS line and word-level diffing, split (side-by-side) and unified (inline) view modes, collapsible unchanged line folding, synchronized line numbering, copy actions (line, file, full diff), WAI-ARIA 1.2 accessibility semantics (role="region", role="table", screen reader change announcements), 4 visual styling va</t>
        </is>
      </c>
      <c r="F89" t="inlineStr">
        <is>
          <t>P1</t>
        </is>
      </c>
      <c r="G89" t="inlineStr">
        <is>
          <t>sanjeetji</t>
        </is>
      </c>
      <c r="H89" t="inlineStr">
        <is>
          <t>Done</t>
        </is>
      </c>
      <c r="I89" t="n">
        <v>1</v>
      </c>
      <c r="J89" t="inlineStr">
        <is>
          <t>R-372</t>
        </is>
      </c>
      <c r="K89" t="inlineStr">
        <is>
          <t>Founder Stage 0</t>
        </is>
      </c>
      <c r="L89" t="inlineStr">
        <is>
          <t>task verify passed offline; lint/security/env pass; 0 model calls.</t>
        </is>
      </c>
      <c r="M89" t="inlineStr">
        <is>
          <t>Added on 2026-09-14 during task compilation audit: completed in founder build sequence as part of UI component suites and differentiating spine (R-359..R-448); verified 100% offline (task verify 3,098 tests passed).</t>
        </is>
      </c>
    </row>
    <row r="90" ht="34" customHeight="1" s="401">
      <c r="A90" t="inlineStr">
        <is>
          <t>R-372</t>
        </is>
      </c>
      <c r="B90" t="inlineStr">
        <is>
          <t>MVP</t>
        </is>
      </c>
      <c r="C90" t="inlineStr">
        <is>
          <t>Builder</t>
        </is>
      </c>
      <c r="D90" t="inlineStr">
        <is>
          <t>Accessible Futuristic Reusable Digital Signature Pad &amp; Drawing Canvas Primitive</t>
        </is>
      </c>
      <c r="E90" t="inlineStr">
        <is>
          <t>Add accessible, zero-dependency, desktop-and-mobile-grade, and futuristic Digital Signature Pad &amp; Drawing Canvas compound component suite (components/signature-pad.tsx) supporting bezier curve stroke smoothing, high-DPI devicePixelRatio scaling, cross-device pointer events (mouse, touch, stylus), multi-level undo/redo stroke stack, clear and raster/vector export (toDataURL and toSVG), signing guide line with affordance, WAI-ARIA 1.2 accessibility semantics (role="application", aria-label), 4 vis</t>
        </is>
      </c>
      <c r="F90" t="inlineStr">
        <is>
          <t>P1</t>
        </is>
      </c>
      <c r="G90" t="inlineStr">
        <is>
          <t>sanjeetji</t>
        </is>
      </c>
      <c r="H90" t="inlineStr">
        <is>
          <t>Done</t>
        </is>
      </c>
      <c r="I90" t="n">
        <v>1</v>
      </c>
      <c r="J90" t="inlineStr">
        <is>
          <t>R-371</t>
        </is>
      </c>
      <c r="K90" t="inlineStr">
        <is>
          <t>Founder Stage 0</t>
        </is>
      </c>
      <c r="L90" t="inlineStr">
        <is>
          <t>task verify passed offline; lint/security/env pass; 0 model calls.</t>
        </is>
      </c>
      <c r="M90" t="inlineStr">
        <is>
          <t>Added on 2026-09-14 during task compilation audit: completed in founder build sequence as part of UI component suites and differentiating spine (R-359..R-448); verified 100% offline (task verify 3,098 tests passed).</t>
        </is>
      </c>
    </row>
    <row r="91" ht="34" customHeight="1" s="401">
      <c r="A91" t="inlineStr">
        <is>
          <t>R-371</t>
        </is>
      </c>
      <c r="B91" t="inlineStr">
        <is>
          <t>MVP</t>
        </is>
      </c>
      <c r="C91" t="inlineStr">
        <is>
          <t>Builder</t>
        </is>
      </c>
      <c r="D91" t="inlineStr">
        <is>
          <t>Accessible Futuristic Reusable Time Picker &amp; Time Range Suite</t>
        </is>
      </c>
      <c r="E91" t="inlineStr">
        <is>
          <t>Add accessible, zero-dependency, desktop-and-mobile-grade, and futuristic Time Picker &amp; Time Range compound component suite (components/time-picker.tsx) supporting 12h/24h formats, hour/minute/second column lists, step intervals, quick-select presets (Now, morning, afternoon, evening), dual-input TimeRangePicker (start &amp; end time validation), popover and inline modes, WAI-ARIA 1.2 accessibility semantics (role="combobox", role="listbox", role="option", aria-haspopup="dialog"), 4 visual styling v</t>
        </is>
      </c>
      <c r="F91" t="inlineStr">
        <is>
          <t>P1</t>
        </is>
      </c>
      <c r="G91" t="inlineStr">
        <is>
          <t>sanjeetji</t>
        </is>
      </c>
      <c r="H91" t="inlineStr">
        <is>
          <t>Done</t>
        </is>
      </c>
      <c r="I91" t="n">
        <v>1</v>
      </c>
      <c r="J91" t="inlineStr">
        <is>
          <t>R-370</t>
        </is>
      </c>
      <c r="K91" t="inlineStr">
        <is>
          <t>Founder Stage 0</t>
        </is>
      </c>
      <c r="L91" t="inlineStr">
        <is>
          <t>task verify passed offline; lint/security/env pass; 0 model calls.</t>
        </is>
      </c>
      <c r="M91" t="inlineStr">
        <is>
          <t>Added on 2026-09-14 during task compilation audit: completed in founder build sequence as part of UI component suites and differentiating spine (R-359..R-448); verified 100% offline (task verify 3,098 tests passed).</t>
        </is>
      </c>
    </row>
    <row r="92" ht="34" customHeight="1" s="401">
      <c r="A92" t="inlineStr">
        <is>
          <t>R-370</t>
        </is>
      </c>
      <c r="B92" t="inlineStr">
        <is>
          <t>MVP</t>
        </is>
      </c>
      <c r="C92" t="inlineStr">
        <is>
          <t>Builder</t>
        </is>
      </c>
      <c r="D92" t="inlineStr">
        <is>
          <t>Accessible Futuristic Reusable Data Visualization &amp; SVG Chart Suite</t>
        </is>
      </c>
      <c r="E92" t="inlineStr">
        <is>
          <t>Add accessible, zero-dependency, desktop-and-mobile-grade, and futuristic Data Visualization &amp; SVG Chart compound component suite (components/chart.tsx) supporting Bar, Line, Area, Donut, Pie, and Sparkline charts with native SVG math, interactive hover crosshairs, floating data tooltips, click-to-toggle series legends, WAI-ARIA 1.2 accessibility semantics (role="img", role="region", aria-label) and screen-reader data table fallback (sr-only), 4 visual styling variants (default, card, glass, neo</t>
        </is>
      </c>
      <c r="F92" t="inlineStr">
        <is>
          <t>P1</t>
        </is>
      </c>
      <c r="G92" t="inlineStr">
        <is>
          <t>sanjeetji</t>
        </is>
      </c>
      <c r="H92" t="inlineStr">
        <is>
          <t>Done</t>
        </is>
      </c>
      <c r="I92" t="n">
        <v>1</v>
      </c>
      <c r="J92" t="inlineStr">
        <is>
          <t>R-369</t>
        </is>
      </c>
      <c r="K92" t="inlineStr">
        <is>
          <t>Founder Stage 0</t>
        </is>
      </c>
      <c r="L92" t="inlineStr">
        <is>
          <t>task verify passed offline; lint/security/env pass; 0 model calls.</t>
        </is>
      </c>
      <c r="M92" t="inlineStr">
        <is>
          <t>Added on 2026-09-14 during task compilation audit: completed in founder build sequence as part of UI component suites and differentiating spine (R-359..R-448); verified 100% offline (task verify 3,098 tests passed).</t>
        </is>
      </c>
    </row>
    <row r="93" ht="34" customHeight="1" s="401">
      <c r="A93" t="inlineStr">
        <is>
          <t>R-369</t>
        </is>
      </c>
      <c r="B93" t="inlineStr">
        <is>
          <t>MVP</t>
        </is>
      </c>
      <c r="C93" t="inlineStr">
        <is>
          <t>Builder</t>
        </is>
      </c>
      <c r="D93" t="inlineStr">
        <is>
          <t>Accessible Futuristic Reusable Query Filter Builder &amp; Dynamic Rule Bar Suite</t>
        </is>
      </c>
      <c r="E93" t="inlineStr">
        <is>
          <t>Add accessible, zero-dependency, desktop-and-mobile-grade, and futuristic Query Filter Builder &amp; Dynamic Rule Bar compound component suite (components/filter-builder.tsx) with AND/OR combinator switching, dynamic rule rows, context-aware operators by field type (text, number, boolean, date, select), typed value inputs, add/remove rule controls, reset &amp; apply actions, WAI-ARIA 1.2 group semantics (role="group", role="toolbar"), 4 visual styling variants (default, card, glass, neon), 3 size scales</t>
        </is>
      </c>
      <c r="F93" t="inlineStr">
        <is>
          <t>P1</t>
        </is>
      </c>
      <c r="G93" t="inlineStr">
        <is>
          <t>sanjeetji</t>
        </is>
      </c>
      <c r="H93" t="inlineStr">
        <is>
          <t>Done</t>
        </is>
      </c>
      <c r="I93" t="n">
        <v>1</v>
      </c>
      <c r="J93" t="inlineStr">
        <is>
          <t>R-368</t>
        </is>
      </c>
      <c r="K93" t="inlineStr">
        <is>
          <t>Founder Stage 0</t>
        </is>
      </c>
      <c r="L93" t="inlineStr">
        <is>
          <t>task verify passed offline; lint/security/env pass; 0 model calls.</t>
        </is>
      </c>
      <c r="M93" t="inlineStr">
        <is>
          <t>Added on 2026-09-14 during task compilation audit: completed in founder build sequence as part of UI component suites and differentiating spine (R-359..R-448); verified 100% offline (task verify 3,098 tests passed).</t>
        </is>
      </c>
    </row>
    <row r="94" ht="34" customHeight="1" s="401">
      <c r="A94" t="inlineStr">
        <is>
          <t>R-368</t>
        </is>
      </c>
      <c r="B94" t="inlineStr">
        <is>
          <t>MVP</t>
        </is>
      </c>
      <c r="C94" t="inlineStr">
        <is>
          <t>Builder</t>
        </is>
      </c>
      <c r="D94" t="inlineStr">
        <is>
          <t>Accessible Futuristic High-Performance Infinite Virtual List &amp; Windowed Scroller Suite</t>
        </is>
      </c>
      <c r="E94" t="inlineStr">
        <is>
          <t>Add accessible, zero-dependency, desktop-and-mobile-grade, and futuristic High-Performance Infinite Virtual List &amp; Windowed Scroller compound component suite (components/virtual-list.tsx) with dynamic windowing math, overscan buffer, variable/fixed item heights, infinite scroll trigger (onEndReached), fast-scrolling detection, scroll-to-index, WAI-ARIA 1.2 feed/list semantics (role="feed", role="article", aria-setsize, aria-posinset), 4 visual styling variants (default, card, glass, neon), 3 siz</t>
        </is>
      </c>
      <c r="F94" t="inlineStr">
        <is>
          <t>P1</t>
        </is>
      </c>
      <c r="G94" t="inlineStr">
        <is>
          <t>sanjeetji</t>
        </is>
      </c>
      <c r="H94" t="inlineStr">
        <is>
          <t>Done</t>
        </is>
      </c>
      <c r="I94" t="n">
        <v>1</v>
      </c>
      <c r="J94" t="inlineStr">
        <is>
          <t>R-367</t>
        </is>
      </c>
      <c r="K94" t="inlineStr">
        <is>
          <t>Founder Stage 0</t>
        </is>
      </c>
      <c r="L94" t="inlineStr">
        <is>
          <t>task verify passed offline; lint/security/env pass; 0 model calls.</t>
        </is>
      </c>
      <c r="M94" t="inlineStr">
        <is>
          <t>Added on 2026-09-14 during task compilation audit: completed in founder build sequence as part of UI component suites and differentiating spine (R-359..R-448); verified 100% offline (task verify 3,098 tests passed).</t>
        </is>
      </c>
    </row>
    <row r="95" ht="34" customHeight="1" s="401">
      <c r="A95" t="inlineStr">
        <is>
          <t>R-367</t>
        </is>
      </c>
      <c r="B95" t="inlineStr">
        <is>
          <t>MVP</t>
        </is>
      </c>
      <c r="C95" t="inlineStr">
        <is>
          <t>Builder</t>
        </is>
      </c>
      <c r="D95" t="inlineStr">
        <is>
          <t>Accessible Futuristic Reusable Kanban Board &amp; Task Flow Matrix Suite</t>
        </is>
      </c>
      <c r="E95" t="inlineStr">
        <is>
          <t>Add accessible, zero-dependency, desktop-and-mobile-grade, and futuristic Kanban Board &amp; Task Flow Matrix compound component suite (components/kanban.tsx) with customizable columns, HTML5 drag-and-drop card movement across lanes, column WIP limits, column collapsing, item search filtering, priority badges, assignee avatars, due date tags, quick-add card action triggers, WAI-ARIA 1.2 region &amp; listbox semantics, 4 visual styling variants (default, card, glass, neon), 3 size scales (sm, md, lg), na</t>
        </is>
      </c>
      <c r="F95" t="inlineStr">
        <is>
          <t>P1</t>
        </is>
      </c>
      <c r="G95" t="inlineStr">
        <is>
          <t>sanjeetji</t>
        </is>
      </c>
      <c r="H95" t="inlineStr">
        <is>
          <t>Done</t>
        </is>
      </c>
      <c r="I95" t="n">
        <v>1</v>
      </c>
      <c r="J95" t="inlineStr">
        <is>
          <t>R-366</t>
        </is>
      </c>
      <c r="K95" t="inlineStr">
        <is>
          <t>Founder Stage 0</t>
        </is>
      </c>
      <c r="L95" t="inlineStr">
        <is>
          <t>task verify passed offline; lint/security/env pass; 0 model calls.</t>
        </is>
      </c>
      <c r="M95" t="inlineStr">
        <is>
          <t>Added on 2026-09-14 during task compilation audit: completed in founder build sequence as part of UI component suites and differentiating spine (R-359..R-448); verified 100% offline (task verify 3,098 tests passed).</t>
        </is>
      </c>
    </row>
    <row r="96" ht="34" customHeight="1" s="401">
      <c r="A96" t="inlineStr">
        <is>
          <t>R-366</t>
        </is>
      </c>
      <c r="B96" t="inlineStr">
        <is>
          <t>MVP</t>
        </is>
      </c>
      <c r="C96" t="inlineStr">
        <is>
          <t>Builder</t>
        </is>
      </c>
      <c r="D96" t="inlineStr">
        <is>
          <t>Accessible Futuristic Reusable Calendar &amp; Event Scheduler Suite</t>
        </is>
      </c>
      <c r="E96" t="inlineStr">
        <is>
          <t>Add accessible, zero-dependency, desktop-and-mobile-grade, and futuristic Calendar &amp; Event Scheduler compound component suite (components/calendar.tsx) with month and agenda grid views, event item pills, date selection, interval navigation (prev/next/today), month/year display, overflow count badge, WAI-ARIA 1.2 grid accessibility (role="grid", role="row", role="gridcell", role="columnheader", aria-selected, aria-current="date"), keyboard navigation, 4 visual styling variants (default, card, gla</t>
        </is>
      </c>
      <c r="F96" t="inlineStr">
        <is>
          <t>P1</t>
        </is>
      </c>
      <c r="G96" t="inlineStr">
        <is>
          <t>sanjeetji</t>
        </is>
      </c>
      <c r="H96" t="inlineStr">
        <is>
          <t>Done</t>
        </is>
      </c>
      <c r="I96" t="n">
        <v>1</v>
      </c>
      <c r="J96" t="inlineStr">
        <is>
          <t>R-365</t>
        </is>
      </c>
      <c r="K96" t="inlineStr">
        <is>
          <t>Founder Stage 0</t>
        </is>
      </c>
      <c r="L96" t="inlineStr">
        <is>
          <t>task verify passed offline; lint/security/env pass; 0 model calls.</t>
        </is>
      </c>
      <c r="M96" t="inlineStr">
        <is>
          <t>Added on 2026-09-14 during task compilation audit: completed in founder build sequence as part of UI component suites and differentiating spine (R-359..R-448); verified 100% offline (task verify 3,098 tests passed).</t>
        </is>
      </c>
    </row>
    <row r="97" ht="34" customHeight="1" s="401">
      <c r="A97" t="inlineStr">
        <is>
          <t>R-365</t>
        </is>
      </c>
      <c r="B97" t="inlineStr">
        <is>
          <t>MVP</t>
        </is>
      </c>
      <c r="C97" t="inlineStr">
        <is>
          <t>Builder</t>
        </is>
      </c>
      <c r="D97" t="inlineStr">
        <is>
          <t>Accessible Futuristic Reusable Markdown &amp; Rich Content Editor Suite</t>
        </is>
      </c>
      <c r="E97" t="inlineStr">
        <is>
          <t>Add accessible, zero-dependency, desktop-and-mobile-grade, and futuristic Markdown &amp; Rich Content Editor compound component suite (components/markdown-editor.tsx) with formatting toolbar (bold, italic, strike, headings, code, blockquote, lists, link, table, image), live preview tabs &amp; split-view mode, built-in lightweight markdown renderer, character/word/line counters, reading time estimate, keyboard shortcuts (Ctrl/Cmd+B, Ctrl/Cmd+I, Ctrl/Cmd+K), WAI-ARIA 1.2 toolbar and editor semantics, 4 vi</t>
        </is>
      </c>
      <c r="F97" t="inlineStr">
        <is>
          <t>P1</t>
        </is>
      </c>
      <c r="G97" t="inlineStr">
        <is>
          <t>sanjeetji</t>
        </is>
      </c>
      <c r="H97" t="inlineStr">
        <is>
          <t>Done</t>
        </is>
      </c>
      <c r="I97" t="n">
        <v>1</v>
      </c>
      <c r="J97" t="inlineStr">
        <is>
          <t>R-364</t>
        </is>
      </c>
      <c r="K97" t="inlineStr">
        <is>
          <t>Founder Stage 0</t>
        </is>
      </c>
      <c r="L97" t="inlineStr">
        <is>
          <t>task verify passed offline; lint/security/env pass; 0 model calls.</t>
        </is>
      </c>
      <c r="M97" t="inlineStr">
        <is>
          <t>Added on 2026-09-14 during task compilation audit: completed in founder build sequence as part of UI component suites and differentiating spine (R-359..R-448); verified 100% offline (task verify 3,098 tests passed).</t>
        </is>
      </c>
    </row>
    <row r="98" ht="34" customHeight="1" s="401">
      <c r="A98" t="inlineStr">
        <is>
          <t>R-364</t>
        </is>
      </c>
      <c r="B98" t="inlineStr">
        <is>
          <t>MVP</t>
        </is>
      </c>
      <c r="C98" t="inlineStr">
        <is>
          <t>Builder</t>
        </is>
      </c>
      <c r="D98" t="inlineStr">
        <is>
          <t>Accessible Futuristic Reusable Transfer / Dual Listbox Picker Primitive</t>
        </is>
      </c>
      <c r="E98" t="inlineStr">
        <is>
          <t>Add accessible, zero-dependency, desktop-and-mobile-grade, and futuristic Transfer / Dual Listbox Picker primitive suite (components/transfer.tsx) with dual-column listbox architecture, live search filtering, batch move left/right, move all controls, header select-all with indeterminate state, item counts, double-click transfer, WAI-ARIA 1.2 dual-listbox accessibility (role="listbox", role="option", aria-multiselectable), keyboard roving navigation, 4 visual variants (default, card, glass, neon)</t>
        </is>
      </c>
      <c r="F98" t="inlineStr">
        <is>
          <t>P1</t>
        </is>
      </c>
      <c r="G98" t="inlineStr">
        <is>
          <t>sanjeetji</t>
        </is>
      </c>
      <c r="H98" t="inlineStr">
        <is>
          <t>Done</t>
        </is>
      </c>
      <c r="I98" t="n">
        <v>1</v>
      </c>
      <c r="J98" t="inlineStr">
        <is>
          <t>R-363</t>
        </is>
      </c>
      <c r="K98" t="inlineStr">
        <is>
          <t>Founder Stage 0</t>
        </is>
      </c>
      <c r="L98" t="inlineStr">
        <is>
          <t>task verify passed offline; lint/security/env pass; 0 model calls.</t>
        </is>
      </c>
      <c r="M98" t="inlineStr">
        <is>
          <t>Added on 2026-09-14 during task compilation audit: completed in founder build sequence as part of UI component suites and differentiating spine (R-359..R-448); verified 100% offline (task verify 3,098 tests passed).</t>
        </is>
      </c>
    </row>
    <row r="99" ht="34" customHeight="1" s="401">
      <c r="A99" t="inlineStr">
        <is>
          <t>R-363</t>
        </is>
      </c>
      <c r="B99" t="inlineStr">
        <is>
          <t>MVP</t>
        </is>
      </c>
      <c r="C99" t="inlineStr">
        <is>
          <t>Builder</t>
        </is>
      </c>
      <c r="D99" t="inlineStr">
        <is>
          <t>Accessible Futuristic Reusable Tour &amp; Onboarding Spotlight Guide Suite</t>
        </is>
      </c>
      <c r="E99" t="inlineStr">
        <is>
          <t>Add accessible, zero-dependency, desktop-and-mobile-grade, and futuristic Tour &amp; Onboarding Spotlight Guide compound component suite (components/tour.tsx) with dynamic element spotlight positioning, SVG mask cutout, step navigation (Next/Prev/Skip/Finish), step dots, placement flipping, 4 visual variants (default, card, glass, neon), 3 size presets, WAI-ARIA 1.2 dialog semantics, full keyboard navigation, and ref forwarding.</t>
        </is>
      </c>
      <c r="F99" t="inlineStr">
        <is>
          <t>P1</t>
        </is>
      </c>
      <c r="G99" t="inlineStr">
        <is>
          <t>sanjeetji</t>
        </is>
      </c>
      <c r="H99" t="inlineStr">
        <is>
          <t>Done</t>
        </is>
      </c>
      <c r="I99" t="n">
        <v>1</v>
      </c>
      <c r="J99" t="inlineStr">
        <is>
          <t>R-362</t>
        </is>
      </c>
      <c r="K99" t="inlineStr">
        <is>
          <t>Founder Stage 0</t>
        </is>
      </c>
      <c r="L99" t="inlineStr">
        <is>
          <t>task verify passed offline; lint/security/env pass; 0 model calls.</t>
        </is>
      </c>
      <c r="M99" t="inlineStr">
        <is>
          <t>Added on 2026-09-14 during task compilation audit: completed in founder build sequence as part of UI component suites and differentiating spine (R-359..R-448); verified 100% offline (task verify 3,098 tests passed).</t>
        </is>
      </c>
    </row>
    <row r="100" ht="34" customHeight="1" s="401">
      <c r="A100" t="inlineStr">
        <is>
          <t>R-362</t>
        </is>
      </c>
      <c r="B100" t="inlineStr">
        <is>
          <t>MVP</t>
        </is>
      </c>
      <c r="C100" t="inlineStr">
        <is>
          <t>Builder</t>
        </is>
      </c>
      <c r="D100" t="inlineStr">
        <is>
          <t>Accessible Futuristic Reusable Sidebar &amp; Side Navigation Suite</t>
        </is>
      </c>
      <c r="E100" t="inlineStr">
        <is>
          <t>Add accessible, zero-dependency, desktop-and-mobile-grade, and futuristic Sidebar &amp; Side Navigation compound component suite (components/sidebar.tsx) with collapsible rail/offcanvas modes, header, content, footer, menu items, nested submenus, badge counts, trigger toggle buttons, 4 visual variants (default, card, glass, neon), 3 size presets, WAI-ARIA 1.2 navigation landmark and menu semantics, keyboard navigation, and ref forwarding.</t>
        </is>
      </c>
      <c r="F100" t="inlineStr">
        <is>
          <t>P1</t>
        </is>
      </c>
      <c r="G100" t="inlineStr">
        <is>
          <t>sanjeetji</t>
        </is>
      </c>
      <c r="H100" t="inlineStr">
        <is>
          <t>Done</t>
        </is>
      </c>
      <c r="I100" t="n">
        <v>1</v>
      </c>
      <c r="J100" t="inlineStr">
        <is>
          <t>R-361</t>
        </is>
      </c>
      <c r="K100" t="inlineStr">
        <is>
          <t>Founder Stage 0</t>
        </is>
      </c>
      <c r="L100" t="inlineStr">
        <is>
          <t>task verify passed offline; lint/security/env pass; 0 model calls.</t>
        </is>
      </c>
      <c r="M100" t="inlineStr">
        <is>
          <t>Added on 2026-09-14 during task compilation audit: completed in founder build sequence as part of UI component suites and differentiating spine (R-359..R-448); verified 100% offline (task verify 3,098 tests passed).</t>
        </is>
      </c>
    </row>
    <row r="101" ht="34" customHeight="1" s="401">
      <c r="A101" t="inlineStr">
        <is>
          <t>R-361</t>
        </is>
      </c>
      <c r="B101" t="inlineStr">
        <is>
          <t>MVP</t>
        </is>
      </c>
      <c r="C101" t="inlineStr">
        <is>
          <t>Builder</t>
        </is>
      </c>
      <c r="D101" t="inlineStr">
        <is>
          <t>Accessible Futuristic Reusable Notification Center &amp; Notification List Suite</t>
        </is>
      </c>
      <c r="E101" t="inlineStr">
        <is>
          <t>Add accessible, zero-dependency, desktop-and-mobile-grade, and futuristic Notification Center compound component suite (components/notification-center.tsx) with a bell trigger button, slide-in panel, individual NotificationItem entries, mark-as-read, mark-all-read, clear-all, grouped/timestamped display, 4 visual variants (default, card, glass, neon), 3 size scales, WAI-ARIA dialog/listbox semantics, full keyboard navigation, and ref forwarding.</t>
        </is>
      </c>
      <c r="F101" t="inlineStr">
        <is>
          <t>P1</t>
        </is>
      </c>
      <c r="G101" t="inlineStr">
        <is>
          <t>sanjeetji</t>
        </is>
      </c>
      <c r="H101" t="inlineStr">
        <is>
          <t>Done</t>
        </is>
      </c>
      <c r="I101" t="n">
        <v>1</v>
      </c>
      <c r="J101" t="inlineStr">
        <is>
          <t>R-360</t>
        </is>
      </c>
      <c r="K101" t="inlineStr">
        <is>
          <t>Founder Stage 0</t>
        </is>
      </c>
      <c r="L101" t="inlineStr">
        <is>
          <t>task verify passed offline; lint/security/env pass; 0 model calls.</t>
        </is>
      </c>
      <c r="M101" t="inlineStr">
        <is>
          <t>Added on 2026-09-14 during task compilation audit: completed in founder build sequence as part of UI component suites and differentiating spine (R-359..R-448); verified 100% offline (task verify 3,098 tests passed).</t>
        </is>
      </c>
    </row>
    <row r="102" ht="34" customHeight="1" s="401">
      <c r="A102" t="inlineStr">
        <is>
          <t>R-360</t>
        </is>
      </c>
      <c r="B102" t="inlineStr">
        <is>
          <t>MVP</t>
        </is>
      </c>
      <c r="C102" t="inlineStr">
        <is>
          <t>Builder</t>
        </is>
      </c>
      <c r="D102" t="inlineStr">
        <is>
          <t>Accessible Futuristic Reusable Number Input &amp; Numeric Stepper Primitive</t>
        </is>
      </c>
      <c r="E102" t="inlineStr">
        <is>
          <t>"Add accessible, zero-dependency, desktop-and-mobile-grade, and futuristic Number Input &amp; Numeric Stepper compound component suite (components/number-input.tsx) with WAI-ARIA spinbutton semantics, increment/decrement stepper buttons, min/max/step constraints, optional value formatting (plain, currency, percentage), 4 visual variants (default, card, glass, neon), 3 size presets, controlled and uncontrolled modes, and ref forwarding."</t>
        </is>
      </c>
      <c r="F102" t="inlineStr">
        <is>
          <t>P1</t>
        </is>
      </c>
      <c r="G102" t="inlineStr">
        <is>
          <t>sanjeetji</t>
        </is>
      </c>
      <c r="H102" t="inlineStr">
        <is>
          <t>Done</t>
        </is>
      </c>
      <c r="I102" t="n">
        <v>1</v>
      </c>
      <c r="J102" t="inlineStr">
        <is>
          <t>R-359</t>
        </is>
      </c>
      <c r="K102" t="inlineStr">
        <is>
          <t>Founder Stage 0</t>
        </is>
      </c>
      <c r="L102" t="inlineStr">
        <is>
          <t>task verify passed offline; lint/security/env pass; 0 model calls.</t>
        </is>
      </c>
      <c r="M102" t="inlineStr">
        <is>
          <t>Added on 2026-09-14 during task compilation audit: completed in founder build sequence as part of UI component suites and differentiating spine (R-359..R-448); verified 100% offline (task verify 3,098 tests passed).</t>
        </is>
      </c>
    </row>
    <row r="103" ht="34" customHeight="1" s="401">
      <c r="A103" t="inlineStr">
        <is>
          <t>R-359</t>
        </is>
      </c>
      <c r="B103" t="inlineStr">
        <is>
          <t>MVP</t>
        </is>
      </c>
      <c r="C103" t="inlineStr">
        <is>
          <t>Builder</t>
        </is>
      </c>
      <c r="D103" t="inlineStr">
        <is>
          <t>Generated Accessible Futuristic Reusable Mobile Bottom Navigation Bar Suite</t>
        </is>
      </c>
      <c r="E103" t="inlineStr">
        <is>
          <t>Emit a standalone, accessible, zero-dependency, desktop-and-mobile-grade, and futuristic Bottom Navigation Bar compound component suite (`apps/web/components/bottom-nav.tsx`) in Next.js web applications generated by `NextjsWebAdapter`.</t>
        </is>
      </c>
      <c r="F103" t="inlineStr">
        <is>
          <t>P1</t>
        </is>
      </c>
      <c r="G103" t="inlineStr">
        <is>
          <t>sanjeetji</t>
        </is>
      </c>
      <c r="H103" t="inlineStr">
        <is>
          <t>Done</t>
        </is>
      </c>
      <c r="I103" t="n">
        <v>1</v>
      </c>
      <c r="J103" t="inlineStr">
        <is>
          <t>R-358</t>
        </is>
      </c>
      <c r="K103" t="inlineStr">
        <is>
          <t>Founder Stage 0</t>
        </is>
      </c>
      <c r="L103" t="inlineStr">
        <is>
          <t>task verify passed offline; lint/security/env pass; 0 model calls.</t>
        </is>
      </c>
      <c r="M103" t="inlineStr">
        <is>
          <t>Added on 2026-09-14 during task compilation audit: completed in founder build sequence as part of UI component suites and differentiating spine (R-359..R-448); verified 100% offline (task verify 3,098 tests passed).</t>
        </is>
      </c>
    </row>
    <row r="104" ht="34" customHeight="1" s="401">
      <c r="A104" t="inlineStr">
        <is>
          <t>R-358</t>
        </is>
      </c>
      <c r="B104" t="inlineStr">
        <is>
          <t>MVP</t>
        </is>
      </c>
      <c r="C104" t="inlineStr">
        <is>
          <t>Builder</t>
        </is>
      </c>
      <c r="D104" t="inlineStr">
        <is>
          <t>Generated Accessible Futuristic Reusable Searchable Combobox &amp; Autocomplete Primitive (components/combobox.tsx)</t>
        </is>
      </c>
      <c r="E104" t="inlineStr">
        <is>
          <t>Provide a standalone, accessible, futuristic, zero-dependency reusable Searchable Combobox and Autocomplete compound component suite (components/combobox.tsx) across all generated OmniStackAI Next.js web applications, supporting WAI-ARIA 1.2 Combobox and Listbox pattern compliance (role="combobox", role="listbox", role="option", aria-expanded, aria-haspopup="listbox", aria-controls, aria-activedescendant, aria-selected, aria-disabled, data-highlighted), type-ahead live search filtering across label, description, and keywords, full keyboard navigation (ArrowDown/Up traversal with wrap-around, Enter to select, Escape to close, Home/End jump navigation), single-select string mode and multi-select string array mode with removable tag chips, clear button affordance (allowClear), 4 futuristic visual styling variants ("default", "card", "glass" with backdrop blur, "neon" cyberpunk cyan glow), 3 size scales ("sm", "md", "lg"), form integration via hidden inputs with name prop, semantic aliasing (Autocomplete = Combobox), React ref forwarding, 100% diff-invariance across ir.description, and 0 external runtime dependencies.</t>
        </is>
      </c>
      <c r="F104" t="inlineStr">
        <is>
          <t>P1</t>
        </is>
      </c>
      <c r="G104" t="inlineStr">
        <is>
          <t>Codex</t>
        </is>
      </c>
      <c r="H104" t="inlineStr">
        <is>
          <t>Done</t>
        </is>
      </c>
      <c r="I104" t="n">
        <v>1</v>
      </c>
      <c r="J104" t="inlineStr">
        <is>
          <t>R-357</t>
        </is>
      </c>
      <c r="K104" t="inlineStr">
        <is>
          <t>Founder Stage 0</t>
        </is>
      </c>
      <c r="L104" t="inlineStr">
        <is>
          <t>task verify 1707 tests (15 new in test_combobox_component.py); task lint + security:quick pass; builder:demo minimal-blog passes (95 files); builder:demo rideshare-favourites passes (92 files); offline/deterministic, 0 model calls.</t>
        </is>
      </c>
      <c r="M104" t="inlineStr">
        <is>
          <t>Generated Next.js web application accessible futuristic reusable combobox suite. Reconstructed from Brief Sections 20, 24, 25, 26, 27, 74, 77, 92.</t>
        </is>
      </c>
    </row>
    <row r="105" ht="34" customHeight="1" s="401">
      <c r="A105" t="inlineStr">
        <is>
          <t>R-357</t>
        </is>
      </c>
      <c r="B105" t="inlineStr">
        <is>
          <t>MVP</t>
        </is>
      </c>
      <c r="C105" t="inlineStr">
        <is>
          <t>Builder</t>
        </is>
      </c>
      <c r="D105" t="inlineStr">
        <is>
          <t>Generated Accessible Futuristic Reusable Announcement Banner &amp; Callout Suite (components/banner.tsx)</t>
        </is>
      </c>
      <c r="E105" t="inlineStr">
        <is>
          <t>Provide a standalone, accessible, futuristic, zero-dependency reusable Announcement Banner and Callout compound component suite (components/banner.tsx) across all generated OmniStackAI Next.js web applications, supporting WAI-ARIA live region semantics (role="status" / "alert" / "region", aria-live="polite" / "assertive" / "off"), 4 layout positions ("top" sticky header, "bottom" sticky footer, "inline" card banner, "floating" center toast callout), 6 visual styling variants ("info", "success", "warning", "error", "neon" cyberpunk glowing cyan/indigo border and glow shadow, "gradient" violet-to-cyan theme), 3 size scales ("sm", "md", "lg"), dismissible state with onDismiss callback and accessible close button (aria-label="Dismiss banner"), action slot container (BannerAction), icon slot container (BannerIcon) with built-in SVGs, compound exports (Banner, BannerIcon, BannerAction, BannerCloseButton, AnnouncementBanner, Callout), React ref forwarding, 100% diff-invariance across ir.description, and 0 external runtime dependencies.</t>
        </is>
      </c>
      <c r="F105" t="inlineStr">
        <is>
          <t>P1</t>
        </is>
      </c>
      <c r="G105" t="inlineStr">
        <is>
          <t>Codex</t>
        </is>
      </c>
      <c r="H105" t="inlineStr">
        <is>
          <t>Done</t>
        </is>
      </c>
      <c r="I105" t="n">
        <v>1</v>
      </c>
      <c r="J105" t="inlineStr">
        <is>
          <t>R-356</t>
        </is>
      </c>
      <c r="K105" t="inlineStr">
        <is>
          <t>Founder Stage 0</t>
        </is>
      </c>
      <c r="L105" t="inlineStr">
        <is>
          <t>task verify 1692 tests (15 new in test_banner_component.py); task lint + security:quick pass; builder:demo minimal-blog passes (94 files); builder:demo rideshare-favourites passes (91 files); offline/deterministic, 0 model calls.</t>
        </is>
      </c>
      <c r="M105" t="inlineStr">
        <is>
          <t>Generated Next.js web application accessible futuristic reusable announcement banner suite. Reconstructed from Brief Sections 20, 24, 25, 26, 27, 74, 77, 92.</t>
        </is>
      </c>
    </row>
    <row r="106" ht="34" customHeight="1" s="401">
      <c r="A106" t="inlineStr">
        <is>
          <t>R-356</t>
        </is>
      </c>
      <c r="B106" t="inlineStr">
        <is>
          <t>MVP</t>
        </is>
      </c>
      <c r="C106" t="inlineStr">
        <is>
          <t>Builder</t>
        </is>
      </c>
      <c r="D106" t="inlineStr">
        <is>
          <t>Generated Accessible Futuristic Reusable Checkbox &amp; Checkbox Group Primitive (components/checkbox.tsx)</t>
        </is>
      </c>
      <c r="E106" t="inlineStr">
        <is>
          <t>Provide a standalone, accessible, futuristic, zero-dependency reusable Checkbox and Checkbox Group compound component suite (components/checkbox.tsx) across all generated OmniStackAI Next.js web applications, supporting tri-state / indeterminate support (checked: boolean | "indeterminate", aria-checked="mixed"), custom SVG checkmark and minus indicators, WAI-ARIA 1.2 Checkbox pattern compliance (role="checkbox", role="group", aria-checked, aria-orientation, aria-disabled, aria-required), full keyboard space toggling, vertical and horizontal flex layouts, 4 visual styling variants ("default", "card", "pill", "neon" cyberpunk glowing cyan/indigo border and glow shadow), 3 size scales ("sm", "md", "lg"), controlled and uncontrolled state management, form integration via hidden inputs, options array convenience prop, subcomponent aliasing (CheckboxItem = Checkbox), useCheckboxGroup context hook, full React ref forwarding, 100% diff-invariance across ir.description, and 0 external runtime dependencies.</t>
        </is>
      </c>
      <c r="F106" t="inlineStr">
        <is>
          <t>P1</t>
        </is>
      </c>
      <c r="G106" t="inlineStr">
        <is>
          <t>Codex</t>
        </is>
      </c>
      <c r="H106" t="inlineStr">
        <is>
          <t>Done</t>
        </is>
      </c>
      <c r="I106" t="n">
        <v>1</v>
      </c>
      <c r="J106" t="inlineStr">
        <is>
          <t>R-355</t>
        </is>
      </c>
      <c r="K106" t="inlineStr">
        <is>
          <t>Founder Stage 0</t>
        </is>
      </c>
      <c r="L106" t="inlineStr">
        <is>
          <t>task verify 1677 tests (15 new in test_checkbox_component.py); task lint + security:quick pass; builder:demo minimal-blog passes (93 files); builder:demo rideshare-favourites passes (90 files); offline/deterministic, 0 model calls.</t>
        </is>
      </c>
      <c r="M106" t="inlineStr">
        <is>
          <t>Generated Next.js web application accessible futuristic reusable checkbox suite. Reconstructed from Brief Sections 20, 24, 25, 26, 27, 74, 77, 92.</t>
        </is>
      </c>
    </row>
    <row r="107" ht="34" customHeight="1" s="401">
      <c r="A107" t="inlineStr">
        <is>
          <t>R-355</t>
        </is>
      </c>
      <c r="B107" t="inlineStr">
        <is>
          <t>MVP</t>
        </is>
      </c>
      <c r="C107" t="inlineStr">
        <is>
          <t>Builder</t>
        </is>
      </c>
      <c r="D107" t="inlineStr">
        <is>
          <t>Generated Accessible Futuristic Reusable Radio Group Suite (components/radio-group.tsx)</t>
        </is>
      </c>
      <c r="E107" t="inlineStr">
        <is>
          <t>Provide a standalone, accessible, futuristic, zero-dependency reusable Radio Group compound component suite (components/radio-group.tsx) across all generated OmniStackAI Next.js web applications, supporting WAI-ARIA 1.2 Radio Group pattern compliance (role="radiogroup", role="radio", aria-checked, aria-orientation, aria-disabled, roving tabIndex), full keyboard navigation with arrow keys (ArrowDown/Right -&gt; next, ArrowUp/Left -&gt; prev, Space -&gt; select), vertical and horizontal layout orientations, 4 visual variants ("default" circular options, "card" selectable option tiles, "pill" segmented toggle buttons, "neon" cyberpunk glowing cyan/indigo border and glow shadow), 3 size scales ("sm", "md", "lg"), controlled and uncontrolled value management, form integration via hidden inputs, options array convenience prop, React ref forwarding, 100% diff-invariance across ir.description, and 0 external runtime dependencies.</t>
        </is>
      </c>
      <c r="F107" t="inlineStr">
        <is>
          <t>P1</t>
        </is>
      </c>
      <c r="G107" t="inlineStr">
        <is>
          <t>Codex</t>
        </is>
      </c>
      <c r="H107" t="inlineStr">
        <is>
          <t>Done</t>
        </is>
      </c>
      <c r="I107" t="n">
        <v>1</v>
      </c>
      <c r="J107" t="inlineStr">
        <is>
          <t>R-354</t>
        </is>
      </c>
      <c r="K107" t="inlineStr">
        <is>
          <t>Founder Stage 0</t>
        </is>
      </c>
      <c r="L107" t="inlineStr">
        <is>
          <t>task verify 1662 tests (15 new in test_radio_group_component.py); task lint + security:quick pass; builder:demo minimal-blog passes (92 files); builder:demo rideshare-favourites passes (89 files); offline/deterministic, 0 model calls.</t>
        </is>
      </c>
      <c r="M107" t="inlineStr">
        <is>
          <t>Generated Next.js web application accessible futuristic reusable radio group suite. Reconstructed from Brief Sections 20, 24, 25, 26, 27, 74, 77, 92.</t>
        </is>
      </c>
    </row>
    <row r="108" ht="34" customHeight="1" s="401">
      <c r="A108" t="inlineStr">
        <is>
          <t>R-354</t>
        </is>
      </c>
      <c r="B108" t="inlineStr">
        <is>
          <t>MVP</t>
        </is>
      </c>
      <c r="C108" t="inlineStr">
        <is>
          <t>Builder</t>
        </is>
      </c>
      <c r="D108" t="inlineStr">
        <is>
          <t>Generated Accessible Futuristic Reusable Keyboard Keycap Component (components/kbd.tsx)</t>
        </is>
      </c>
      <c r="E108" t="inlineStr">
        <is>
          <t>Provide a standalone, accessible, futuristic, zero-dependency reusable Keyboard Keycap and Shortcut Badge component (components/kbd.tsx) across all generated OmniStackAI Next.js web applications, supporting semantic &lt;kbd&gt; element rendering with WAI-ARIA compliance (role="group", aria-label, aria-keyshortcuts), automatic modifier key symbol conversion ("meta"/"command" -&gt; "⌘", "shift" -&gt; "⇧", "ctrl" -&gt; "⌃", "alt" -&gt; "⌥", "enter" -&gt; "↵", "backspace" -&gt; "⌫"), 4 size scales ("xs", "sm", "md", "lg"), 5 visual variants ("default" 3D keycap, "outline", "subtle", "ghost", "neon" cyberpunk glow), key combination arrays with configurable separators, composite container KbdGroup, string shortcut parser KbdShortcut, full React ref forwarding, 100% diff-invariance across ir.description, and 0 external runtime dependencies.</t>
        </is>
      </c>
      <c r="F108" t="inlineStr">
        <is>
          <t>P1</t>
        </is>
      </c>
      <c r="G108" t="inlineStr">
        <is>
          <t>Codex</t>
        </is>
      </c>
      <c r="H108" t="inlineStr">
        <is>
          <t>Done</t>
        </is>
      </c>
      <c r="I108" t="n">
        <v>1</v>
      </c>
      <c r="J108" t="inlineStr">
        <is>
          <t>R-353</t>
        </is>
      </c>
      <c r="K108" t="inlineStr">
        <is>
          <t>Founder Stage 0</t>
        </is>
      </c>
      <c r="L108" t="inlineStr">
        <is>
          <t>task verify 1647 tests (16 new in test_kbd_component.py); task lint + security:quick pass; builder:demo minimal-blog passes (91 files); builder:demo rideshare-favourites passes (88 files); offline/deterministic, 0 model calls.</t>
        </is>
      </c>
      <c r="M108" t="inlineStr">
        <is>
          <t>Generated Next.js web application accessible futuristic reusable keyboard keycap component. Reconstructed from Brief Sections 20, 25, 27, 74, 77, 92.</t>
        </is>
      </c>
    </row>
    <row r="109" ht="34" customHeight="1" s="401">
      <c r="A109" t="inlineStr">
        <is>
          <t>R-353</t>
        </is>
      </c>
      <c r="B109" t="inlineStr">
        <is>
          <t>MVP</t>
        </is>
      </c>
      <c r="C109" t="inlineStr">
        <is>
          <t>Builder</t>
        </is>
      </c>
      <c r="D109" t="inlineStr">
        <is>
          <t>Generated Accessible Futuristic Reusable Separator Component (components/separator.tsx)</t>
        </is>
      </c>
      <c r="E109" t="inlineStr">
        <is>
          <t>Provide a standalone, accessible, futuristic, zero-dependency reusable Separator / Divider component (components/separator.tsx) across all generated OmniStackAI Next.js web applications, supporting WAI-ARIA 1.2 Separator pattern compliance with both decorative mode (role="none", aria-hidden="true") and semantic mode (role="separator", aria-orientation), horizontal and vertical orientations, thickness presets ("thin", "md", "thick") and custom pixel values, content / text label support along horizontal dividers with flexible alignment ("start", "center", "end"), 5 futuristic visual styling variants ("neon", "glass", "gradient", "bordered", "minimal"), full React ref forwarding (forwardRef&lt;HTMLDivElement, SeparatorProps&gt;), 100% diff-invariance across ir.description, and 0 external runtime dependencies.</t>
        </is>
      </c>
      <c r="F109" t="inlineStr">
        <is>
          <t>P1</t>
        </is>
      </c>
      <c r="G109" t="inlineStr">
        <is>
          <t>Codex</t>
        </is>
      </c>
      <c r="H109" t="inlineStr">
        <is>
          <t>Done</t>
        </is>
      </c>
      <c r="I109" t="n">
        <v>1</v>
      </c>
      <c r="J109" t="inlineStr">
        <is>
          <t>R-352</t>
        </is>
      </c>
      <c r="K109" t="inlineStr">
        <is>
          <t>Founder Stage 0</t>
        </is>
      </c>
      <c r="L109" t="inlineStr">
        <is>
          <t>task verify 1631 tests (16 new in test_separator_component.py); task lint + security:quick pass; builder:demo minimal-blog passes (90 files); builder:demo rideshare-favourites passes (87 files); offline/deterministic, 0 model calls.</t>
        </is>
      </c>
      <c r="M109" t="inlineStr">
        <is>
          <t>Generated Next.js web application accessible futuristic reusable separator component. Reconstructed from Brief Sections 26, 27, 74, 77, 92.</t>
        </is>
      </c>
    </row>
    <row r="110" ht="34" customHeight="1" s="401">
      <c r="A110" t="inlineStr">
        <is>
          <t>R-352</t>
        </is>
      </c>
      <c r="B110" t="inlineStr">
        <is>
          <t>MVP</t>
        </is>
      </c>
      <c r="C110" t="inlineStr">
        <is>
          <t>Builder</t>
        </is>
      </c>
      <c r="D110" t="inlineStr">
        <is>
          <t>Generated Accessible Futuristic Reusable Aspect Ratio Component (components/aspect-ratio.tsx)</t>
        </is>
      </c>
      <c r="E110" t="inlineStr">
        <is>
          <t>Provide a standalone, accessible, futuristic, zero-dependency reusable Aspect Ratio viewport container component (components/aspect-ratio.tsx) across all generated OmniStackAI Next.js web applications, supporting zero-CLS space reservation via padding-bottom percentage fallback calculation, modern CSS aspectRatio property acceleration, absolute full-bleed child container layout (position: absolute, inset: 0, 100% width and height), 7 ratio presets ("16/9", "4/3", "1/1", "21/9", "9/16", "3/2", "2/3") as well as direct numeric ratios, 4 futuristic visual variants ("neon", "glass", "bordered", "minimal"), overflow clipping control (overflowHidden: boolean), full React ref forwarding (forwardRef&lt;HTMLDivElement, AspectRatioProps&gt;), 100% diff-invariance across ir.description, and 0 external runtime dependencies.</t>
        </is>
      </c>
      <c r="F110" t="inlineStr">
        <is>
          <t>P1</t>
        </is>
      </c>
      <c r="G110" t="inlineStr">
        <is>
          <t>Codex</t>
        </is>
      </c>
      <c r="H110" t="inlineStr">
        <is>
          <t>Done</t>
        </is>
      </c>
      <c r="I110" t="n">
        <v>1</v>
      </c>
      <c r="J110" t="inlineStr">
        <is>
          <t>R-351</t>
        </is>
      </c>
      <c r="K110" t="inlineStr">
        <is>
          <t>Founder Stage 0</t>
        </is>
      </c>
      <c r="L110" t="inlineStr">
        <is>
          <t>task verify 1615 tests (16 new in test_aspect_ratio_component.py); task lint + security:quick pass; builder:demo minimal-blog passes (89 files); builder:demo rideshare-favourites passes (86 files); offline/deterministic, 0 model calls.</t>
        </is>
      </c>
      <c r="M110" t="inlineStr">
        <is>
          <t>Generated Next.js web application accessible futuristic reusable aspect ratio component. Reconstructed from Brief Sections 26, 27, 74, 77, 92.</t>
        </is>
      </c>
    </row>
    <row r="111" ht="34" customHeight="1" s="401">
      <c r="A111" t="inlineStr">
        <is>
          <t>R-351</t>
        </is>
      </c>
      <c r="B111" t="inlineStr">
        <is>
          <t>MVP</t>
        </is>
      </c>
      <c r="C111" t="inlineStr">
        <is>
          <t>Builder</t>
        </is>
      </c>
      <c r="D111" t="inlineStr">
        <is>
          <t>Generated Accessible Futuristic Reusable Collapsible Component (components/collapsible.tsx)</t>
        </is>
      </c>
      <c r="E111" t="inlineStr">
        <is>
          <t>Provide a standalone, accessible, futuristic, zero-dependency reusable Collapsible / Disclosure compound component suite (components/collapsible.tsx) across all generated OmniStackAI Next.js web applications, supporting compound components (Collapsible, Collapsible.Trigger, Collapsible.Content, useCollapsible), smooth CSS grid expansion animation (1fr / 0fr) with overflow: hidden, rotating indicator chevron (180deg) with custom indicator slot, controlled and uncontrolled open state (open, defaultOpen, onOpenChange), disabled state management, full WAI-ARIA 1.2 disclosure pattern compliance (aria-expanded, aria-controls, role="region", aria-labelledby), full keyboard navigation (Enter and Space trigger activation), 4 futuristic visual variants ("neon", "glass", "bordered", "minimal"), 3 size presets ("sm", "md", "lg"), 100% diff-invariance across ir.description, and 0 external runtime dependencies.</t>
        </is>
      </c>
      <c r="F111" t="inlineStr">
        <is>
          <t>P1</t>
        </is>
      </c>
      <c r="G111" t="inlineStr">
        <is>
          <t>Codex</t>
        </is>
      </c>
      <c r="H111" t="inlineStr">
        <is>
          <t>Done</t>
        </is>
      </c>
      <c r="I111" t="n">
        <v>1</v>
      </c>
      <c r="J111" t="inlineStr">
        <is>
          <t>R-350</t>
        </is>
      </c>
      <c r="K111" t="inlineStr">
        <is>
          <t>Founder Stage 0</t>
        </is>
      </c>
      <c r="L111" t="inlineStr">
        <is>
          <t>task verify 1599 tests; test_collapsible_component.py; task builder:demo (88/85 files)</t>
        </is>
      </c>
      <c r="M111" t="inlineStr">
        <is>
          <t>Diff-invariant; zero external dependencies (pure React)</t>
        </is>
      </c>
    </row>
    <row r="112" ht="34" customHeight="1" s="401">
      <c r="A112" t="inlineStr">
        <is>
          <t>R-350</t>
        </is>
      </c>
      <c r="B112" t="inlineStr">
        <is>
          <t>MVP</t>
        </is>
      </c>
      <c r="C112" t="inlineStr">
        <is>
          <t>Builder</t>
        </is>
      </c>
      <c r="D112" t="inlineStr">
        <is>
          <t>Generated Accessible Futuristic Reusable Scroll Area Suite (components/scroll-area.tsx)</t>
        </is>
      </c>
      <c r="E112" t="inlineStr">
        <is>
          <t>Provide a standalone, accessible, futuristic, zero-dependency reusable Scroll Area / Custom Viewport compound component suite (components/scroll-area.tsx) across all generated OmniStackAI Next.js web applications, supporting compound components (ScrollArea, ScrollArea.Viewport, ScrollArea.Scrollbar, ScrollArea.Thumb, ScrollArea.Corner, useScrollArea), hidden native browser scrollbars with cross-browser styling (scrollbarWidth: none, msOverflowStyle: none), proportional thumb sizing and dynamic offset calculations, interactive pointer drag tracking with setPointerCapture and releasePointerCapture, direct track-click smooth jump scrolling, 4 visibility modes ("auto", "always", "scroll", "hover"), WAI-ARIA 1.2 scrollbar semantics (role="scrollbar", aria-orientation, aria-valuenow, aria-valuemin, aria-valuemax), keyboard viewport navigation (tabIndex={0}, ArrowDown/Up, PageDown/Up, Home/End), 4 futuristic visual variants ("neon", "glass", "bordered", "minimal"), 3 size presets ("sm", "md", "lg"), 100% diff-invariance across ir.description, and 0 external runtime dependencies.</t>
        </is>
      </c>
      <c r="F112" t="inlineStr">
        <is>
          <t>P1</t>
        </is>
      </c>
      <c r="G112" t="inlineStr">
        <is>
          <t>Codex</t>
        </is>
      </c>
      <c r="H112" t="inlineStr">
        <is>
          <t>Done</t>
        </is>
      </c>
      <c r="I112" t="n">
        <v>1</v>
      </c>
      <c r="J112" t="inlineStr">
        <is>
          <t>R-349</t>
        </is>
      </c>
      <c r="K112" t="inlineStr">
        <is>
          <t>Founder Stage 0</t>
        </is>
      </c>
      <c r="L112" t="inlineStr">
        <is>
          <t>task verify 1583 tests (16 new in test_scroll_area_component.py); task lint + security:quick pass; builder:demo minimal-blog passes (84 files); builder:demo rideshare-favourites passes (84 files); offline/deterministic, 0 model calls.</t>
        </is>
      </c>
      <c r="M112" t="inlineStr">
        <is>
          <t>Generated Next.js web application accessible futuristic reusable scroll area suite. Reconstructed from Brief Sections 26, 27, 74, 77, 92.</t>
        </is>
      </c>
    </row>
    <row r="113" ht="34" customHeight="1" s="401">
      <c r="A113" t="inlineStr">
        <is>
          <t>R-349</t>
        </is>
      </c>
      <c r="B113" t="inlineStr">
        <is>
          <t>MVP</t>
        </is>
      </c>
      <c r="C113" t="inlineStr">
        <is>
          <t>Builder</t>
        </is>
      </c>
      <c r="D113" t="inlineStr">
        <is>
          <t>Generated Accessible Futuristic Reusable Hover Card Suite (components/hover-card.tsx)</t>
        </is>
      </c>
      <c r="E113" t="inlineStr">
        <is>
          <t>Provide a standalone, accessible, futuristic, zero-dependency reusable Hover Card / Preview Card compound component suite (components/hover-card.tsx) across all generated OmniStackAI Next.js web applications, supporting compound components (HoverCard, HoverCard.Trigger, HoverCard.Content, HoverCard.Arrow, useHoverCard), viewport boundary collision prevention and clamping (window.innerWidth / window.innerHeight), configurable entrance and exit delay timers (openDelay, closeDelay), smooth pointer transit and cursor coordination without premature dismissal, directional positioning across 4 sides ("top", "bottom", "left", "right") and 3 aligns ("start", "center", "end"), directional SVG pointer arrow notch, full WAI-ARIA 1.2 dialog accessibility semantics (role="dialog", aria-haspopup="dialog", etc.), full keyboard navigation (Escape key dismissal with trigger focus restoration), 4 futuristic visual variants ("neon", "glass", "bordered", "minimal"), 3 size presets ("sm", "md", "lg"), 100% diff-invariance across ir.description, and 0 external runtime dependencies.</t>
        </is>
      </c>
      <c r="F113" t="inlineStr">
        <is>
          <t>P1</t>
        </is>
      </c>
      <c r="G113" t="inlineStr">
        <is>
          <t>Codex</t>
        </is>
      </c>
      <c r="H113" t="inlineStr">
        <is>
          <t>Done</t>
        </is>
      </c>
      <c r="I113" t="n">
        <v>1</v>
      </c>
      <c r="J113" t="inlineStr">
        <is>
          <t>R-348</t>
        </is>
      </c>
      <c r="K113" t="inlineStr">
        <is>
          <t>Founder Stage 0</t>
        </is>
      </c>
      <c r="L113" t="inlineStr">
        <is>
          <t>task verify 1567 tests (16 new in test_hover_card_component.py); task lint + security:quick pass; builder:demo minimal-blog passes (83 files); builder:demo rideshare-favourites passes (83 files); offline/deterministic, 0 model calls.</t>
        </is>
      </c>
      <c r="M113" t="inlineStr">
        <is>
          <t>Generated Next.js web application accessible futuristic reusable hover card suite. Reconstructed from Brief Sections 26, 27, 74, 77, 92.</t>
        </is>
      </c>
    </row>
    <row r="114" ht="34" customHeight="1" s="401">
      <c r="A114" t="inlineStr">
        <is>
          <t>R-348</t>
        </is>
      </c>
      <c r="B114" t="inlineStr">
        <is>
          <t>MVP</t>
        </is>
      </c>
      <c r="C114" t="inlineStr">
        <is>
          <t>Builder</t>
        </is>
      </c>
      <c r="D114" t="inlineStr">
        <is>
          <t>Generated Accessible Futuristic Reusable Context Menu Suite (components/context-menu.tsx)</t>
        </is>
      </c>
      <c r="E114" t="inlineStr">
        <is>
          <t>Provide a standalone, accessible, futuristic, zero-dependency reusable Context Menu / Right-Click Action Menu compound component suite (components/context-menu.tsx) across all generated OmniStackAI Next.js web applications, supporting compound components (ContextMenu, ContextMenu.Trigger, ContextMenu.Content, ContextMenu.Item, ContextMenu.CheckboxItem, ContextMenu.RadioGroup, ContextMenu.RadioItem, ContextMenu.Separator, ContextMenu.Label, ContextMenu.Sub, ContextMenu.SubTrigger, ContextMenu.SubContent), viewport boundary collision prevention and clamping (window.innerWidth / window.innerHeight), nested submenus with edge-flipping support, checkbox and radio items with vector indicators, keyboard shortcut annotations (&lt;kbd&gt;), destructive item styling, click-outside and Escape dismiss with focus restoration, full keyboard navigation (Escape, ArrowDown/Up, ArrowRight/Left, Home, End, Tab), 4 futuristic visual variants ("neon", "glass", "bordered", "minimal"), 3 size presets ("sm", "md", "lg"), full WAI-ARIA 1.2 menu accessibility semantics (role="menu", role="menuitem", etc.), 100% diff-invariance across ir.description, and 0 external runtime dependencies.</t>
        </is>
      </c>
      <c r="F114" t="inlineStr">
        <is>
          <t>P1</t>
        </is>
      </c>
      <c r="G114" t="inlineStr">
        <is>
          <t>Codex</t>
        </is>
      </c>
      <c r="H114" t="inlineStr">
        <is>
          <t>Done</t>
        </is>
      </c>
      <c r="I114" t="n">
        <v>1</v>
      </c>
      <c r="J114" t="inlineStr">
        <is>
          <t>R-347</t>
        </is>
      </c>
      <c r="K114" t="inlineStr">
        <is>
          <t>Founder Stage 0</t>
        </is>
      </c>
      <c r="L114" t="inlineStr">
        <is>
          <t>task verify 1551 tests (16 new in test_context_menu_component.py); task lint + security:quick pass; builder:demo minimal-blog passes (82 files); builder:demo rideshare-favourites passes (82 files); offline/deterministic, 0 model calls.</t>
        </is>
      </c>
      <c r="M114" t="inlineStr">
        <is>
          <t>Generated Next.js web application accessible futuristic reusable context menu suite. Reconstructed from Brief Sections 26, 27, 74, 77, 92.</t>
        </is>
      </c>
    </row>
    <row r="115" ht="34" customHeight="1" s="401">
      <c r="A115" t="inlineStr">
        <is>
          <t>R-347</t>
        </is>
      </c>
      <c r="B115" t="inlineStr">
        <is>
          <t>MVP</t>
        </is>
      </c>
      <c r="C115" t="inlineStr">
        <is>
          <t>Builder</t>
        </is>
      </c>
      <c r="D115" t="inlineStr">
        <is>
          <t>Generated Accessible Futuristic Reusable Speed Dial &amp; Floating Action Button Component (components/speed-dial.tsx)</t>
        </is>
      </c>
      <c r="E115" t="inlineStr">
        <is>
          <t>Provide a standalone, accessible, futuristic, zero-dependency reusable Speed Dial and Floating Action Button (FAB) component suite (components/speed-dial.tsx) across all generated OmniStackAI Next.js web applications, supporting compound components (SpeedDial, SpeedDial.Trigger, SpeedDial.Action, SpeedDial.Content), 4 directional cascades ("up", "down", "left", "right"), 4 futuristic visual variants ("neon", "glass", "bordered", "minimal"), 3 size presets ("sm", "md", "lg"), primary FAB with 45° rotation toggle animation, backdrop overlay with click-to-dismiss, close-on-select action handling, keyboard navigation (Escape, ArrowUp/Down/Left/Right, Home, End, Tab), full WAI-ARIA 1.2 menu accessibility semantics (role="menu", role="menuitem", aria-haspopup="menu", aria-expanded), 100% diff-invariance across ir.description, and 0 external runtime dependencies.</t>
        </is>
      </c>
      <c r="F115" t="inlineStr">
        <is>
          <t>P1</t>
        </is>
      </c>
      <c r="G115" t="inlineStr">
        <is>
          <t>Codex</t>
        </is>
      </c>
      <c r="H115" t="inlineStr">
        <is>
          <t>Done</t>
        </is>
      </c>
      <c r="I115" t="n">
        <v>1</v>
      </c>
      <c r="J115" t="inlineStr">
        <is>
          <t>R-346</t>
        </is>
      </c>
      <c r="K115" t="inlineStr">
        <is>
          <t>Founder Stage 0</t>
        </is>
      </c>
      <c r="L115" t="inlineStr">
        <is>
          <t>task verify 1535 tests (16 new in test_speed_dial_component.py); task lint + security:quick pass; builder:demo minimal-blog passes (81 files); builder:demo rideshare-favourites passes (81 files); offline/deterministic, 0 model calls.</t>
        </is>
      </c>
      <c r="M115" t="inlineStr">
        <is>
          <t>Generated Next.js web application accessible futuristic reusable speed dial and floating action button component. Reconstructed from Brief Sections 26, 27, 74, 77, 92.</t>
        </is>
      </c>
    </row>
    <row r="116" ht="34" customHeight="1" s="401">
      <c r="A116" t="inlineStr">
        <is>
          <t>R-346</t>
        </is>
      </c>
      <c r="B116" t="inlineStr">
        <is>
          <t>MVP</t>
        </is>
      </c>
      <c r="C116" t="inlineStr">
        <is>
          <t>Builder</t>
        </is>
      </c>
      <c r="D116" t="inlineStr">
        <is>
          <t>Generated Accessible Futuristic Reusable PIN &amp; OTP Code Input Component (components/pin-input.tsx)</t>
        </is>
      </c>
      <c r="E116" t="inlineStr">
        <is>
          <t>Provide a standalone, accessible, futuristic, zero-dependency reusable PIN &amp; OTP Code Input component suite (components/pin-input.tsx) across all generated OmniStackAI Next.js web applications, supporting multi-slot discrete character entry with auto-advance and Backspace auto-retreat, smart clipboard paste auto-distribution across slots, input types ("numeric", "alphanumeric", "password") and masking/conceal support, browser autofill integration (autocomplete="one-time-code"), full keyboard navigation (ArrowLeft/ArrowRight, Backspace, Delete, Home, End), 4 futuristic visual variants ("neon", "glass", "bordered", "minimal"), 3 size presets ("sm", "md", "lg"), full WAI-ARIA 1.2 group semantics (role="group", aria-label, slot labeling, aria-hidden separator), 100% diff-invariance across ir.description, and 0 external runtime dependencies.</t>
        </is>
      </c>
      <c r="F116" t="inlineStr">
        <is>
          <t>P1</t>
        </is>
      </c>
      <c r="G116" t="inlineStr">
        <is>
          <t>Codex</t>
        </is>
      </c>
      <c r="H116" t="inlineStr">
        <is>
          <t>Done</t>
        </is>
      </c>
      <c r="I116" t="n">
        <v>1</v>
      </c>
      <c r="J116" t="inlineStr">
        <is>
          <t>R-345</t>
        </is>
      </c>
      <c r="K116" t="inlineStr">
        <is>
          <t>Founder Stage 0</t>
        </is>
      </c>
      <c r="L116" t="inlineStr">
        <is>
          <t>task verify 1519 tests (15 new in test_pin_input_component.py); task lint + security:quick pass; builder:demo minimal-blog passes (82 files); builder:demo rideshare-favourites passes (80 files); offline/deterministic, 0 model calls.</t>
        </is>
      </c>
      <c r="M116" t="inlineStr">
        <is>
          <t>Generated Next.js web application accessible futuristic reusable PIN and OTP code input component. Reconstructed from Brief Sections 26, 27, 74, 77, 92.</t>
        </is>
      </c>
    </row>
    <row r="117" ht="34" customHeight="1" s="401">
      <c r="A117" t="inlineStr">
        <is>
          <t>R-345</t>
        </is>
      </c>
      <c r="B117" t="inlineStr">
        <is>
          <t>MVP</t>
        </is>
      </c>
      <c r="C117" t="inlineStr">
        <is>
          <t>Builder</t>
        </is>
      </c>
      <c r="D117" t="inlineStr">
        <is>
          <t>Generated Accessible Futuristic Reusable Color Picker &amp; Palette Swatch Component (components/color-picker.tsx)</t>
        </is>
      </c>
      <c r="E117" t="inlineStr">
        <is>
          <t>Provide a standalone, accessible, futuristic, zero-dependency reusable Color Picker &amp; Palette Swatch component suite (components/color-picker.tsx) across all generated OmniStackAI Next.js web applications, supporting interactive 2D saturation/brightness spectrum area, 1D hue bar slider (0-360 deg) and alpha opacity slider (0-100%), pure mathematical color conversions (Hex, RGB, HSL, HSV) without external packages, format switcher (HEX, RGB, HSL) with individual numeric/text input controls, preset palette swatches with keyboard selection (role="listbox", role="option", aria-selected), native browser EyeDropper API integration with fallback, 4 futuristic visual variants ("neon", "glass", "bordered", "minimal"), 3 size presets ("sm", "md", "lg"), WAI-ARIA slider and listbox accessibility semantics, pointer and touch drag interactions, keyboard navigation (Arrow keys, Home, End), controlled and uncontrolled value management, 100% diff-invariance across ir.description, and 0 external runtime dependencies.</t>
        </is>
      </c>
      <c r="F117" t="inlineStr">
        <is>
          <t>P1</t>
        </is>
      </c>
      <c r="G117" t="inlineStr">
        <is>
          <t>Codex</t>
        </is>
      </c>
      <c r="H117" t="inlineStr">
        <is>
          <t>Done</t>
        </is>
      </c>
      <c r="I117" t="n">
        <v>1</v>
      </c>
      <c r="J117" t="inlineStr">
        <is>
          <t>R-344</t>
        </is>
      </c>
      <c r="K117" t="inlineStr">
        <is>
          <t>Founder Stage 0</t>
        </is>
      </c>
      <c r="L117" t="inlineStr">
        <is>
          <t>task verify 1504 tests (15 new in test_color_picker_component.py); task lint + security:quick pass; builder:demo minimal-blog passes (81 files); builder:demo rideshare-favourites passes (79 files); offline/deterministic, 0 model calls.</t>
        </is>
      </c>
      <c r="M117" t="inlineStr">
        <is>
          <t>Generated Next.js web application accessible futuristic reusable color picker and palette swatch component. Reconstructed from Brief Sections 26, 27, 74, 77, 92.</t>
        </is>
      </c>
    </row>
    <row r="118" ht="34" customHeight="1" s="401">
      <c r="A118" t="inlineStr">
        <is>
          <t>R-344</t>
        </is>
      </c>
      <c r="B118" t="inlineStr">
        <is>
          <t>MVP</t>
        </is>
      </c>
      <c r="C118" t="inlineStr">
        <is>
          <t>Builder</t>
        </is>
      </c>
      <c r="D118" t="inlineStr">
        <is>
          <t>Generated Accessible Futuristic Reusable Resizable Panels &amp; Splitter Component (components/resizable.tsx)</t>
        </is>
      </c>
      <c r="E118" t="inlineStr">
        <is>
          <t>Provide a standalone, accessible, futuristic, zero-dependency reusable Resizable Panel &amp; Splitter layout compound component suite (components/resizable.tsx) across all generated OmniStackAI Next.js web applications, supporting WAI-ARIA 1.2 Separator (Window Splitter) Pattern (role="separator", aria-orientation, aria-valuenow, aria-valuemin, aria-valuemax, aria-label, tabIndex), compound subcomponents (ResizablePanelGroup, ResizablePanel, ResizableHandle, Resizable), horizontal and vertical split layout directions, precision pointer and touch drag resizing with live percentage tracking, min and max size constraints (minSize, maxSize), collapsible panels (collapsible, collapsedSize, onCollapse, onExpand, toggleCollapse), keyboard adjustments (ArrowLeft/Right, ArrowUp/Down with 1% and 5% Shift increments, Home/End min/max jump, Enter toggle), 4 futuristic visual variants ("neon", "glass", "bordered", "minimal"), inline SVG grip affordances, 100% diff-invariance across ir.description, and 0 external runtime dependencies.</t>
        </is>
      </c>
      <c r="F118" t="inlineStr">
        <is>
          <t>P1</t>
        </is>
      </c>
      <c r="G118" t="inlineStr">
        <is>
          <t>Codex</t>
        </is>
      </c>
      <c r="H118" t="inlineStr">
        <is>
          <t>Done</t>
        </is>
      </c>
      <c r="I118" t="n">
        <v>1</v>
      </c>
      <c r="J118" t="inlineStr">
        <is>
          <t>R-343</t>
        </is>
      </c>
      <c r="K118" t="inlineStr">
        <is>
          <t>Founder Stage 0</t>
        </is>
      </c>
      <c r="L118" t="inlineStr">
        <is>
          <t>task verify 1489 tests (15 new in test_resizable_component.py); task lint + security:quick pass; builder:demo minimal-blog passes (81 files); builder:demo rideshare-favourites passes (78 files); offline/deterministic, 0 model calls.</t>
        </is>
      </c>
      <c r="M118" t="inlineStr">
        <is>
          <t>Generated Next.js web application accessible futuristic reusable resizable panels and splitter component. Reconstructed from Brief Sections 26, 27, 74, 77, 92.</t>
        </is>
      </c>
    </row>
    <row r="119" ht="34" customHeight="1" s="401">
      <c r="A119" t="inlineStr">
        <is>
          <t>R-343</t>
        </is>
      </c>
      <c r="B119" t="inlineStr">
        <is>
          <t>MVP</t>
        </is>
      </c>
      <c r="C119" t="inlineStr">
        <is>
          <t>Builder</t>
        </is>
      </c>
      <c r="D119" t="inlineStr">
        <is>
          <t>Generated Accessible Futuristic Reusable Carousel &amp; Slider Showcase Component (components/carousel.tsx)</t>
        </is>
      </c>
      <c r="E119" t="inlineStr">
        <is>
          <t>Provide a standalone, accessible, futuristic, zero-dependency reusable Carousel compound component suite (components/carousel.tsx) across all generated OmniStackAI Next.js web applications, supporting WAI-ARIA 1.2 Carousel Design Pattern (role="region", aria-roledescription="carousel", role="group", aria-roledescription="slide", aria-hidden, aria-live), compound subcomponents (Carousel, Carousel.Content, Carousel.Slide, Carousel.Previous, Carousel.Next, Carousel.Indicators, Carousel.Progress, Carousel.AutoplayToggle), 4 futuristic visual variants ("neon", "glass", "cards", "minimal"), slide and fade transitions, touch and swipe gesture handling with delta threshold, configurable autoplay with pause on hover/focus and play/pause toggle, keyboard navigation (ArrowLeft/Right, ArrowUp/Down, Home, End), multiple indicator modes (dots, fraction, progress, none), 100% diff-invariance across ir.description, and 0 external runtime dependencies.</t>
        </is>
      </c>
      <c r="F119" t="inlineStr">
        <is>
          <t>P1</t>
        </is>
      </c>
      <c r="G119" t="inlineStr">
        <is>
          <t>Codex</t>
        </is>
      </c>
      <c r="H119" t="inlineStr">
        <is>
          <t>Done</t>
        </is>
      </c>
      <c r="I119" t="n">
        <v>1</v>
      </c>
      <c r="J119" t="inlineStr">
        <is>
          <t>R-342</t>
        </is>
      </c>
      <c r="K119" t="inlineStr">
        <is>
          <t>Founder Stage 0</t>
        </is>
      </c>
      <c r="L119" t="inlineStr">
        <is>
          <t>task verify 1474 tests (15 new in test_carousel_component.py); task lint + security:quick pass; builder:demo minimal-blog passes (80 files); builder:demo rideshare-favourites passes (77 files); offline/deterministic, 0 model calls.</t>
        </is>
      </c>
      <c r="M119" t="inlineStr">
        <is>
          <t>Generated Next.js web application accessible futuristic reusable carousel and slider showcase component. Reconstructed from Brief Sections 26, 27, 74, 77, 92.</t>
        </is>
      </c>
    </row>
    <row r="120" ht="34" customHeight="1" s="401">
      <c r="A120" t="inlineStr">
        <is>
          <t>R-342</t>
        </is>
      </c>
      <c r="B120" t="inlineStr">
        <is>
          <t>MVP</t>
        </is>
      </c>
      <c r="C120" t="inlineStr">
        <is>
          <t>Builder</t>
        </is>
      </c>
      <c r="D120" t="inlineStr">
        <is>
          <t>Generated Accessible Futuristic Reusable Segmented Control &amp; Mode Switcher Component (components/segmented-control.tsx)</t>
        </is>
      </c>
      <c r="E120" t="inlineStr">
        <is>
          <t>Provide a standalone, accessible, futuristic, zero-dependency reusable SegmentedControl compound component suite (components/segmented-control.tsx) across all generated OmniStackAI Next.js web applications, supporting sliding pill indicator animation with smooth cubic-bezier transitions, option labels, icons, disabled states, and notification badges, 4 futuristic visual variants ("neon", "glass", "pills", "minimal"), 3 size presets ("sm", "md", "lg"), controlled and uncontrolled operation modes, full keyboard navigation (ArrowLeft/ArrowRight cycling, Home/End jump), full WAI-ARIA radiogroup semantics (role="radiogroup", role="radio", aria-checked, aria-disabled), 100% diff-invariance across ir.description, and 0 external runtime dependencies.</t>
        </is>
      </c>
      <c r="F120" t="inlineStr">
        <is>
          <t>P1</t>
        </is>
      </c>
      <c r="G120" t="inlineStr">
        <is>
          <t>Codex</t>
        </is>
      </c>
      <c r="H120" t="inlineStr">
        <is>
          <t>Done</t>
        </is>
      </c>
      <c r="I120" t="n">
        <v>1</v>
      </c>
      <c r="J120" t="inlineStr">
        <is>
          <t>R-341</t>
        </is>
      </c>
      <c r="K120" t="inlineStr">
        <is>
          <t>Founder Stage 0</t>
        </is>
      </c>
      <c r="L120" t="inlineStr">
        <is>
          <t>task verify 1459 tests (15 new in test_segmented_control_component.py); task lint + security:quick pass; builder:demo minimal-blog passes (78 files); builder:demo rideshare-favourites passes (76 files); offline/deterministic, 0 model calls.</t>
        </is>
      </c>
      <c r="M120" t="inlineStr">
        <is>
          <t>Generated Next.js web application accessible futuristic reusable segmented control and mode switcher component. Reconstructed from Brief Sections 26, 27, 74, 77, 92.</t>
        </is>
      </c>
    </row>
    <row r="121" ht="34" customHeight="1" s="401">
      <c r="A121" t="inlineStr">
        <is>
          <t>R-341</t>
        </is>
      </c>
      <c r="B121" t="inlineStr">
        <is>
          <t>MVP</t>
        </is>
      </c>
      <c r="C121" t="inlineStr">
        <is>
          <t>Builder</t>
        </is>
      </c>
      <c r="D121" t="inlineStr">
        <is>
          <t>Generated Accessible Futuristic Reusable Radial Gauge &amp; Activity Rings Component (components/radial-gauge.tsx)</t>
        </is>
      </c>
      <c r="E121" t="inlineStr">
        <is>
          <t>Provide a standalone, accessible, futuristic, zero-dependency reusable RadialGauge compound component suite (components/radial-gauge.tsx) across all generated OmniStackAI Next.js web applications, supporting pure mathematical SVG arc trigonometry without external chart libraries (polarToCartesian, describeArc), single radial gauge mode with angle sweeps (240°, 270°, 360°), threshold transitions, target markers, concentric multi-ring activity mode (RadialGauge.Rings / ActivityRings) with nested radii and legends, 4 futuristic visual variants ("neon", "glass", "gradient", "minimal"), center readout slot with formatted values, units, labels, or custom content, WAI-ARIA accessibility semantics (role="meter", aria-valuenow, aria-valuemin, aria-valuemax, aria-label), 100% diff-invariance across ir.description, and 0 external runtime dependencies.</t>
        </is>
      </c>
      <c r="F121" t="inlineStr">
        <is>
          <t>P1</t>
        </is>
      </c>
      <c r="G121" t="inlineStr">
        <is>
          <t>Codex</t>
        </is>
      </c>
      <c r="H121" t="inlineStr">
        <is>
          <t>Done</t>
        </is>
      </c>
      <c r="I121" t="n">
        <v>1</v>
      </c>
      <c r="J121" t="inlineStr">
        <is>
          <t>R-340</t>
        </is>
      </c>
      <c r="K121" t="inlineStr">
        <is>
          <t>Founder Stage 0</t>
        </is>
      </c>
      <c r="L121" t="inlineStr">
        <is>
          <t>task verify 1444 tests (15 new in test_radial_gauge_component.py); task lint + security:quick pass; builder:demo minimal-blog passes (78 files); builder:demo rideshare-favourites passes (75 files); offline/deterministic, 0 model calls.</t>
        </is>
      </c>
      <c r="M121" t="inlineStr">
        <is>
          <t>Generated Next.js web application accessible futuristic reusable radial gauge and activity rings component. Reconstructed from Brief Sections 26, 27, 74, 77, 92.</t>
        </is>
      </c>
    </row>
    <row r="122" ht="34" customHeight="1" s="401">
      <c r="A122" t="inlineStr">
        <is>
          <t>R-340</t>
        </is>
      </c>
      <c r="B122" t="inlineStr">
        <is>
          <t>MVP</t>
        </is>
      </c>
      <c r="C122" t="inlineStr">
        <is>
          <t>Builder</t>
        </is>
      </c>
      <c r="D122" t="inlineStr">
        <is>
          <t>Generated Accessible Futuristic Reusable Code Block &amp; Syntax Presentation Component (components/code-block.tsx)</t>
        </is>
      </c>
      <c r="E122" t="inlineStr">
        <is>
          <t>Provide a standalone, accessible, futuristic, zero-dependency reusable CodeBlock compound component suite (components/code-block.tsx) across all generated OmniStackAI Next.js web applications, supporting built-in zero-dependency lexical tokenizer for major languages (TS/JS, Python, JSON, SQL, Bash, Go, Diff), multi-tab snippet switcher with keyboard navigation and active tab indicators, line numbering with customizable starting index, line highlighting supporting discrete lines and ranges (e.g. [2, 4, "7-10"]), git diff mode with emerald green additions (+) and rose red deletions (-), one-click copy-to-clipboard with smooth animated checkmark feedback, line wrap toggle and expandable/collapsible max-height view, 4 futuristic visual variants ("terminal", "glass", "neon", "minimal"), WAI-ARIA accessibility semantics (role="region", role="tablist", keyboard scrollable &lt;pre&gt;), 100% diff-invariance across ir.description, and 0 external runtime dependencies.</t>
        </is>
      </c>
      <c r="F122" t="inlineStr">
        <is>
          <t>P1</t>
        </is>
      </c>
      <c r="G122" t="inlineStr">
        <is>
          <t>Codex</t>
        </is>
      </c>
      <c r="H122" t="inlineStr">
        <is>
          <t>Done</t>
        </is>
      </c>
      <c r="I122" t="n">
        <v>1</v>
      </c>
      <c r="J122" t="inlineStr">
        <is>
          <t>R-339</t>
        </is>
      </c>
      <c r="K122" t="inlineStr">
        <is>
          <t>Founder Stage 0</t>
        </is>
      </c>
      <c r="L122" t="inlineStr">
        <is>
          <t>task verify 1429 tests (15 new in test_code_block_component.py); task lint + security:quick pass; builder:demo minimal-blog passes (77 files); builder:demo rideshare-favourites passes (74 files); offline/deterministic, 0 model calls.</t>
        </is>
      </c>
      <c r="M122" t="inlineStr">
        <is>
          <t>Generated Next.js web application accessible futuristic reusable code block and syntax presentation component. Reconstructed from Brief Sections 26, 27, 74, 77, 92.</t>
        </is>
      </c>
    </row>
    <row r="123" ht="34" customHeight="1" s="401">
      <c r="A123" t="inlineStr">
        <is>
          <t>R-339</t>
        </is>
      </c>
      <c r="B123" t="inlineStr">
        <is>
          <t>MVP</t>
        </is>
      </c>
      <c r="C123" t="inlineStr">
        <is>
          <t>Builder</t>
        </is>
      </c>
      <c r="D123" t="inlineStr">
        <is>
          <t>Generated Accessible Futuristic Reusable Tag &amp; Chip Input Tokenizer Component (components/tag-input.tsx)</t>
        </is>
      </c>
      <c r="E123" t="inlineStr">
        <is>
          <t>Provide a standalone, accessible, futuristic, zero-dependency reusable Tag and Chip Input Tokenizer component suite (components/tag-input.tsx) across all generated OmniStackAI Next.js web applications, supporting TagItem and TagValue types (id, label, color, disabled, icon), TagInputVariant ("default" | "glass" | "neon" | "bordered"), TagInputSize ("sm" | "md" | "lg"), TagInputProps, delimiter parsing on Enter/Comma/Tab, keyboard chip navigation (Backspace deletion, ArrowLeft/ArrowRight chip traversal), autocomplete suggestions dropdown with keyboard selection (ArrowDown/Up, Enter, Escape), validation (maxTags limit, duplicate rejection with visual feedback, custom validateTag predicate), clear-all button, prefix icon slot, WAI-ARIA Combobox / Listbox 1.2 semantics (role="combobox", role="listbox", role="option", aria-expanded, aria-activedescendant), inline SVG icons (TagIcon, XIcon, ClearIcon), 100% diff-invariance across ir.description, and 0 external dependencies.</t>
        </is>
      </c>
      <c r="F123" t="inlineStr">
        <is>
          <t>P1</t>
        </is>
      </c>
      <c r="G123" t="inlineStr">
        <is>
          <t>Codex</t>
        </is>
      </c>
      <c r="H123" t="inlineStr">
        <is>
          <t>Done</t>
        </is>
      </c>
      <c r="I123" t="n">
        <v>1</v>
      </c>
      <c r="J123" t="inlineStr">
        <is>
          <t>R-338</t>
        </is>
      </c>
      <c r="K123" t="inlineStr">
        <is>
          <t>Founder Stage 0</t>
        </is>
      </c>
      <c r="L123" t="inlineStr">
        <is>
          <t>task verify 1414 tests (15 new in test_tag_input_component.py); task lint + security:quick pass; builder:demo minimal-blog passes (76 files); builder:demo rideshare-favourites passes (73 files); offline/deterministic, 0 model calls.</t>
        </is>
      </c>
      <c r="M123" t="inlineStr">
        <is>
          <t>Generated Next.js web application accessible futuristic reusable tag and chip tokenizer component. Reconstructed from Brief Sections 26, 27, 74, 77, 92.</t>
        </is>
      </c>
    </row>
    <row r="124" ht="34" customHeight="1" s="401">
      <c r="A124" t="inlineStr">
        <is>
          <t>R-338</t>
        </is>
      </c>
      <c r="B124" t="inlineStr">
        <is>
          <t>MVP</t>
        </is>
      </c>
      <c r="C124" t="inlineStr">
        <is>
          <t>Builder</t>
        </is>
      </c>
      <c r="D124" t="inlineStr">
        <is>
          <t>Generated Accessible Reusable Hierarchical Tree View Component (components/tree-view.tsx)</t>
        </is>
      </c>
      <c r="E124" t="inlineStr">
        <is>
          <t>Provide a standalone, accessible, zero-dependency reusable Hierarchical Tree View component suite (components/tree-view.tsx) across all generated OmniStackAI Next.js web applications, supporting TreeNode interface (id, label, icon, children, disabled, badge, data), TreeViewVariant ("default" | "bordered" | "ghost" | "lines"), single-select and multi-select modes, controlled and uncontrolled expansion (expandedIds, onToggle, defaultExpanded), search filter with automated ancestor auto-expansion and match highlighting, connecting guide lines (showLines / variant="lines"), WAI-ARIA Tree View 1.2 compliance (role="tree", role="treeitem", role="group", aria-expanded, aria-selected, aria-level, aria-posinset, aria-setsize, aria-disabled), full keyboard navigation (ArrowDown, ArrowUp, ArrowRight, ArrowLeft, Home, End, Enter, Space, *), inline SVG icons (ChevronRight, FolderClosed, FolderOpen, FileText, Search), 100% diff-invariance across ir.description, and 0 external dependencies.</t>
        </is>
      </c>
      <c r="F124" t="inlineStr">
        <is>
          <t>P1</t>
        </is>
      </c>
      <c r="G124" t="inlineStr">
        <is>
          <t>Codex</t>
        </is>
      </c>
      <c r="H124" t="inlineStr">
        <is>
          <t>Done</t>
        </is>
      </c>
      <c r="I124" t="n">
        <v>1</v>
      </c>
      <c r="J124" t="inlineStr">
        <is>
          <t>R-337</t>
        </is>
      </c>
      <c r="K124" t="inlineStr">
        <is>
          <t>Founder Stage 0</t>
        </is>
      </c>
      <c r="L124" t="inlineStr">
        <is>
          <t>task verify 1399 tests (15 new in test_tree_view_component.py); task lint + security:quick pass; builder:demo minimal-blog passes (75 files); builder:demo rideshare-favourites passes (72 files); offline/deterministic, 0 model calls.</t>
        </is>
      </c>
      <c r="M124" t="inlineStr">
        <is>
          <t>Generated Next.js web application accessible reusable hierarchical tree view component. Reconstructed from Brief Sections 26, 27, 74, 77, 92.</t>
        </is>
      </c>
    </row>
    <row r="125" ht="34" customHeight="1" s="401">
      <c r="A125" t="inlineStr">
        <is>
          <t>R-337</t>
        </is>
      </c>
      <c r="B125" t="inlineStr">
        <is>
          <t>MVP</t>
        </is>
      </c>
      <c r="C125" t="inlineStr">
        <is>
          <t>Builder</t>
        </is>
      </c>
      <c r="D125" t="inlineStr">
        <is>
          <t>Generated Accessible Futuristic Reusable Stat &amp; Metric KPI Card Component (components/stat-card.tsx)</t>
        </is>
      </c>
      <c r="E125" t="inlineStr">
        <is>
          <t>Provide a standalone, accessible, futuristic, and zero-dependency reusable Stat &amp; Metric KPI Card component suite (components/stat-card.tsx) across all generated OmniStackAI Next.js web applications, supporting StatCardVariant ("default" | "glass" | "bordered" | "glow"), StatTrend ("positive" | "negative" | "neutral"), compound subcomponents (StatCard, StatCardHeader, StatCardValue, StatCardDelta, StatCardSparkline, StatCardFooter), pure mathematical SVG cubic-bezier spline curve sparkline mini-graph with linearGradient area fill, pointer hover tracking dot, directional trend delta badge with accessible aria-label, glassmorphic backdrop filter and ambient glow border styling, WAI-ARIA role="region" or role="button" with keyboard Enter/Space activation, 100% diff-invariance across ir.description, and 0 external dependencies.</t>
        </is>
      </c>
      <c r="F125" t="inlineStr">
        <is>
          <t>P1</t>
        </is>
      </c>
      <c r="G125" t="inlineStr">
        <is>
          <t>Codex</t>
        </is>
      </c>
      <c r="H125" t="inlineStr">
        <is>
          <t>Done</t>
        </is>
      </c>
      <c r="I125" t="n">
        <v>1</v>
      </c>
      <c r="J125" t="inlineStr">
        <is>
          <t>R-336</t>
        </is>
      </c>
      <c r="K125" t="inlineStr">
        <is>
          <t>Founder Stage 0</t>
        </is>
      </c>
      <c r="L125" t="inlineStr">
        <is>
          <t>task verify 1384 tests (15 new in test_stat_card_component.py); task lint + security:quick pass; builder:demo minimal-blog passes (74 files); builder:demo rideshare-favourites passes (71 files); offline/deterministic, 0 model calls.</t>
        </is>
      </c>
      <c r="M125" t="inlineStr">
        <is>
          <t>Generated Next.js web application accessible futuristic reusable stat and metric KPI card component. Reconstructed from Brief Sections 26, 27, 74, 77, 92.</t>
        </is>
      </c>
    </row>
    <row r="126" ht="34" customHeight="1" s="401">
      <c r="A126" t="inlineStr">
        <is>
          <t>R-336</t>
        </is>
      </c>
      <c r="B126" t="inlineStr">
        <is>
          <t>MVP</t>
        </is>
      </c>
      <c r="C126" t="inlineStr">
        <is>
          <t>Builder</t>
        </is>
      </c>
      <c r="D126" t="inlineStr">
        <is>
          <t>Generated Accessible Reusable Timeline / Activity Feed Component (components/timeline.tsx)</t>
        </is>
      </c>
      <c r="E126" t="inlineStr">
        <is>
          <t>Enable chronological activity feeds, milestone tracking, event logs, and status history UX across generated Next.js web applications: emit a standalone, reusable, accessible Timeline component (components/timeline.tsx) supporting TimelineVariant ("default" | "compact" | "centered"), TimelineItemStatus ("pending" | "active" | "completed" | "error" | "warning"), TimelineItem type, TimelineProps interface, vertical connector line between entries with status-colored fill, built-in vector status icons (completed checkmark, error X, warning alert, active dot, pending clock) plus custom icon override slot, action slot, timestamp rendered as semantic &lt;time&gt; element, alternating left/right layout for centered variant, reduced spacing for compact variant, WAI-ARIA role="list" on root and role="listitem" on each item with aria-label, 100% diff-invariant across ir.description, and 0 external dependencies.</t>
        </is>
      </c>
      <c r="F126" t="inlineStr">
        <is>
          <t>P1</t>
        </is>
      </c>
      <c r="G126" t="inlineStr">
        <is>
          <t>Codex</t>
        </is>
      </c>
      <c r="H126" t="inlineStr">
        <is>
          <t>Done</t>
        </is>
      </c>
      <c r="I126" t="n">
        <v>1</v>
      </c>
      <c r="J126" t="inlineStr">
        <is>
          <t>R-335</t>
        </is>
      </c>
      <c r="K126" t="inlineStr">
        <is>
          <t>Founder Stage 0</t>
        </is>
      </c>
      <c r="L126" t="inlineStr">
        <is>
          <t>task verify 1369 tests (20 new in test_timeline_component.py); task lint + security:quick pass; builder:demo minimal-blog passes (73 files); builder:demo rideshare-favourites passes (70 files); offline/deterministic, 0 model calls.</t>
        </is>
      </c>
      <c r="M126" t="inlineStr">
        <is>
          <t>Generated Next.js web application accessible reusable timeline / activity feed component. Reconstructed from Brief Sections 26, 27, 74, 77, 92.</t>
        </is>
      </c>
    </row>
    <row r="127" ht="34" customHeight="1" s="401">
      <c r="A127" t="inlineStr">
        <is>
          <t>R-335</t>
        </is>
      </c>
      <c r="B127" t="inlineStr">
        <is>
          <t>MVP</t>
        </is>
      </c>
      <c r="C127" t="inlineStr">
        <is>
          <t>Builder</t>
        </is>
      </c>
      <c r="D127" t="inlineStr">
        <is>
          <t>Generated Accessible Reusable File Upload / Dropzone Component (components/file-upload.tsx)</t>
        </is>
      </c>
      <c r="E127" t="inlineStr">
        <is>
          <t>Enable drag-and-drop file selection, click-to-browse, image upload with preview, and document attachment UX across generated Next.js web applications: emit a standalone, reusable, accessible FileUpload Dropzone component (components/file-upload.tsx) comprising FileUploadStatus ("idle" | "dragging" | "uploading" | "success" | "error"), FileUploadVariant ("default" | "compact" | "avatar"), FileEntry type, FileUploadProps interface, drag-and-drop zone (onDragOver/onDragLeave/onDrop with dragging CSS state), click-to-browse via hidden &lt;input type="file"&gt;, accept MIME/extension validation, maxSize constraint with inline error messages, maxFiles cap, FileRow list preview with formatBytes size display, image thumbnail, upload progressbar (role="progressbar"), accessible remove button (aria-label), avatar variant with circular crop, camera icon overlay, WAI-ARIA (role="button", aria-label, aria-describedby, aria-live="polite", aria-disabled), keyboard Enter/Space open picker, 100% diff-invariant across ir.description, and 0 external dependencies.</t>
        </is>
      </c>
      <c r="F127" t="inlineStr">
        <is>
          <t>P1</t>
        </is>
      </c>
      <c r="G127" t="inlineStr">
        <is>
          <t>Codex</t>
        </is>
      </c>
      <c r="H127" t="inlineStr">
        <is>
          <t>Done</t>
        </is>
      </c>
      <c r="I127" t="n">
        <v>1</v>
      </c>
      <c r="J127" t="inlineStr">
        <is>
          <t>R-334</t>
        </is>
      </c>
      <c r="K127" t="inlineStr">
        <is>
          <t>Founder Stage 0</t>
        </is>
      </c>
      <c r="L127" t="inlineStr">
        <is>
          <t>task verify 1349 tests (20 new in test_file_upload_component.py); task lint + security:quick pass; builder:demo minimal-blog passes (72 files); builder:demo rideshare-favourites passes (69 files); offline/deterministic, 0 model calls.</t>
        </is>
      </c>
      <c r="M127" t="inlineStr">
        <is>
          <t>Generated Next.js web application accessible reusable file upload / dropzone component. Reconstructed from Brief Sections 26, 27, 74, 77, 92.</t>
        </is>
      </c>
    </row>
    <row r="128" ht="34" customHeight="1" s="401">
      <c r="A128" t="inlineStr">
        <is>
          <t>R-334</t>
        </is>
      </c>
      <c r="B128" t="inlineStr">
        <is>
          <t>MVP</t>
        </is>
      </c>
      <c r="C128" t="inlineStr">
        <is>
          <t>Builder</t>
        </is>
      </c>
      <c r="D128" t="inlineStr">
        <is>
          <t>Generated Accessible Reusable Stepper / Multi-step Wizard Component (components/stepper.tsx)</t>
        </is>
      </c>
      <c r="E128" t="inlineStr">
        <is>
          <t>Enable multi-step onboarding, checkout, and setup wizard UX across generated Next.js web applications: emit a standalone, reusable, accessible compound Stepper component (components/stepper.tsx) comprising Stepper root, StepContent panel, and useStepperState hook, supporting StepperOrientation ("horizontal" | "vertical"), StepStatus ("idle" | "active" | "completed" | "error"), StepperVariant ("default" | "dots" | "progress"), StepDef type, animated StepIndicator with numeric/checkmark/error-X states, StepConnector fill proportional to completion, progress-bar variant (role="progressbar"), controlled and uncontrolled modes, WAI-ARIA tablist/tab/tabpanel pattern (role="tablist", role="tab", aria-selected, aria-controls, role="tabpanel", aria-labelledby, aria-disabled), full keyboard navigation (ArrowRight/Left horizontal, ArrowDown/Up vertical, Home, End), 100% diff-invariant across ir.description, and 0 external dependencies.</t>
        </is>
      </c>
      <c r="F128" t="inlineStr">
        <is>
          <t>P1</t>
        </is>
      </c>
      <c r="G128" t="inlineStr">
        <is>
          <t>Codex</t>
        </is>
      </c>
      <c r="H128" t="inlineStr">
        <is>
          <t>Done</t>
        </is>
      </c>
      <c r="I128" t="n">
        <v>1</v>
      </c>
      <c r="J128" t="inlineStr">
        <is>
          <t>R-333</t>
        </is>
      </c>
      <c r="K128" t="inlineStr">
        <is>
          <t>Founder Stage 0</t>
        </is>
      </c>
      <c r="L128" t="inlineStr">
        <is>
          <t>task verify 1329 tests (19 new in test_stepper_component.py); task lint + security:quick + env:check pass; builder:demo minimal-blog passes (71 files); builder:demo rideshare-favourites passes (68 files); offline/deterministic, 0 model calls.</t>
        </is>
      </c>
      <c r="M128" t="inlineStr">
        <is>
          <t>Generated Next.js web application accessible reusable stepper / multi-step wizard component. Reconstructed from Brief Sections 26, 27, 74, 77, 92.</t>
        </is>
      </c>
    </row>
    <row r="129" ht="34" customHeight="1" s="401">
      <c r="A129" s="547" t="inlineStr">
        <is>
          <t>R-333</t>
        </is>
      </c>
      <c r="B129" s="547" t="inlineStr">
        <is>
          <t>MVP</t>
        </is>
      </c>
      <c r="C129" s="547" t="inlineStr">
        <is>
          <t>Builder</t>
        </is>
      </c>
      <c r="D129" s="547" t="inlineStr">
        <is>
          <t>Generated Accessible Reusable Rating &amp; Review Component (components/rating.tsx)</t>
        </is>
      </c>
      <c r="E129" s="547" t="inlineStr">
        <is>
          <t>Provide a standalone, accessible, zero-dependency reusable Rating and Review component suite (components/rating.tsx) across generated Next.js web applications, supporting interactive hover preview, half-star selection (allowHalf), read-only mode, disabled state, full keyboard navigation (Arrow keys, Home, End), built-in inline vector icons (star, heart, thumb) with precise fractional fill rendering, numeric score formatting (showScore, formatScore), size presets (sm, md, lg), WAI-ARIA slider pattern semantics (role="slider", aria-valuenow, aria-valuemin, aria-valuemax, aria-valuetext, aria-readonly, aria-disabled), 100% diff-invariance across ir.description, and 0 external npm dependencies.</t>
        </is>
      </c>
      <c r="F129" s="547" t="inlineStr">
        <is>
          <t>P1</t>
        </is>
      </c>
      <c r="G129" s="547" t="inlineStr">
        <is>
          <t>Codex</t>
        </is>
      </c>
      <c r="H129" s="547" t="inlineStr">
        <is>
          <t>Done</t>
        </is>
      </c>
      <c r="I129" s="547" t="n">
        <v>1</v>
      </c>
      <c r="J129" s="547" t="inlineStr">
        <is>
          <t>R-332</t>
        </is>
      </c>
      <c r="K129" s="547" t="inlineStr">
        <is>
          <t>Founder Stage 0</t>
        </is>
      </c>
      <c r="L129" s="547" t="inlineStr">
        <is>
          <t>task verify 1,310 tests (13 new in test_rating_component.py); task lint + security:quick + env:check pass; builder:demo minimal-blog passes (70 files); builder:demo rideshare-favourites passes (67 files); offline/deterministic, 0 model calls.</t>
        </is>
      </c>
      <c r="M129" s="547" t="inlineStr">
        <is>
          <t>Generated Next.js web application rating and review component. Reconstructed from Brief Sections 26, 27, 74, 77, 92.</t>
        </is>
      </c>
    </row>
    <row r="130" ht="34" customHeight="1" s="401">
      <c r="A130" s="547" t="inlineStr">
        <is>
          <t>R-332</t>
        </is>
      </c>
      <c r="B130" s="547" t="inlineStr">
        <is>
          <t>MVP</t>
        </is>
      </c>
      <c r="C130" s="547" t="inlineStr">
        <is>
          <t>Builder</t>
        </is>
      </c>
      <c r="D130" s="547" t="inlineStr">
        <is>
          <t>Generated Accessible Reusable Progress &amp; Spinner Component (components/progress.tsx)</t>
        </is>
      </c>
      <c r="E130" s="547" t="inlineStr">
        <is>
          <t>Provide a standalone, accessible, zero-dependency reusable Progress &amp; Spinner component suite (components/progress.tsx) across generated Next.js web applications, supporting linear ProgressBar (determinate/indeterminate modes, striped gradient, animated progress stripes, size presets sm/md/lg, semantic color variants default/success/warning/error/info, label/value formatting), CircularProgress (SVG stroke calculations, percentage fill, continuous spinning sweep, center label), lightweight Spinner (role="status", aria-live="polite", sr-only announcement), WAI-ARIA progressbar semantics (role="progressbar", aria-valuenow, aria-valuemin, aria-valuemax, aria-valuetext; omit aria-valuenow when indeterminate), 100% diff-invariance across ir.description, and 0 external npm dependencies.</t>
        </is>
      </c>
      <c r="F130" s="547" t="inlineStr">
        <is>
          <t>P1</t>
        </is>
      </c>
      <c r="G130" s="547" t="inlineStr">
        <is>
          <t>Codex</t>
        </is>
      </c>
      <c r="H130" s="547" t="inlineStr">
        <is>
          <t>Done</t>
        </is>
      </c>
      <c r="I130" s="547" t="n">
        <v>1</v>
      </c>
      <c r="J130" s="547" t="inlineStr">
        <is>
          <t>R-331</t>
        </is>
      </c>
      <c r="K130" s="547" t="inlineStr">
        <is>
          <t>Founder Stage 0</t>
        </is>
      </c>
      <c r="L130" s="547" t="inlineStr">
        <is>
          <t>task verify 1,297 tests (13 new in test_progress_component.py); task lint + security:quick + env:check pass; builder:demo minimal-blog passes (69 files); builder:demo rideshare-favourites passes (66 files); offline/deterministic, 0 model calls.</t>
        </is>
      </c>
      <c r="M130" s="547" t="inlineStr">
        <is>
          <t>Generated Next.js web application progress bar, circular progress, and spinner component. Reconstructed from Brief Sections 26, 27, 74, 77, 92.</t>
        </is>
      </c>
    </row>
    <row r="131" ht="34" customHeight="1" s="401">
      <c r="A131" s="547" t="inlineStr">
        <is>
          <t>R-331</t>
        </is>
      </c>
      <c r="B131" s="547" t="inlineStr">
        <is>
          <t>MVP</t>
        </is>
      </c>
      <c r="C131" s="547" t="inlineStr">
        <is>
          <t>Builder</t>
        </is>
      </c>
      <c r="D131" s="547" t="inlineStr">
        <is>
          <t>Generated Accessible Reusable Slider &amp; Range Component (components/slider.tsx)</t>
        </is>
      </c>
      <c r="E131" s="547" t="inlineStr">
        <is>
          <t>Provide a standalone, accessible, zero-dependency reusable Slider &amp; Range component suite (components/slider.tsx) across generated Next.js web applications, supporting single-value and dual-thumb range modes, interactive drag traversal (pointerdown/move/up), full keyboard navigation (Arrow keys, PageUp, PageDown, Home, End), tick marks and labels, WAI-ARIA slider pattern semantics (role="slider", aria-valuenow, aria-valuemin, aria-valuemax, aria-orientation, aria-disabled), vertical and horizontal orientations, 100% diff-invariance across ir.description, and 0 external npm dependencies.</t>
        </is>
      </c>
      <c r="F131" s="547" t="inlineStr">
        <is>
          <t>P1</t>
        </is>
      </c>
      <c r="G131" s="547" t="inlineStr">
        <is>
          <t>Codex</t>
        </is>
      </c>
      <c r="H131" s="547" t="inlineStr">
        <is>
          <t>Done</t>
        </is>
      </c>
      <c r="I131" s="547" t="n">
        <v>1</v>
      </c>
      <c r="J131" s="547" t="inlineStr">
        <is>
          <t>R-330</t>
        </is>
      </c>
      <c r="K131" s="547" t="inlineStr">
        <is>
          <t>Founder Stage 0</t>
        </is>
      </c>
      <c r="L131" s="547" t="inlineStr">
        <is>
          <t>task verify 1,284 tests (13 new in test_slider_component.py); task lint + security:quick + env:check pass; builder:demo minimal-blog passes (68 files); builder:demo rideshare-favourites passes (65 files); offline/deterministic, 0 model calls.</t>
        </is>
      </c>
      <c r="M131" s="547" t="inlineStr">
        <is>
          <t>Generated Next.js web application slider and range component. Reconstructed from Brief Sections 26, 27, 74, 77, 92.</t>
        </is>
      </c>
    </row>
    <row r="132" ht="34" customHeight="1" s="401">
      <c r="A132" s="547" t="inlineStr">
        <is>
          <t>R-330</t>
        </is>
      </c>
      <c r="B132" s="547" t="inlineStr">
        <is>
          <t>MVP</t>
        </is>
      </c>
      <c r="C132" s="547" t="inlineStr">
        <is>
          <t>Builder</t>
        </is>
      </c>
      <c r="D132" s="547" t="inlineStr">
        <is>
          <t>Generated Accessible Command Palette / Search Menu Component (components/command-palette.tsx)</t>
        </is>
      </c>
      <c r="E132" s="547" t="inlineStr">
        <is>
          <t>Provide a standalone, accessible, zero-dependency reusable Command Palette / Search Menu component suite (components/command-palette.tsx) across generated Next.js web applications, supporting global Cmd+K / Ctrl+K keyboard shortcut listener, instant query filtering across item labels/descriptions/keywords/groups, ArrowDown/ArrowUp/Home/End/Enter/Escape keyboard traversal, WAI-ARIA combobox/listbox pattern (role="combobox", role="listbox", role="option", aria-expanded, aria-controls, aria-activedescendant), group headings under role="group", item shortcut badge rendering, customizable empty search state, 100% diff-invariance across ir.description, and 0 external npm dependencies.</t>
        </is>
      </c>
      <c r="F132" s="547" t="inlineStr">
        <is>
          <t>P1</t>
        </is>
      </c>
      <c r="G132" s="547" t="inlineStr">
        <is>
          <t>Codex</t>
        </is>
      </c>
      <c r="H132" s="547" t="inlineStr">
        <is>
          <t>Done</t>
        </is>
      </c>
      <c r="I132" s="547" t="n">
        <v>1</v>
      </c>
      <c r="J132" s="547" t="inlineStr">
        <is>
          <t>R-329</t>
        </is>
      </c>
      <c r="K132" s="547" t="inlineStr">
        <is>
          <t>Founder Stage 0</t>
        </is>
      </c>
      <c r="L132" s="547" t="inlineStr">
        <is>
          <t>task verify 1,271 tests (13 new in test_command_palette_component.py); task lint + security:quick + env:check pass; builder:demo minimal-blog passes (67 files); builder:demo rideshare-favourites passes (64 files); offline/deterministic, 0 model calls.</t>
        </is>
      </c>
      <c r="M132" s="547" t="inlineStr">
        <is>
          <t>Generated Next.js web application command palette component. Reconstructed from Brief Sections 26, 27, 74, 77, 92.</t>
        </is>
      </c>
    </row>
    <row r="133" ht="34" customHeight="1" s="401">
      <c r="A133" s="547" t="inlineStr">
        <is>
          <t>R-329</t>
        </is>
      </c>
      <c r="B133" s="547" t="inlineStr">
        <is>
          <t>MVP</t>
        </is>
      </c>
      <c r="C133" s="547" t="inlineStr">
        <is>
          <t>Builder</t>
        </is>
      </c>
      <c r="D133" s="547" t="inlineStr">
        <is>
          <t>Generated Accessible Reusable Data Grid / Table Component (components/data-grid.tsx)</t>
        </is>
      </c>
      <c r="E133" s="547" t="inlineStr">
        <is>
          <t>Provide a standalone, accessible, zero-dependency reusable Data Grid / Table component suite (components/data-grid.tsx) across generated Next.js web applications, supporting generic typed columns (ColumnDef&lt;T&gt;), interactive column sorting with WAI-ARIA aria-sort cycle, row selection checkboxes with select-all and indeterminate state (aria-selected), display density presets (compact, comfortable, spacious), sticky headers, striped rows, loading skeleton state, and 100% diff-invariance across ir.description.</t>
        </is>
      </c>
      <c r="F133" s="547" t="inlineStr">
        <is>
          <t>P1</t>
        </is>
      </c>
      <c r="G133" s="547" t="inlineStr">
        <is>
          <t>Codex</t>
        </is>
      </c>
      <c r="H133" s="547" t="inlineStr">
        <is>
          <t>Done</t>
        </is>
      </c>
      <c r="I133" s="547" t="n">
        <v>1</v>
      </c>
      <c r="J133" s="547" t="inlineStr">
        <is>
          <t>R-328</t>
        </is>
      </c>
      <c r="K133" s="547" t="inlineStr">
        <is>
          <t>Founder Stage 0</t>
        </is>
      </c>
      <c r="L133" s="547" t="inlineStr">
        <is>
          <t>task verify 1,258 tests (13 new in test_data_grid_component.py); task lint + security:quick + env:check pass; builder:demo minimal-blog passes (66 files); builder:demo rideshare-favourites passes (63 files); offline/deterministic, 0 model calls.</t>
        </is>
      </c>
      <c r="M133" s="547" t="inlineStr">
        <is>
          <t>Generated Next.js web application data grid and table component. Reconstructed from Brief Sections 26, 27, 74, 77, 92.</t>
        </is>
      </c>
    </row>
    <row r="134" ht="34" customHeight="1" s="401">
      <c r="A134" s="547" t="inlineStr">
        <is>
          <t>R-328</t>
        </is>
      </c>
      <c r="B134" s="547" t="inlineStr">
        <is>
          <t>MVP</t>
        </is>
      </c>
      <c r="C134" s="547" t="inlineStr">
        <is>
          <t>Builder</t>
        </is>
      </c>
      <c r="D134" s="547" t="inlineStr">
        <is>
          <t>Generated Accessible Reusable Date Picker Component (components/date-picker.tsx)</t>
        </is>
      </c>
      <c r="E134" s="547" t="inlineStr">
        <is>
          <t>Provide a standalone, accessible, zero-dependency reusable Date Picker and Calendar component suite (components/date-picker.tsx) across generated Next.js web applications, supporting interactive month/year navigation, day grid keyboard traversal (Arrow keys, Home, End, PageUp, PageDown), WAI-ARIA grid and dialog semantics (role="grid", role="gridcell", aria-selected, aria-current="date", role="dialog", aria-haspopup="dialog", aria-expanded), custom date formatting (formatDate), clearable trigger button, min/max constraints, 100% diff-invariance across ir.description, and 0 external dependencies.</t>
        </is>
      </c>
      <c r="F134" s="547" t="inlineStr">
        <is>
          <t>P1</t>
        </is>
      </c>
      <c r="G134" s="547" t="inlineStr">
        <is>
          <t>Codex</t>
        </is>
      </c>
      <c r="H134" s="547" t="inlineStr">
        <is>
          <t>Done</t>
        </is>
      </c>
      <c r="I134" s="547" t="n">
        <v>1</v>
      </c>
      <c r="J134" s="547" t="inlineStr">
        <is>
          <t>R-327</t>
        </is>
      </c>
      <c r="K134" s="547" t="inlineStr">
        <is>
          <t>Founder Stage 0</t>
        </is>
      </c>
      <c r="L134" s="547" t="inlineStr">
        <is>
          <t>task verify 1,245 tests (13 new in test_date_picker_component.py); task lint + security:quick + env:check pass; builder:demo minimal-blog passes (65 files); builder:demo rideshare-favourites passes (62 files); offline/deterministic, 0 model calls.</t>
        </is>
      </c>
      <c r="M134" s="547" t="inlineStr">
        <is>
          <t>Generated Next.js web application date picker and calendar component. Reconstructed from Brief Sections 26, 27, 74, 77, 92.</t>
        </is>
      </c>
    </row>
    <row r="135" ht="34" customHeight="1" s="401">
      <c r="A135" s="547" t="inlineStr">
        <is>
          <t>R-327</t>
        </is>
      </c>
      <c r="B135" s="547" t="inlineStr">
        <is>
          <t>MVP</t>
        </is>
      </c>
      <c r="C135" s="547" t="inlineStr">
        <is>
          <t>Builder</t>
        </is>
      </c>
      <c r="D135" s="547" t="inlineStr">
        <is>
          <t>Generated Accessible Reusable Form Controls &amp; Input Primitives (components/form-controls.tsx)</t>
        </is>
      </c>
      <c r="E135" s="547" t="inlineStr">
        <is>
          <t>Provide a standalone, comprehensive, accessible suite of form control components and input primitives (components/form-controls.tsx) across generated Next.js web applications, supporting WAI-ARIA form semantics (aria-invalid, aria-describedby, role="radiogroup", role="radio", aria-checked, role="alert", aria-live="polite"), Input (sm/md/lg, prefix/suffix, onClear), Textarea (character counter threshold), Select (options array/children), Checkbox (checked/indeterminate/focus ring), RadioGroup/Radio (keyboard arrow navigation), Label (required asterisk), FormField (ID auto-binding, helper/error), FormMessage, FormHelperText, 100% diff-invariance across ir.description, and 0 external dependencies.</t>
        </is>
      </c>
      <c r="F135" s="547" t="inlineStr">
        <is>
          <t>P1</t>
        </is>
      </c>
      <c r="G135" s="547" t="inlineStr">
        <is>
          <t>Codex</t>
        </is>
      </c>
      <c r="H135" s="547" t="inlineStr">
        <is>
          <t>Done</t>
        </is>
      </c>
      <c r="I135" s="547" t="n">
        <v>1</v>
      </c>
      <c r="J135" s="547" t="inlineStr">
        <is>
          <t>R-326</t>
        </is>
      </c>
      <c r="K135" s="547" t="inlineStr">
        <is>
          <t>Founder Stage 0</t>
        </is>
      </c>
      <c r="L135" s="547" t="inlineStr">
        <is>
          <t>task verify 1,232 tests (13 new in test_form_controls_component.py); task lint + security:quick + env:check pass; builder:demo minimal-blog passes (64 files); builder:demo rideshare-favourites passes (61 files); offline/deterministic, 0 model calls.</t>
        </is>
      </c>
      <c r="M135" s="547" t="inlineStr">
        <is>
          <t>Generated Next.js web application form controls and input primitives component suite. Reconstructed from Brief Sections 26, 27, 74, 77, 92.</t>
        </is>
      </c>
    </row>
    <row r="136" ht="34" customHeight="1" s="401">
      <c r="A136" s="547" t="inlineStr">
        <is>
          <t>R-326</t>
        </is>
      </c>
      <c r="B136" s="547" t="inlineStr">
        <is>
          <t>MVP</t>
        </is>
      </c>
      <c r="C136" s="547" t="inlineStr">
        <is>
          <t>Builder</t>
        </is>
      </c>
      <c r="D136" s="547" t="inlineStr">
        <is>
          <t>Generated Accessible Reusable Dialog / Modal Component (components/dialog.tsx)</t>
        </is>
      </c>
      <c r="E136" s="547" t="inlineStr">
        <is>
          <t>Provide a robust, accessible, compound Dialog / Modal component (components/dialog.tsx) across generated Next.js web applications, supporting WAI-ARIA modal dialog semantics (role="dialog", aria-modal="true", dynamic aria-labelledby/describedby), compound subcomponents (Dialog, DialogTrigger, DialogPortal, DialogOverlay, DialogContent, DialogHeader, DialogTitle, DialogDescription, DialogBody, DialogFooter, DialogClose), useDialog hook, controlled/uncontrolled state, Escape key dismiss, backdrop overlay dismiss, body scroll lock, focus restoration, size presets (sm/md/lg/xl/full), 100% diff-invariance across ir.description, and 0 external dependencies.</t>
        </is>
      </c>
      <c r="F136" s="547" t="inlineStr">
        <is>
          <t>P1</t>
        </is>
      </c>
      <c r="G136" s="547" t="inlineStr">
        <is>
          <t>Codex</t>
        </is>
      </c>
      <c r="H136" s="547" t="inlineStr">
        <is>
          <t>Done</t>
        </is>
      </c>
      <c r="I136" s="547" t="n">
        <v>1</v>
      </c>
      <c r="J136" s="547" t="inlineStr">
        <is>
          <t>R-325</t>
        </is>
      </c>
      <c r="K136" s="547" t="inlineStr">
        <is>
          <t>Founder Stage 0</t>
        </is>
      </c>
      <c r="L136" s="547" t="inlineStr">
        <is>
          <t>task verify 1,219 tests (13 new in test_dialog_component.py); task lint + security:quick + env:check pass; builder:demo minimal-blog passes (63 files); builder:demo rideshare-favourites passes (60 files); offline/deterministic, 0 model calls.</t>
        </is>
      </c>
      <c r="M136" s="547" t="inlineStr">
        <is>
          <t>Generated Next.js web application compound dialog and modal component. Reconstructed from Brief Sections 26, 27, 74, 77, 92.</t>
        </is>
      </c>
    </row>
    <row r="137" ht="34" customHeight="1" s="401">
      <c r="A137" s="547" t="inlineStr">
        <is>
          <t>R-325</t>
        </is>
      </c>
      <c r="B137" s="547" t="inlineStr">
        <is>
          <t>MVP</t>
        </is>
      </c>
      <c r="C137" s="547" t="inlineStr">
        <is>
          <t>Builder</t>
        </is>
      </c>
      <c r="D137" s="547" t="inlineStr">
        <is>
          <t>Generated Theme Switcher / Mode Toggle Component (components/theme-toggle.tsx)</t>
        </is>
      </c>
      <c r="E137" s="547" t="inlineStr">
        <is>
          <t>Enable seamless dynamic theme switching across generated Next.js web applications: emit a standalone, reusable, accessible compound Theme Switcher component (components/theme-toggle.tsx) providing ThemeMode ("light" | "dark" | "system"), ThemeProvider context, useTheme hook, ThemeToggle button with SVG Sun/Moon icons and keyboard toggle, ThemeSelect segmented control with WAI-ARIA radiogroup/radio semantics, ThemeScript inline FOUC-prevention snippet, localStorage persistence, and window.matchMedia system theme sync, 100% diff-invariant across ir.description, and 0 external dependencies.</t>
        </is>
      </c>
      <c r="F137" s="547" t="inlineStr">
        <is>
          <t>P1</t>
        </is>
      </c>
      <c r="G137" s="547" t="inlineStr">
        <is>
          <t>Codex</t>
        </is>
      </c>
      <c r="H137" s="547" t="inlineStr">
        <is>
          <t>Done</t>
        </is>
      </c>
      <c r="I137" s="547" t="n">
        <v>1</v>
      </c>
      <c r="J137" s="547" t="inlineStr">
        <is>
          <t>R-324</t>
        </is>
      </c>
      <c r="K137" s="547" t="inlineStr">
        <is>
          <t>Founder Stage 0</t>
        </is>
      </c>
      <c r="L137" s="547" t="inlineStr">
        <is>
          <t>task verify 1,206 tests (12 new in test_theme_toggle_component.py); task lint + security:quick + env:check pass; builder:demo minimal-blog passes (62 files); builder:demo rideshare-favourites passes (59 files); offline/deterministic, 0 model calls.</t>
        </is>
      </c>
      <c r="M137" s="547" t="inlineStr">
        <is>
          <t>Generated Next.js web application theme switcher and mode toggle component. Reconstructed from Brief Sections 26, 27, 74, 77, 92.</t>
        </is>
      </c>
    </row>
    <row r="138" ht="34" customHeight="1" s="401">
      <c r="A138" s="547" t="inlineStr">
        <is>
          <t>R-324</t>
        </is>
      </c>
      <c r="B138" s="547" t="inlineStr">
        <is>
          <t>MVP</t>
        </is>
      </c>
      <c r="C138" s="547" t="inlineStr">
        <is>
          <t>Builder</t>
        </is>
      </c>
      <c r="D138" s="547" t="inlineStr">
        <is>
          <t>Generated Design Tokens &amp; CSS Custom Properties Theming Engine (styles/tokens.css)</t>
        </is>
      </c>
      <c r="E138" s="547" t="inlineStr">
        <is>
          <t>Establish visual coherence, professional styling, WCAG-compliant contrast, and seamless dynamic theme switching across generated Next.js web applications: emit a standalone, production-grade Design Tokens stylesheet (styles/tokens.css) supplying semantic colors for light (:root) and dark ([data-theme="dark"], :root.dark, prefers-color-scheme: dark) modes, scale tokens for spacing (--space-0 to --space-24), typography (--font-sans, --font-mono, sizes xs-4xl, weights, line heights), radii (--radius-none to --radius-full), shadows (--shadow-none to --shadow-xl), z-indices (--z-dropdown to --z-tooltip), and motion transitions with reduced-motion support, wired into app/globals.css and root layout, 100% diff-invariant across ir.description, and 0 external dependencies.</t>
        </is>
      </c>
      <c r="F138" s="547" t="inlineStr">
        <is>
          <t>P1</t>
        </is>
      </c>
      <c r="G138" s="547" t="inlineStr">
        <is>
          <t>Codex</t>
        </is>
      </c>
      <c r="H138" s="547" t="inlineStr">
        <is>
          <t>Done</t>
        </is>
      </c>
      <c r="I138" s="547" t="n">
        <v>1</v>
      </c>
      <c r="J138" s="547" t="inlineStr">
        <is>
          <t>R-323</t>
        </is>
      </c>
      <c r="K138" s="547" t="inlineStr">
        <is>
          <t>Founder Stage 0</t>
        </is>
      </c>
      <c r="L138" s="547" t="inlineStr">
        <is>
          <t>task verify 1,194 tests (15 new in test_theming_tokens.py); task lint + security:quick + env:check pass; builder:demo minimal-blog passes (61 files); builder:demo rideshare-favourites passes (58 files); offline/deterministic, 0 model calls.</t>
        </is>
      </c>
      <c r="M138" s="547" t="inlineStr">
        <is>
          <t>Generated Next.js web application design tokens and CSS custom properties theming engine. Reconstructed from Brief Sections 26, 27, 74, 77, 92.</t>
        </is>
      </c>
    </row>
    <row r="139" ht="34" customHeight="1" s="401">
      <c r="A139" s="547" t="inlineStr">
        <is>
          <t>R-323</t>
        </is>
      </c>
      <c r="B139" s="547" t="inlineStr">
        <is>
          <t>MVP</t>
        </is>
      </c>
      <c r="C139" s="547" t="inlineStr">
        <is>
          <t>Builder</t>
        </is>
      </c>
      <c r="D139" s="547" t="inlineStr">
        <is>
          <t>Generated Accessible Reusable Popover Component (components/popover.tsx)</t>
        </is>
      </c>
      <c r="E139" s="547" t="inlineStr">
        <is>
          <t>Provide rich contextual disclosures, inline date pickers, filter dropdowns, and lightweight mini forms across generated Next.js web applications: emit a standalone, reusable, accessible compound Popover component (components/popover.tsx) comprising Popover, PopoverTrigger, PopoverContent, PopoverClose, and PopoverArrow, supporting alignment ("start" | "end" | "center"), side placement ("top" | "bottom" | "left" | "right"), click-outside dismiss, Escape key dismiss with trigger focus restoration, controlled and uncontrolled operation modes, WAI-ARIA dialog semantics (role="dialog", aria-modal="true", aria-haspopup="dialog", aria-expanded, aria-controls), 100% diff-invariance across ir.description, and 0 external dependencies.</t>
        </is>
      </c>
      <c r="F139" s="547" t="inlineStr">
        <is>
          <t>P1</t>
        </is>
      </c>
      <c r="G139" s="547" t="inlineStr">
        <is>
          <t>Codex</t>
        </is>
      </c>
      <c r="H139" s="547" t="inlineStr">
        <is>
          <t>Done</t>
        </is>
      </c>
      <c r="I139" s="547" t="n">
        <v>1</v>
      </c>
      <c r="J139" s="547" t="inlineStr">
        <is>
          <t>R-322</t>
        </is>
      </c>
      <c r="K139" s="547" t="inlineStr">
        <is>
          <t>Founder Stage 0</t>
        </is>
      </c>
      <c r="L139" s="547" t="inlineStr">
        <is>
          <t>task verify 1,179 tests (11 new in test_popover_component.py); task lint + security:quick + env:check pass; builder:demo minimal-blog passes (60 files); builder:demo rideshare-favourites passes (57 files); offline/deterministic, 0 model calls.</t>
        </is>
      </c>
      <c r="M139" s="547" t="inlineStr">
        <is>
          <t>Generated Next.js web application accessible reusable popover component. Reconstructed from Brief Sections 26, 27, 74, 77, 92.</t>
        </is>
      </c>
    </row>
    <row r="140" ht="34" customHeight="1" s="401">
      <c r="A140" s="547" t="inlineStr">
        <is>
          <t>R-322</t>
        </is>
      </c>
      <c r="B140" s="547" t="inlineStr">
        <is>
          <t>MVP</t>
        </is>
      </c>
      <c r="C140" s="547" t="inlineStr">
        <is>
          <t>Builder</t>
        </is>
      </c>
      <c r="D140" s="547" t="inlineStr">
        <is>
          <t>Generated Accessible Reusable Dropdown Menu Component (components/dropdown-menu.tsx)</t>
        </is>
      </c>
      <c r="E140" s="547" t="inlineStr">
        <is>
          <t>Provide action menus, row item actions, user profile menus, and contextual selection controls across generated Next.js web applications: emit a standalone, reusable, accessible compound Dropdown Menu component (components/dropdown-menu.tsx) comprising DropdownMenu, DropdownMenuTrigger, DropdownMenuContent, DropdownMenuItem, DropdownMenuSeparator, and DropdownMenuLabel, supporting alignment ("start" | "end" | "center"), side placement ("top" | "bottom" | "left" | "right"), click-outside and Escape dismiss, full keyboard navigation (ArrowDown, ArrowUp, Home, End, Enter, Space), WAI-ARIA 1.2 menu semantics (role="menu", role="menuitem", aria-haspopup="menu", aria-expanded, aria-controls), disabled item handling, destructive action variant, optional icon and shortcut slots, 100% diff-invariance across ir.description, and 0 external dependencies.</t>
        </is>
      </c>
      <c r="F140" s="547" t="inlineStr">
        <is>
          <t>P1</t>
        </is>
      </c>
      <c r="G140" s="547" t="inlineStr">
        <is>
          <t>Codex</t>
        </is>
      </c>
      <c r="H140" s="547" t="inlineStr">
        <is>
          <t>Done</t>
        </is>
      </c>
      <c r="I140" s="547" t="n">
        <v>1</v>
      </c>
      <c r="J140" s="547" t="inlineStr">
        <is>
          <t>R-321</t>
        </is>
      </c>
      <c r="K140" s="547" t="inlineStr">
        <is>
          <t>Founder Stage 0</t>
        </is>
      </c>
      <c r="L140" s="547" t="inlineStr">
        <is>
          <t>task verify 1,168 tests (11 new in test_dropdown_menu_component.py); task lint + security:quick + env:check pass; builder:demo minimal-blog passes (59 files); builder:demo rideshare-favourites passes (56 files); offline/deterministic, 0 model calls.</t>
        </is>
      </c>
      <c r="M140" s="547" t="inlineStr">
        <is>
          <t>Generated Next.js web application accessible reusable dropdown menu component. Reconstructed from Brief Sections 26, 27, 74, 77, 92.</t>
        </is>
      </c>
    </row>
    <row r="141" ht="34" customHeight="1" s="401">
      <c r="A141" s="547" t="inlineStr">
        <is>
          <t>R-321</t>
        </is>
      </c>
      <c r="B141" s="547" t="inlineStr">
        <is>
          <t>MVP</t>
        </is>
      </c>
      <c r="C141" s="547" t="inlineStr">
        <is>
          <t>Builder</t>
        </is>
      </c>
      <c r="D141" s="547" t="inlineStr">
        <is>
          <t>Generated Accessible Reusable Accordion Component (components/accordion.tsx)</t>
        </is>
      </c>
      <c r="E141" s="547" t="inlineStr">
        <is>
          <t>Provide collapsible content sections, FAQs, and expandable disclosures across generated Next.js web applications: emit a standalone, reusable, accessible compound Accordion component (components/accordion.tsx) comprising Accordion, AccordionItem, AccordionTrigger, and AccordionContent, supporting type ("single" | "multiple"), collapsible mode, variants ("default" | "bordered" | "separated"), controlled and uncontrolled modes, WAI-ARIA 1.2 accordion semantics (aria-expanded, aria-controls, dynamic id, role="region", aria-labelledby, hidden), rotating chevron SVG icon (aria-hidden="true", rotate(180deg)), 100% diff-invariance across ir.description, and 0 external dependencies.</t>
        </is>
      </c>
      <c r="F141" s="547" t="inlineStr">
        <is>
          <t>P1</t>
        </is>
      </c>
      <c r="G141" s="547" t="inlineStr">
        <is>
          <t>Codex</t>
        </is>
      </c>
      <c r="H141" s="547" t="inlineStr">
        <is>
          <t>Done</t>
        </is>
      </c>
      <c r="I141" s="547" t="n">
        <v>1</v>
      </c>
      <c r="J141" s="547" t="inlineStr">
        <is>
          <t>R-320</t>
        </is>
      </c>
      <c r="K141" s="547" t="inlineStr">
        <is>
          <t>Founder Stage 0</t>
        </is>
      </c>
      <c r="L141" s="547" t="inlineStr">
        <is>
          <t>task verify 1,157 tests (11 new in test_accordion_component.py); task lint + security:quick + env:check pass; builder:demo minimal-blog passes (58 files); builder:demo rideshare-favourites passes (55 files); offline/deterministic, 0 model calls.</t>
        </is>
      </c>
      <c r="M141" s="547" t="inlineStr">
        <is>
          <t>Generated Next.js web application accessible reusable accordion component. Reconstructed from Brief Sections 26, 27, 74, 77, 92.</t>
        </is>
      </c>
    </row>
    <row r="142" ht="34" customHeight="1" s="401">
      <c r="A142" s="547" t="inlineStr">
        <is>
          <t>R-320</t>
        </is>
      </c>
      <c r="B142" s="547" t="inlineStr">
        <is>
          <t>MVP</t>
        </is>
      </c>
      <c r="C142" s="547" t="inlineStr">
        <is>
          <t>Builder</t>
        </is>
      </c>
      <c r="D142" s="547" t="inlineStr">
        <is>
          <t>Generated Accessible Reusable Toggle Switch Component (components/toggle.tsx)</t>
        </is>
      </c>
      <c r="E142" s="547" t="inlineStr">
        <is>
          <t>Provide modern sliding boolean switches, feature flags, and preference controls across generated Next.js web applications: emit a standalone, reusable, accessible Toggle Switch component (components/toggle.tsx) comprising Toggle and ToggleSwitch alias, supporting sizes ("sm" | "md" | "lg"), controlled and uncontrolled modes, optional label and description slots with automated ID binding (aria-labelledby, aria-describedby), WAI-ARIA 1.2 switch semantics (role="switch", aria-checked, tabIndex, focus ring), keyboard navigation (Space and Enter toggles with preventDefault), hidden input for HTML form integration, 100% diff-invariance across ir.description, and 0 external dependencies.</t>
        </is>
      </c>
      <c r="F142" s="547" t="inlineStr">
        <is>
          <t>P1</t>
        </is>
      </c>
      <c r="G142" s="547" t="inlineStr">
        <is>
          <t>Codex</t>
        </is>
      </c>
      <c r="H142" s="547" t="inlineStr">
        <is>
          <t>Done</t>
        </is>
      </c>
      <c r="I142" s="547" t="n">
        <v>1</v>
      </c>
      <c r="J142" s="547" t="inlineStr">
        <is>
          <t>R-319</t>
        </is>
      </c>
      <c r="K142" s="547" t="inlineStr">
        <is>
          <t>Founder Stage 0</t>
        </is>
      </c>
      <c r="L142" s="547" t="inlineStr">
        <is>
          <t>task verify 1,146 tests (11 new in test_toggle_component.py); task lint + security:quick + env:check pass; builder:demo minimal-blog passes (57 files); builder:demo rideshare-favourites passes (54 files); offline/deterministic, 0 model calls.</t>
        </is>
      </c>
      <c r="M142" s="547" t="inlineStr">
        <is>
          <t>Generated Next.js web application accessible reusable toggle switch component. Reconstructed from Brief Sections 26, 27, 74, 77, 92.</t>
        </is>
      </c>
    </row>
    <row r="143" ht="34" customHeight="1" s="401">
      <c r="A143" s="547" t="inlineStr">
        <is>
          <t>R-319</t>
        </is>
      </c>
      <c r="B143" s="547" t="inlineStr">
        <is>
          <t>MVP</t>
        </is>
      </c>
      <c r="C143" s="547" t="inlineStr">
        <is>
          <t>Builder</t>
        </is>
      </c>
      <c r="D143" s="547" t="inlineStr">
        <is>
          <t>Generated Accessible Reusable Avatar Component (components/avatar.tsx)</t>
        </is>
      </c>
      <c r="E143" s="547" t="inlineStr">
        <is>
          <t>Provide visual user profiles, team member lists, and author badges across generated Next.js web applications: emit a standalone, reusable, accessible compound Avatar component (components/avatar.tsx) comprising Avatar and AvatarGroup, supporting shape variants ("circle" | "rounded" | "square"), standard sizes ("xs" | "sm" | "md" | "lg" | "xl"), presence status indicators ("online" | "offline" | "busy" | "away"), 3-tier fallback cascade (Image with onError -&gt; Initials with deterministic background color hashing -&gt; generic SVG vector silhouette), WAI-ARIA image and status semantics (role="img", aria-label, decorative icons aria-hidden="true"), AvatarGroup with max limit, overlapping negative margins, and excess overflow badge, 100% diff-invariance across ir.description, and 0 external dependencies.</t>
        </is>
      </c>
      <c r="F143" s="547" t="inlineStr">
        <is>
          <t>P1</t>
        </is>
      </c>
      <c r="G143" s="547" t="inlineStr">
        <is>
          <t>Codex</t>
        </is>
      </c>
      <c r="H143" s="547" t="inlineStr">
        <is>
          <t>Done</t>
        </is>
      </c>
      <c r="I143" s="547" t="n">
        <v>1</v>
      </c>
      <c r="J143" s="547" t="inlineStr">
        <is>
          <t>R-318</t>
        </is>
      </c>
      <c r="K143" s="547" t="inlineStr">
        <is>
          <t>Founder Stage 0</t>
        </is>
      </c>
      <c r="L143" s="547" t="inlineStr">
        <is>
          <t>task verify 1,135 tests (11 new in test_avatar_component.py); task lint + security:quick + env:check pass; builder:demo minimal-blog passes (56 files); builder:demo rideshare-favourites passes (53 files); offline/deterministic, 0 model calls.</t>
        </is>
      </c>
      <c r="M143" s="547" t="inlineStr">
        <is>
          <t>Generated Next.js web application accessible reusable avatar and avatar group component. Reconstructed from Brief Sections 26, 27, 74, 77, 92.</t>
        </is>
      </c>
    </row>
    <row r="144" ht="34" customHeight="1" s="401">
      <c r="A144" s="547" t="inlineStr">
        <is>
          <t>R-318</t>
        </is>
      </c>
      <c r="B144" s="547" t="inlineStr">
        <is>
          <t>MVP</t>
        </is>
      </c>
      <c r="C144" s="547" t="inlineStr">
        <is>
          <t>Builder</t>
        </is>
      </c>
      <c r="D144" s="547" t="inlineStr">
        <is>
          <t>Generated Accessible Reusable Drawer / Sheet Component (components/drawer.tsx)</t>
        </is>
      </c>
      <c r="E144" s="547" t="inlineStr">
        <is>
          <t>Provide slide-over inspection sheets, responsive side navigation, and subcollection filter panels across generated Next.js web applications: emit a standalone, reusable, accessible compound Drawer component (components/drawer.tsx) comprising Drawer, DrawerHeader, DrawerTitle, DrawerDescription, DrawerContent, and DrawerFooter, supporting position presets ("left" | "right" | "top" | "bottom"), standard responsive sizes ("sm" | "md" | "lg" | "xl" | "full"), WAI-ARIA modal dialog semantics (role="dialog", aria-modal="true", aria-labelledby, aria-describedby), backdrop overlay click dismiss, Escape key dismiss, accessible close button (aria-label="Close drawer"), body scroll locking, 100% diff-invariance across ir.description, and 0 external dependencies.</t>
        </is>
      </c>
      <c r="F144" s="547" t="inlineStr">
        <is>
          <t>P1</t>
        </is>
      </c>
      <c r="G144" s="547" t="inlineStr">
        <is>
          <t>Codex</t>
        </is>
      </c>
      <c r="H144" s="547" t="inlineStr">
        <is>
          <t>Done</t>
        </is>
      </c>
      <c r="I144" s="547" t="n">
        <v>1</v>
      </c>
      <c r="J144" s="547" t="inlineStr">
        <is>
          <t>R-317</t>
        </is>
      </c>
      <c r="K144" s="547" t="inlineStr">
        <is>
          <t>Founder Stage 0</t>
        </is>
      </c>
      <c r="L144" s="547" t="inlineStr">
        <is>
          <t>task verify 1,124 tests (11 new in test_drawer_component.py); task lint + security:quick + env:check pass; builder:demo minimal-blog passes (55 files); builder:demo rideshare-favourites passes (52 files); offline/deterministic, 0 model calls.</t>
        </is>
      </c>
      <c r="M144" s="547" t="inlineStr">
        <is>
          <t>Generated Next.js web application accessible reusable drawer / sheet component. Reconstructed from Brief Sections 26, 27, 74, 77, 92.</t>
        </is>
      </c>
    </row>
    <row r="145" ht="34" customHeight="1" s="401">
      <c r="A145" s="547" t="inlineStr">
        <is>
          <t>R-317</t>
        </is>
      </c>
      <c r="B145" s="547" t="inlineStr">
        <is>
          <t>MVP</t>
        </is>
      </c>
      <c r="C145" s="547" t="inlineStr">
        <is>
          <t>Builder</t>
        </is>
      </c>
      <c r="D145" s="547" t="inlineStr">
        <is>
          <t>Generated Accessible Reusable Skeleton Loader Component (components/skeleton.tsx)</t>
        </is>
      </c>
      <c r="E145" s="547" t="inlineStr">
        <is>
          <t>Prevent Cumulative Layout Shift (CLS) and provide smooth, perceptible loading states across generated Next.js web applications: emit a standalone, reusable, accessible compound Skeleton component (components/skeleton.tsx) comprising Skeleton, SkeletonText, SkeletonCard, and SkeletonTable, supporting visual shape variants ("text" | "circular" | "rectangular" | "rounded"), customizable animation modes ("pulse" | "wave" | "none"), WAI-ARIA loading semantics (role="status", aria-busy="true", aria-live="polite", and accessible visually-hidden screen-reader announcements), reduced-motion media query handling, 100% diff-invariance across ir.description, and 0 external dependencies.</t>
        </is>
      </c>
      <c r="F145" s="547" t="inlineStr">
        <is>
          <t>P1</t>
        </is>
      </c>
      <c r="G145" s="547" t="inlineStr">
        <is>
          <t>Codex</t>
        </is>
      </c>
      <c r="H145" s="547" t="inlineStr">
        <is>
          <t>Done</t>
        </is>
      </c>
      <c r="I145" s="547" t="n">
        <v>1</v>
      </c>
      <c r="J145" s="547" t="inlineStr">
        <is>
          <t>R-316</t>
        </is>
      </c>
      <c r="K145" s="547" t="inlineStr">
        <is>
          <t>Founder Stage 0</t>
        </is>
      </c>
      <c r="L145" s="547" t="inlineStr">
        <is>
          <t>task verify 1,113 tests (10 new in test_skeleton_component.py); task lint + security:quick + env:check pass; builder:demo minimal-blog passes (54 files); builder:demo rideshare-favourites passes (51 files); offline/deterministic, 0 model calls.</t>
        </is>
      </c>
      <c r="M145" s="547" t="inlineStr">
        <is>
          <t>Generated Next.js web application accessible reusable skeleton loader component. Reconstructed from Brief Sections 26, 27, 74, 77, 92.</t>
        </is>
      </c>
    </row>
    <row r="146" ht="34" customHeight="1" s="401">
      <c r="A146" s="547" t="inlineStr">
        <is>
          <t>R-316</t>
        </is>
      </c>
      <c r="B146" s="547" t="inlineStr">
        <is>
          <t>MVP</t>
        </is>
      </c>
      <c r="C146" s="547" t="inlineStr">
        <is>
          <t>Builder</t>
        </is>
      </c>
      <c r="D146" s="547" t="inlineStr">
        <is>
          <t>Generated Accessible Reusable Alert &amp; Notification Component (components/alert.tsx)</t>
        </is>
      </c>
      <c r="E146" s="547" t="inlineStr">
        <is>
          <t>Elevate contextual feedback, error communication, and operational messaging across generated Next.js web applications: emit a standalone, reusable, accessible compound Alert component (components/alert.tsx) comprising Alert, AlertTitle, and AlertDescription, supporting visual variants ("info" | "success" | "warning" | "error"), semantic WAI-ARIA alert and status roles (role="alert" for error, role="status" for info/success/warning; assertive/polite live regions), built-in SVG vector icons with aria-hidden="true", dismissible state with accessible close button (aria-label="Dismiss alert"), custom action slots, 100% diff-invariance across ir.description, and 0 external dependencies.</t>
        </is>
      </c>
      <c r="F146" s="547" t="inlineStr">
        <is>
          <t>P1</t>
        </is>
      </c>
      <c r="G146" s="547" t="inlineStr">
        <is>
          <t>Codex</t>
        </is>
      </c>
      <c r="H146" s="547" t="inlineStr">
        <is>
          <t>Done</t>
        </is>
      </c>
      <c r="I146" s="547" t="n">
        <v>1</v>
      </c>
      <c r="J146" s="547" t="inlineStr">
        <is>
          <t>R-315</t>
        </is>
      </c>
      <c r="K146" s="547" t="inlineStr">
        <is>
          <t>Founder Stage 0</t>
        </is>
      </c>
      <c r="L146" s="547" t="inlineStr">
        <is>
          <t>task verify 1,103 tests (10 new in test_alert_component.py); task lint + security:quick + env:check pass; builder:demo minimal-blog passes (53 files); builder:demo rideshare-favourites passes (50 files); offline/deterministic, 0 model calls.</t>
        </is>
      </c>
      <c r="M146" s="547" t="inlineStr">
        <is>
          <t>Generated Next.js web application accessible reusable alert component. Reconstructed from Brief Sections 26, 27, 74, 77, 92.</t>
        </is>
      </c>
    </row>
    <row r="147" ht="34" customHeight="1" s="401">
      <c r="A147" s="547" t="inlineStr">
        <is>
          <t>R-315</t>
        </is>
      </c>
      <c r="B147" s="547" t="inlineStr">
        <is>
          <t>MVP</t>
        </is>
      </c>
      <c r="C147" s="547" t="inlineStr">
        <is>
          <t>Builder</t>
        </is>
      </c>
      <c r="D147" s="547" t="inlineStr">
        <is>
          <t>Generated Accessible Reusable Card Component (components/card.tsx)</t>
        </is>
      </c>
      <c r="E147" s="547" t="inlineStr">
        <is>
          <t>Elevate surface structure, layout composition, and visual hierarchy across generated Next.js web applications: emit a standalone, reusable, accessible compound Card component (components/card.tsx) comprising Card, CardHeader, CardTitle, CardDescription, CardContent, and CardFooter, supporting visual variants ("default" | "bordered" | "flat" | "elevated"), padding presets ("none" | "sm" | "md" | "lg"), polymorphic tags (as?: "div" | "article" | "section"), interactive click affordance (onClick, keyboard Enter/Space activation, role="button", tabIndex), CardHeader with optional action slot, CardFooter with flex alignment ("left" | "right" | "between" | "center"), 100% diff-invariance across ir.description, and 0 external dependencies.</t>
        </is>
      </c>
      <c r="F147" s="547" t="inlineStr">
        <is>
          <t>P1</t>
        </is>
      </c>
      <c r="G147" s="547" t="inlineStr">
        <is>
          <t>Codex</t>
        </is>
      </c>
      <c r="H147" s="547" t="inlineStr">
        <is>
          <t>Done</t>
        </is>
      </c>
      <c r="I147" s="547" t="n">
        <v>1</v>
      </c>
      <c r="J147" s="547" t="inlineStr">
        <is>
          <t>R-314</t>
        </is>
      </c>
      <c r="K147" s="547" t="inlineStr">
        <is>
          <t>Founder Stage 0</t>
        </is>
      </c>
      <c r="L147" s="547" t="inlineStr">
        <is>
          <t>task verify 1,093 tests (11 new in test_card_component.py); task lint + security:quick + env:check pass; builder:demo minimal-blog passes (52 files); builder:demo rideshare-favourites passes (49 files); offline/deterministic, 0 model calls.</t>
        </is>
      </c>
      <c r="M147" s="547" t="inlineStr">
        <is>
          <t>Generated Next.js web application accessible reusable card component. Reconstructed from Brief Sections 26, 27, 74, 77, 92.</t>
        </is>
      </c>
    </row>
    <row r="148" ht="34" customHeight="1" s="401">
      <c r="A148" t="inlineStr">
        <is>
          <t>R-314</t>
        </is>
      </c>
      <c r="B148" t="inlineStr">
        <is>
          <t>MVP</t>
        </is>
      </c>
      <c r="C148" t="inlineStr">
        <is>
          <t>Builder</t>
        </is>
      </c>
      <c r="D148" t="inlineStr">
        <is>
          <t>Generated Accessible Reusable Tooltip Component (components/tooltip.tsx)</t>
        </is>
      </c>
      <c r="E148" t="inlineStr">
        <is>
          <t>Elevate micro-copy accessibility, user guidance, and design polish across generated Next.js web applications: emit a standalone, reusable, accessible Tooltip component (components/tooltip.tsx) conforming to WAI-ARIA 1.2 Tooltip design pattern (role="tooltip", aria-describedby linkage, escape key dismiss, hover and focus triggers), supporting position placement ("top" | "bottom" | "left" | "right"), customizable delay (delayMs), 100% diff-invariance across ir.description, and 0 external dependencies.</t>
        </is>
      </c>
      <c r="F148" t="inlineStr">
        <is>
          <t>P1</t>
        </is>
      </c>
      <c r="G148" t="inlineStr">
        <is>
          <t>Codex</t>
        </is>
      </c>
      <c r="H148" t="inlineStr">
        <is>
          <t>Done</t>
        </is>
      </c>
      <c r="I148" t="n">
        <v>1</v>
      </c>
      <c r="J148" t="inlineStr">
        <is>
          <t>R-313</t>
        </is>
      </c>
      <c r="K148" t="inlineStr">
        <is>
          <t>Founder Stage 0</t>
        </is>
      </c>
      <c r="L148" t="inlineStr">
        <is>
          <t>task verify 1,082 tests (8 new in test_tooltip_component.py); task lint + security:quick + env:check pass; builder:demo minimal-blog passes (51 files); builder:demo rideshare-favourites passes (48 files); offline/deterministic, 0 model calls.</t>
        </is>
      </c>
      <c r="M148" t="inlineStr">
        <is>
          <t>Generated Next.js web application accessible reusable tooltip component. Reconstructed from Brief Sections 26, 27, 74, 77, 92.</t>
        </is>
      </c>
    </row>
    <row r="149" ht="34" customHeight="1" s="401">
      <c r="A149" t="inlineStr">
        <is>
          <t>R-313</t>
        </is>
      </c>
      <c r="B149" t="inlineStr">
        <is>
          <t>MVP</t>
        </is>
      </c>
      <c r="C149" t="inlineStr">
        <is>
          <t>Builder</t>
        </is>
      </c>
      <c r="D149" t="inlineStr">
        <is>
          <t>Generated Collection Table Column Visibility Dropdown / Selector Controls</t>
        </is>
      </c>
      <c r="E149" t="inlineStr">
        <is>
          <t>Elevate tabular data scanning and customization across generated Next.js web applications: emit an accessible column visibility dropdown ("Columns ▾") in the collection toolbar with role="menu", aria-label="Column visibility options", aria-haspopup="true", and aria-expanded state, containing checkbox toggle controls for each data column, guarding against hiding all columns (minimum 1 visible column), conditionally rendering &lt;th&gt; headers and &lt;td&gt; cells, maintaining 100% diff-invariance across ir.description, and preserving full backwards compatibility with colSpan, selection checkboxes, and actions column.</t>
        </is>
      </c>
      <c r="F149" t="inlineStr">
        <is>
          <t>P1</t>
        </is>
      </c>
      <c r="G149" t="inlineStr">
        <is>
          <t>Codex</t>
        </is>
      </c>
      <c r="H149" t="inlineStr">
        <is>
          <t>Done</t>
        </is>
      </c>
      <c r="I149" t="n">
        <v>1</v>
      </c>
      <c r="J149" t="inlineStr">
        <is>
          <t>R-312</t>
        </is>
      </c>
      <c r="K149" t="inlineStr">
        <is>
          <t>Founder Stage 0</t>
        </is>
      </c>
      <c r="L149" t="inlineStr">
        <is>
          <t>task verify 1,074 tests (11 new in test_column_visibility.py); task lint + security:quick + env:check pass; builder:demo minimal-blog passes (50 files); builder:demo rideshare-favourites passes (47 files); offline/deterministic, 0 model calls.</t>
        </is>
      </c>
      <c r="M149" t="inlineStr">
        <is>
          <t>Generated Next.js web application collection table column visibility selector controls. Reconstructed from Brief Sections 26, 27, 74, 77, 92.</t>
        </is>
      </c>
    </row>
    <row r="150" ht="34" customHeight="1" s="401">
      <c r="A150" t="inlineStr">
        <is>
          <t>R-312</t>
        </is>
      </c>
      <c r="B150" t="inlineStr">
        <is>
          <t>MVP</t>
        </is>
      </c>
      <c r="C150" t="inlineStr">
        <is>
          <t>Builder</t>
        </is>
      </c>
      <c r="D150" t="inlineStr">
        <is>
          <t>Generated Accessible Reusable Badge &amp; Status Pill Component (components/badge.tsx)</t>
        </is>
      </c>
      <c r="E150" t="inlineStr">
        <is>
          <t>Elevate visual hierarchy, status signaling, and enterprise design consistency across generated Next.js web applications: emit a standalone, reusable, accessible Badge and Status Pill component (components/badge.tsx) conforming to WAI-ARIA status semantics (role="status", aria-label), supporting semantic variants (success, warning, error, info, neutral), dot indicator affordance with pulse opacity, compact/standard sizing (sm/md), 100% diff-invariance across ir.description, and 0 external dependencies.</t>
        </is>
      </c>
      <c r="F150" t="inlineStr">
        <is>
          <t>P1</t>
        </is>
      </c>
      <c r="G150" t="inlineStr">
        <is>
          <t>Codex</t>
        </is>
      </c>
      <c r="H150" t="inlineStr">
        <is>
          <t>Done</t>
        </is>
      </c>
      <c r="I150" t="n">
        <v>1</v>
      </c>
      <c r="J150" t="inlineStr">
        <is>
          <t>R-311</t>
        </is>
      </c>
      <c r="K150" t="inlineStr">
        <is>
          <t>Founder Stage 0</t>
        </is>
      </c>
      <c r="L150" t="inlineStr">
        <is>
          <t>task verify 1,063 tests (12 new in test_badge_component.py); task lint + security:quick + env:check pass; builder:demo minimal-blog passes (50 files); builder:demo rideshare-favourites passes (47 files); offline/deterministic, 0 model calls.</t>
        </is>
      </c>
      <c r="M150" t="inlineStr">
        <is>
          <t>Generated Next.js web application accessible reusable badge and status pill component. Reconstructed from Brief Sections 26, 27, 74, 77, 92.</t>
        </is>
      </c>
    </row>
    <row r="151" ht="34" customHeight="1" s="401">
      <c r="A151" t="inlineStr">
        <is>
          <t>R-311</t>
        </is>
      </c>
      <c r="B151" t="inlineStr">
        <is>
          <t>MVP</t>
        </is>
      </c>
      <c r="C151" t="inlineStr">
        <is>
          <t>Builder</t>
        </is>
      </c>
      <c r="D151" t="inlineStr">
        <is>
          <t>Generated Collection Table Display Density Toggle (Compact, Comfortable, Spacious)</t>
        </is>
      </c>
      <c r="E151" t="inlineStr">
        <is>
          <t>Elevate data scanning ergonomics and table readability across generated Next.js collection screens: add an interactive, accessible table display density toggle ("compact" | "comfortable" | "spacious") to the collection toolbar, computing dynamic cell padding (6px 12px, 12px 16px, 16px 20px) and table font size (13px vs 14px), with role="group", aria-label="Table display density", aria-pressed state attributes, and data-density attribute on &lt;table&gt;, strictly preserving backwards compatibility and diff-invariance.</t>
        </is>
      </c>
      <c r="F151" t="inlineStr">
        <is>
          <t>P1</t>
        </is>
      </c>
      <c r="G151" t="inlineStr">
        <is>
          <t>Codex</t>
        </is>
      </c>
      <c r="H151" t="inlineStr">
        <is>
          <t>Done</t>
        </is>
      </c>
      <c r="I151" t="n">
        <v>1</v>
      </c>
      <c r="J151" t="inlineStr">
        <is>
          <t>R-310</t>
        </is>
      </c>
      <c r="K151" t="inlineStr">
        <is>
          <t>Founder Stage 0</t>
        </is>
      </c>
      <c r="L151" t="inlineStr">
        <is>
          <t>task verify 1,051 tests (10 new in test_table_density.py); task lint + security:quick + env:check pass; builder:demo minimal-blog passes (49 files); builder:demo rideshare-favourites passes (46 files); offline/deterministic, 0 model calls.</t>
        </is>
      </c>
      <c r="M151" t="inlineStr">
        <is>
          <t>Generated Next.js web application collection screen table display density controls. Reconstructed from Brief Sections 26, 27, 74, 77, 92.</t>
        </is>
      </c>
    </row>
    <row r="152" ht="34" customHeight="1" s="401">
      <c r="A152" t="inlineStr">
        <is>
          <t>R-310</t>
        </is>
      </c>
      <c r="B152" t="inlineStr">
        <is>
          <t>MVP</t>
        </is>
      </c>
      <c r="C152" t="inlineStr">
        <is>
          <t>Builder</t>
        </is>
      </c>
      <c r="D152" t="inlineStr">
        <is>
          <t>Generated Accessible Reusable Tabs Component (components/tabs.tsx)</t>
        </is>
      </c>
      <c r="E152" t="inlineStr">
        <is>
          <t>Elevate navigation usability and multi-view accessibility across generated Next.js web applications: emit reusable Tabs and TabPanel components (components/tabs.tsx) conforming to WAI-ARIA 1.2 Tabs design pattern (role="tablist", role="tab", aria-selected, aria-controls, role="tabpanel", aria-labelledby, and arrow key navigation) supporting line and pills variants, 100% diff-invariance across ir.description, and 0 external dependencies.</t>
        </is>
      </c>
      <c r="F152" t="inlineStr">
        <is>
          <t>P1</t>
        </is>
      </c>
      <c r="G152" t="inlineStr">
        <is>
          <t>Codex</t>
        </is>
      </c>
      <c r="H152" t="inlineStr">
        <is>
          <t>Done</t>
        </is>
      </c>
      <c r="I152" t="n">
        <v>1</v>
      </c>
      <c r="J152" t="inlineStr">
        <is>
          <t>R-309</t>
        </is>
      </c>
      <c r="K152" t="inlineStr">
        <is>
          <t>Founder Stage 0</t>
        </is>
      </c>
      <c r="L152" t="inlineStr">
        <is>
          <t>task verify 1,041 tests (12 new in test_tabs_component.py); task lint + security:quick + env:check pass; builder:demo minimal-blog passes (49 files); builder:demo rideshare-favourites passes (46 files); offline/deterministic, 0 model calls.</t>
        </is>
      </c>
      <c r="M152" t="inlineStr">
        <is>
          <t>Generated Next.js web application accessible reusable tabs and tabpanel components. Reconstructed from Brief Sections 26, 27, 74, 77, 92.</t>
        </is>
      </c>
    </row>
    <row r="153" ht="34" customHeight="1" s="401">
      <c r="A153" t="inlineStr">
        <is>
          <t>R-309</t>
        </is>
      </c>
      <c r="B153" t="inlineStr">
        <is>
          <t>MVP</t>
        </is>
      </c>
      <c r="C153" t="inlineStr">
        <is>
          <t>Builder</t>
        </is>
      </c>
      <c r="D153" t="inlineStr">
        <is>
          <t>Generated Accessible Reusable Pagination Component (components/pagination.tsx)</t>
        </is>
      </c>
      <c r="E153" t="inlineStr">
        <is>
          <t>Elevate navigation usability and accessibility across generated Next.js web applications: emit a reusable Pagination component (components/pagination.tsx) conforming to WAI-ARIA 1.2 (&lt;nav aria-label="Pagination"&gt;, Previous/Next labeled buttons, aria-current="page" on current page button, direct page number jump buttons, and labeled page size select) with compact mode support, 100% diff-invariance across ir.description, and 0 external dependencies.</t>
        </is>
      </c>
      <c r="F153" t="inlineStr">
        <is>
          <t>P1</t>
        </is>
      </c>
      <c r="G153" t="inlineStr">
        <is>
          <t>Codex</t>
        </is>
      </c>
      <c r="H153" t="inlineStr">
        <is>
          <t>Done</t>
        </is>
      </c>
      <c r="I153" t="n">
        <v>1</v>
      </c>
      <c r="J153" t="inlineStr">
        <is>
          <t>R-308</t>
        </is>
      </c>
      <c r="K153" t="inlineStr">
        <is>
          <t>Founder Stage 0</t>
        </is>
      </c>
      <c r="L153" t="inlineStr">
        <is>
          <t>task verify 1,029 tests (12 new in test_pagination_component.py); task lint + security:quick + env:check pass; builder:demo minimal-blog passes (48 files); builder:demo rideshare-favourites passes (45 files); offline/deterministic, 0 model calls.</t>
        </is>
      </c>
      <c r="M153" t="inlineStr">
        <is>
          <t>Generated Next.js web application accessible reusable pagination component. Reconstructed from Brief Sections 26, 27, 74, 77, 92.</t>
        </is>
      </c>
    </row>
    <row r="154" ht="34" customHeight="1" s="401">
      <c r="A154" t="inlineStr">
        <is>
          <t>R-308</t>
        </is>
      </c>
      <c r="B154" t="inlineStr">
        <is>
          <t>MVP</t>
        </is>
      </c>
      <c r="C154" t="inlineStr">
        <is>
          <t>Builder</t>
        </is>
      </c>
      <c r="D154" t="inlineStr">
        <is>
          <t>Generated Collection Screen JSON Data Export &amp; Bulk Selection Export Controls</t>
        </is>
      </c>
      <c r="E154" t="inlineStr">
        <is>
          <t>Add handleExportJson helper, top toolbar Export JSON button, and bulk action bar Export JSON button with 2-space formatted JSON blob download and toast notification feedback in generated Next.js collection screens.</t>
        </is>
      </c>
      <c r="F154" t="inlineStr">
        <is>
          <t>P0</t>
        </is>
      </c>
      <c r="G154" t="inlineStr">
        <is>
          <t>Codex</t>
        </is>
      </c>
      <c r="H154" t="inlineStr">
        <is>
          <t>Done</t>
        </is>
      </c>
      <c r="I154" t="n">
        <v>1</v>
      </c>
      <c r="J154" t="inlineStr">
        <is>
          <t>None</t>
        </is>
      </c>
      <c r="K154" t="inlineStr">
        <is>
          <t>Founder Stage 0</t>
        </is>
      </c>
      <c r="L154" t="inlineStr">
        <is>
          <t>task verify: PASS (1017 tests); test_collection_json_export.py passing</t>
        </is>
      </c>
      <c r="M154" t="inlineStr">
        <is>
          <t>Implemented cleanly test-first with 0 npm dependencies, diff invariance, and all gates passing.</t>
        </is>
      </c>
    </row>
    <row r="155" ht="34" customHeight="1" s="401">
      <c r="A155" t="inlineStr">
        <is>
          <t>R-307</t>
        </is>
      </c>
      <c r="B155" t="inlineStr">
        <is>
          <t>MVP</t>
        </is>
      </c>
      <c r="C155" t="inlineStr">
        <is>
          <t>Builder</t>
        </is>
      </c>
      <c r="D155" t="inlineStr">
        <is>
          <t>Generated Accessible EmptyState Component &amp; Screen Zero-State Integrations</t>
        </is>
      </c>
      <c r="E155" t="inlineStr">
        <is>
          <t>Add reusable WAI-ARIA compliant EmptyState component in apps/web/components/empty-state.tsx with vector icon choices, title, description, and primary/secondary action dispatch. Wire into overview screen zero-state fallback.</t>
        </is>
      </c>
      <c r="F155" t="inlineStr">
        <is>
          <t>P0</t>
        </is>
      </c>
      <c r="G155" t="inlineStr">
        <is>
          <t>Codex</t>
        </is>
      </c>
      <c r="H155" t="inlineStr">
        <is>
          <t>Done</t>
        </is>
      </c>
      <c r="I155" t="n">
        <v>1</v>
      </c>
      <c r="J155" t="inlineStr">
        <is>
          <t>None</t>
        </is>
      </c>
      <c r="K155" t="inlineStr">
        <is>
          <t>Founder Stage 0</t>
        </is>
      </c>
      <c r="L155" t="inlineStr">
        <is>
          <t>task verify: PASS (1009 tests); test_empty_state.py passing</t>
        </is>
      </c>
      <c r="M155" t="inlineStr">
        <is>
          <t>Implemented cleanly test-first with 0 npm dependencies, diff invariance, and all gates passing.</t>
        </is>
      </c>
    </row>
    <row r="156" ht="34" customHeight="1" s="401">
      <c r="A156" t="inlineStr">
        <is>
          <t>R-306</t>
        </is>
      </c>
      <c r="B156" t="inlineStr">
        <is>
          <t>MVP</t>
        </is>
      </c>
      <c r="C156" t="inlineStr">
        <is>
          <t>Builder</t>
        </is>
      </c>
      <c r="D156" t="inlineStr">
        <is>
          <t>Generated Accessible Breadcrumb Navigation Component &amp; Screen Hierarchy</t>
        </is>
      </c>
      <c r="E156" t="inlineStr">
        <is>
          <t>Elevate navigation wayfinding and hierarchy across generated Next.js web applications: emit a reusable Breadcrumbs component (components/breadcrumbs.tsx) conforming to WAI-ARIA 1.2 breadcrumb design pattern (&lt;nav aria-label="Breadcrumb"&gt;, &lt;ol&gt;, &lt;li&gt;, separator (/), aria-current="page"); mount Breadcrumbs at the top of detail screens (Overview -&gt; Collection -&gt; Record item) and form screens (Overview -&gt; Collection -&gt; New/Edit item) while preserving existing navigation links for backwards compatibility. Fully deterministic, offline, and diff-invariant across ir.description.</t>
        </is>
      </c>
      <c r="F156" t="inlineStr">
        <is>
          <t>P1</t>
        </is>
      </c>
      <c r="G156" t="inlineStr">
        <is>
          <t>Claude (Opus 4.8)</t>
        </is>
      </c>
      <c r="H156" t="inlineStr">
        <is>
          <t>Done</t>
        </is>
      </c>
      <c r="I156" t="n">
        <v>1</v>
      </c>
      <c r="J156" t="inlineStr">
        <is>
          <t>R-305</t>
        </is>
      </c>
      <c r="K156" t="inlineStr">
        <is>
          <t>Founder Stage 0</t>
        </is>
      </c>
      <c r="L156" t="inlineStr">
        <is>
          <t>task verify 998 tests (9 new in test_breadcrumbs.py); task lint + security:quick + env:check pass; builder:demo minimal-blog passes (46 files); components/breadcrumbs.tsx inspected; offline/deterministic, 0 model calls.</t>
        </is>
      </c>
      <c r="M156" t="inlineStr">
        <is>
          <t>Generated Next.js web application breadcrumb navigation component and screen hierarchy. Reconstructed from Brief Sections 26, 27, 74, 77, 92.</t>
        </is>
      </c>
    </row>
    <row r="157" ht="34" customHeight="1" s="401">
      <c r="A157" t="inlineStr">
        <is>
          <t>R-305</t>
        </is>
      </c>
      <c r="B157" t="inlineStr">
        <is>
          <t>MVP</t>
        </is>
      </c>
      <c r="C157" t="inlineStr">
        <is>
          <t>Builder</t>
        </is>
      </c>
      <c r="D157" t="inlineStr">
        <is>
          <t>Generated Keyboard Shortcuts Help Modal &amp; Global Discovery Affordance</t>
        </is>
      </c>
      <c r="E157" t="inlineStr">
        <is>
          <t>Elevate keyboard discoverability and power-user accessibility across generated Next.js web applications: emit a reusable ShortcutsDialog component (components/shortcuts-dialog.tsx) rendering an accessible WAI-ARIA modal dialog (role=dialog, aria-modal=true, Escape dismiss, backdrop dismiss) with styled &lt;kbd&gt; badges grouping shortcuts across Global Navigation, Collection Screens, Record Detail Screens, and Form Editor Screens; wire a global "?" hotkey listener in the application navbar shell (active outside text inputs) and render an accessible "Shortcuts (?)" trigger button in the navbar header next to the quick-create CTA. Fully deterministic, offline, and diff-invariant across ir.description.</t>
        </is>
      </c>
      <c r="F157" t="inlineStr">
        <is>
          <t>P1</t>
        </is>
      </c>
      <c r="G157" t="inlineStr">
        <is>
          <t>Claude (Opus 4.8)</t>
        </is>
      </c>
      <c r="H157" t="inlineStr">
        <is>
          <t>Done</t>
        </is>
      </c>
      <c r="I157" t="n">
        <v>1</v>
      </c>
      <c r="J157" t="inlineStr">
        <is>
          <t>R-304</t>
        </is>
      </c>
      <c r="K157" t="inlineStr">
        <is>
          <t>Founder Stage 0</t>
        </is>
      </c>
      <c r="L157" t="inlineStr">
        <is>
          <t>task verify 989 tests (14 new in test_shortcuts_dialog.py); task lint + security:quick + env:check pass; builder:demo minimal-blog passes; components/shortcuts-dialog.tsx inspected; offline/deterministic, 0 model calls.</t>
        </is>
      </c>
      <c r="M157" t="inlineStr">
        <is>
          <t>Generated Next.js web application keyboard shortcut discovery, modal documentation, and accessibility. Reconstructed from Brief Sections 26, 27, 74, 77, 92.</t>
        </is>
      </c>
    </row>
    <row r="158" ht="34" customHeight="1" s="401">
      <c r="A158" t="inlineStr">
        <is>
          <t>R-304</t>
        </is>
      </c>
      <c r="B158" t="inlineStr">
        <is>
          <t>MVP</t>
        </is>
      </c>
      <c r="C158" t="inlineStr">
        <is>
          <t>Builder</t>
        </is>
      </c>
      <c r="D158" t="inlineStr">
        <is>
          <t>Generated Accessible Confirmation Dialog — Replace window.confirm() with ConfirmDialog Component</t>
        </is>
      </c>
      <c r="E158" t="inlineStr">
        <is>
          <t>Replace crude, blocking window.confirm() browser prompts with an accessible, modal confirmation dialog component (components/confirm-dialog.tsx) and useConfirm hook across all generated Next.js web application screens: collection screens (single item delete and batch delete), detail screens (record delete and subcollection item delete), and form screens (unsaved-changes guard on Cancel, Escape key, and Reset). Full keyboard accessibility (FocusTrap, Escape dismiss, autoFocus confirm button), WAI-ARIA modal dialog compliance, danger/neutral intent variants, and asynchronous Promise&lt;boolean&gt; resolution. 100% offline, zero npm dependencies, diff-invariant across ir.description.</t>
        </is>
      </c>
      <c r="F158" t="inlineStr">
        <is>
          <t>P1</t>
        </is>
      </c>
      <c r="G158" t="inlineStr">
        <is>
          <t>Claude (Opus 4.8)</t>
        </is>
      </c>
      <c r="H158" t="inlineStr">
        <is>
          <t>Done</t>
        </is>
      </c>
      <c r="I158" t="n">
        <v>1</v>
      </c>
      <c r="J158" t="inlineStr">
        <is>
          <t>R-303</t>
        </is>
      </c>
      <c r="K158" t="inlineStr">
        <is>
          <t>Founder Stage 0</t>
        </is>
      </c>
      <c r="L158" t="inlineStr">
        <is>
          <t>task verify 975 tests (31 new in test_confirm_dialog.py); task lint + security:quick + env:check pass; builder:demo minimal-blog passes; zero window.confirm() in screens; offline/deterministic, 0 model calls.</t>
        </is>
      </c>
      <c r="M158" t="inlineStr">
        <is>
          <t>Generated Next.js web application modal confirmation dialog, accessibility, and destructive action safety. Reconstructed from Brief Sections 26, 27, 74, 77, 92.</t>
        </is>
      </c>
    </row>
    <row r="159" ht="34" customHeight="1" s="401">
      <c r="A159" t="inlineStr">
        <is>
          <t>R-303</t>
        </is>
      </c>
      <c r="B159" t="inlineStr">
        <is>
          <t>MVP</t>
        </is>
      </c>
      <c r="C159" t="inlineStr">
        <is>
          <t>Builder</t>
        </is>
      </c>
      <c r="D159" t="inlineStr">
        <is>
          <t>Generated Dashboard Overview Interactive Entity Links, Operational Health Badge &amp; Metrics Chips</t>
        </is>
      </c>
      <c r="E159" t="inlineStr">
        <is>
          <t>Elevate navigation flow and operational trust in generated Next.js dashboard overview pages (app/page.tsx): listable entity summary cards dynamically link directly to their corresponding collection screen when available (with uppercase entity tag, live total count, and interactive View all affordance) or render as styled summary cards when unlinked; overview header renders a live operational health badge (System Operational with green indicator dot) alongside summary metrics counters for total entities and total screens; screen nav cards render visual navigation arrow indicators (&amp;rarr;); clean zero-state fallback when neither entities nor screens are configured. Fully deterministic, offline, and diff-invariant across ir.description.</t>
        </is>
      </c>
      <c r="F159" t="inlineStr">
        <is>
          <t>P1</t>
        </is>
      </c>
      <c r="G159" t="inlineStr">
        <is>
          <t>Claude (Opus 4.8)</t>
        </is>
      </c>
      <c r="H159" t="inlineStr">
        <is>
          <t>Done</t>
        </is>
      </c>
      <c r="I159" t="n">
        <v>1</v>
      </c>
      <c r="J159" t="inlineStr">
        <is>
          <t>R-302</t>
        </is>
      </c>
      <c r="K159" t="inlineStr">
        <is>
          <t>Founder Stage 0</t>
        </is>
      </c>
      <c r="L159" t="inlineStr">
        <is>
          <t>task verify 944 tests (9 new in test_overview_dashboard_links_and_health.py); task lint + security:quick + env:check pass; builder:demo minimal-blog + rideshare-favourites pass; generated interactive entity cards, health badge, and metrics inspected; offline/deterministic, 0 model calls.</t>
        </is>
      </c>
      <c r="M159" t="inlineStr">
        <is>
          <t>Generated Next.js web application overview dashboard interactivity, operational health signaling, and metrics counters increment. Reconstructed from Brief Sections 26, 27, 74, 77, 92.</t>
        </is>
      </c>
    </row>
    <row r="160" ht="34" customHeight="1" s="401">
      <c r="A160" t="inlineStr">
        <is>
          <t>R-302</t>
        </is>
      </c>
      <c r="B160" t="inlineStr">
        <is>
          <t>MVP</t>
        </is>
      </c>
      <c r="C160" t="inlineStr">
        <is>
          <t>Builder</t>
        </is>
      </c>
      <c r="D160" t="inlineStr">
        <is>
          <t>Generated Collection Screen Boolean &amp; Enum Visual Status Badges &amp; Detail Screen One-Click Copy-to-Clipboard Affordances</t>
        </is>
      </c>
      <c r="E160" t="inlineStr">
        <is>
          <t>Elevate visual hierarchy, data readability, and operational workflow in generated Next.js web application screens: collection table cells and master-detail subcollection cards render styled visual status pill badges for boolean fields (emerald Yes / slate No) and categorical pill badges for enum fields (blue border/background with formatted text value); detail screens render an accessible one-click Copy ID button beside the record heading and inline copy affordance on ID fields in definition list with toast feedback and fallback. Fully deterministic, offline, and diff-invariant across ir.description.</t>
        </is>
      </c>
      <c r="F160" t="inlineStr">
        <is>
          <t>P1</t>
        </is>
      </c>
      <c r="G160" t="inlineStr">
        <is>
          <t>Claude (Opus 4.8)</t>
        </is>
      </c>
      <c r="H160" t="inlineStr">
        <is>
          <t>Done</t>
        </is>
      </c>
      <c r="I160" t="n">
        <v>1</v>
      </c>
      <c r="J160" t="inlineStr">
        <is>
          <t>R-301</t>
        </is>
      </c>
      <c r="K160" t="inlineStr">
        <is>
          <t>Founder Stage 0</t>
        </is>
      </c>
      <c r="L160" t="inlineStr">
        <is>
          <t>task verify 935 tests (7 new in test_status_badges_and_copy_clipboard.py); task lint + security:quick + env:check pass; builder:demo minimal-blog + rideshare-favourites pass; generated boolean &amp; enum status badges and detail copy affordances inspected; offline/deterministic, 0 model calls.</t>
        </is>
      </c>
      <c r="M160" t="inlineStr">
        <is>
          <t>Generated Next.js web application visual hierarchy, status signaling, and detail copy workflow increment. Reconstructed from Brief Sections 26, 27, 74, 77, 92.</t>
        </is>
      </c>
    </row>
    <row r="161" ht="34" customHeight="1" s="401">
      <c r="A161" t="inlineStr">
        <is>
          <t>R-301</t>
        </is>
      </c>
      <c r="B161" t="inlineStr">
        <is>
          <t>MVP</t>
        </is>
      </c>
      <c r="C161" t="inlineStr">
        <is>
          <t>Builder</t>
        </is>
      </c>
      <c r="D161" t="inlineStr">
        <is>
          <t>Generated Web Search Input Clear Affordances &amp; Form Screen First-Field AutoFocus</t>
        </is>
      </c>
      <c r="E161" t="inlineStr">
        <is>
          <t>Enhance user experience and keyboard workflow across generated Next.js web application screens: collection search form renders an interactive Clear (×) button when searchInput is non-empty, resetting query, committing search, and refocusing input on click; subcollection search form renders an interactive Clear (×) button clearing active subcollection search; form screens automatically emit autoFocus on the first editable field (text, textarea, number, select, or checkbox) to enable immediate keyboard entry upon entering create/edit forms. Fully deterministic, offline, and diff-invariant across ir.description.</t>
        </is>
      </c>
      <c r="F161" t="inlineStr">
        <is>
          <t>P1</t>
        </is>
      </c>
      <c r="G161" t="inlineStr">
        <is>
          <t>Claude (Opus 4.8)</t>
        </is>
      </c>
      <c r="H161" t="inlineStr">
        <is>
          <t>Done</t>
        </is>
      </c>
      <c r="I161" t="n">
        <v>1</v>
      </c>
      <c r="J161" t="inlineStr">
        <is>
          <t>R-300</t>
        </is>
      </c>
      <c r="K161" t="inlineStr">
        <is>
          <t>Founder Stage 0</t>
        </is>
      </c>
      <c r="L161" t="inlineStr">
        <is>
          <t>task verify 928 tests (6 new in test_search_clear_and_form_autofocus.py); task lint + security:quick + env:check pass; builder:demo minimal-blog + rideshare-favourites pass; generated search clear affordances and form first-field autofocus inspected; offline/deterministic, 0 model calls.</t>
        </is>
      </c>
      <c r="M161" t="inlineStr">
        <is>
          <t>Generated Next.js web application accessibility, search usability, and form entry keyboard flow increment. Reconstructed from Brief Sections 26, 27, 74, 77, 92.</t>
        </is>
      </c>
    </row>
    <row r="162" ht="34" customHeight="1" s="401">
      <c r="A162" t="inlineStr">
        <is>
          <t>R-300</t>
        </is>
      </c>
      <c r="B162" t="inlineStr">
        <is>
          <t>MVP</t>
        </is>
      </c>
      <c r="C162" t="inlineStr">
        <is>
          <t>Builder</t>
        </is>
      </c>
      <c r="D162" t="inlineStr">
        <is>
          <t>Generated Form Screen Input Constraints, Native HTML Validation &amp; Live Character Counters</t>
        </is>
      </c>
      <c r="E162" t="inlineStr">
        <is>
          <t>Enforce schema-derived field validation rules natively in Next.js form screens: string and text fields with max_length emit maxLength HTML attributes, max-character badges, and live character counters ({length}/{max_length}) with amber warning coloring when exceeding 90% threshold; numeric fields with min/max rules emit min and max HTML attributes and range badges; unconstrained fields preserve existing markup byte-identically. Fully deterministic, offline, and diff-invariant across ir.description.</t>
        </is>
      </c>
      <c r="F162" t="inlineStr">
        <is>
          <t>P1</t>
        </is>
      </c>
      <c r="G162" t="inlineStr">
        <is>
          <t>Claude (Opus 4.8)</t>
        </is>
      </c>
      <c r="H162" t="inlineStr">
        <is>
          <t>Done</t>
        </is>
      </c>
      <c r="I162" t="n">
        <v>1</v>
      </c>
      <c r="J162" t="inlineStr">
        <is>
          <t>R-299</t>
        </is>
      </c>
      <c r="K162" t="inlineStr">
        <is>
          <t>Founder Stage 0</t>
        </is>
      </c>
      <c r="L162" t="inlineStr">
        <is>
          <t>task verify 922 tests (6 new in test_form_input_constraints.py); task lint + security:quick + env:check pass; builder:demo minimal-blog + rideshare-favourites pass; generated form screen input constraints and live character counters inspected; offline/deterministic, 0 model calls.</t>
        </is>
      </c>
      <c r="M162" t="inlineStr">
        <is>
          <t>Generated Next.js web application field validation and UX fidelity increment. Reconstructed from Brief Sections 26, 27, 74, 77, 92.</t>
        </is>
      </c>
    </row>
    <row r="163" ht="34" customHeight="1" s="401">
      <c r="A163" t="inlineStr">
        <is>
          <t>R-299</t>
        </is>
      </c>
      <c r="B163" t="inlineStr">
        <is>
          <t>MVP</t>
        </is>
      </c>
      <c r="C163" t="inlineStr">
        <is>
          <t>Builder</t>
        </is>
      </c>
      <c r="D163" t="inlineStr">
        <is>
          <t>Generated Form Screen Keyboard Shortcuts: Cmd/Ctrl+Enter, Cmd/Ctrl+S &amp; Escape Cancel</t>
        </is>
      </c>
      <c r="E163" t="inlineStr">
        <is>
          <t>Wire power-user keyboard navigation and shortcuts in generated Next.js form screens: Cmd+Enter / Ctrl+Enter triggers form submission (requestSubmit); Cmd+S / Ctrl+S triggers form submission and prevents browser Save Page As dialog; Escape while focused inside editable fields (INPUT, TEXTAREA, SELECT) blurs the active field; Escape outside text inputs triggers Cancel navigation to parent list/overview with unsaved changes confirmation when dirty; full event listener cleanup on unmount. Fully deterministic, offline, and diff-invariant across ir.description.</t>
        </is>
      </c>
      <c r="F163" t="inlineStr">
        <is>
          <t>P1</t>
        </is>
      </c>
      <c r="G163" t="inlineStr">
        <is>
          <t>Claude (Opus 4.8)</t>
        </is>
      </c>
      <c r="H163" t="inlineStr">
        <is>
          <t>Done</t>
        </is>
      </c>
      <c r="I163" t="n">
        <v>1</v>
      </c>
      <c r="J163" t="inlineStr">
        <is>
          <t>R-298</t>
        </is>
      </c>
      <c r="K163" t="inlineStr">
        <is>
          <t>Founder Stage 0</t>
        </is>
      </c>
      <c r="L163" t="inlineStr">
        <is>
          <t>task verify 916 tests (7 new in test_form_keyboard_shortcuts.py); task lint + security:quick + env:check pass; builder:demo minimal-blog + rideshare-favourites pass; generated form screen keyboard listener and shortcuts inspected; offline/deterministic, 0 model calls.</t>
        </is>
      </c>
      <c r="M163" t="inlineStr">
        <is>
          <t>Generated Next.js web application power-user accessibility and keyboard navigation increment. Reconstructed from Brief Sections 26, 27, 74, 77, 92.</t>
        </is>
      </c>
    </row>
    <row r="164" ht="34" customHeight="1" s="401">
      <c r="A164" t="inlineStr">
        <is>
          <t>R-298</t>
        </is>
      </c>
      <c r="B164" t="inlineStr">
        <is>
          <t>MVP</t>
        </is>
      </c>
      <c r="C164" t="inlineStr">
        <is>
          <t>Builder</t>
        </is>
      </c>
      <c r="D164" t="inlineStr">
        <is>
          <t>Generated Detail Screen Keyboard Navigation &amp; Shortcuts</t>
        </is>
      </c>
      <c r="E164" t="inlineStr">
        <is>
          <t>Wire power-user keyboard navigation and shortcuts in generated Next.js detail screens: ArrowLeft / [ navigates to previous record when available; ArrowRight / ] navigates to next record when available; "e" / "E" jumps to edit mode when record update and form screen are available; Escape deselects the current record; keystrokes are ignored when focused in editable elements (INPUT, TEXTAREA, SELECT, contentEditable); full event listener cleanup on unmount. Fully deterministic, offline, and diff-invariant across ir.description.</t>
        </is>
      </c>
      <c r="F164" t="inlineStr">
        <is>
          <t>P1</t>
        </is>
      </c>
      <c r="G164" t="inlineStr">
        <is>
          <t>Claude (Opus 4.8)</t>
        </is>
      </c>
      <c r="H164" t="inlineStr">
        <is>
          <t>Done</t>
        </is>
      </c>
      <c r="I164" t="n">
        <v>1</v>
      </c>
      <c r="J164" t="inlineStr">
        <is>
          <t>R-297</t>
        </is>
      </c>
      <c r="K164" t="inlineStr">
        <is>
          <t>Founder Stage 0</t>
        </is>
      </c>
      <c r="L164" t="inlineStr">
        <is>
          <t>task verify 909 tests (7 new in test_detail_keyboard_navigation.py); task lint + security:quick + env:check pass; builder:demo minimal-blog + rideshare-favourites pass; generated detail screen keyboard listener and shortcuts inspected; offline/deterministic, 0 model calls.</t>
        </is>
      </c>
      <c r="M164" t="inlineStr">
        <is>
          <t>Generated Next.js web application power-user accessibility and keyboard navigation increment. Reconstructed from Brief Sections 26, 27, 74, 77, 92.</t>
        </is>
      </c>
    </row>
    <row r="165" ht="34" customHeight="1" s="401">
      <c r="A165" s="554" t="inlineStr">
        <is>
          <t>R-297</t>
        </is>
      </c>
      <c r="B165" s="554" t="inlineStr">
        <is>
          <t>MVP</t>
        </is>
      </c>
      <c r="C165" s="554" t="inlineStr">
        <is>
          <t>Builder</t>
        </is>
      </c>
      <c r="D165" s="554" t="inlineStr">
        <is>
          <t>Generated Collection Keyboard Navigation &amp; Shortcuts</t>
        </is>
      </c>
      <c r="E165" s="554" t="inlineStr">
        <is>
          <t>Wire keyboard shortcuts in generated Next.js collection screens: "/" focuses search input and prevents "/" keypress insertion; "Escape" clears active search and blurs when search input is focused; "Escape" outside text inputs clears all active filters when filters are present. Fully deterministic, offline, and diff-invariant across ir.description.</t>
        </is>
      </c>
      <c r="F165" s="554" t="inlineStr">
        <is>
          <t>P1</t>
        </is>
      </c>
      <c r="G165" s="554" t="inlineStr">
        <is>
          <t>Claude (Opus 4.8)</t>
        </is>
      </c>
      <c r="H165" s="554" t="inlineStr">
        <is>
          <t>Done</t>
        </is>
      </c>
      <c r="I165" s="555" t="n">
        <v>1</v>
      </c>
      <c r="J165" s="554" t="inlineStr">
        <is>
          <t>R-296</t>
        </is>
      </c>
      <c r="K165" s="554" t="inlineStr">
        <is>
          <t>Founder Stage 0</t>
        </is>
      </c>
      <c r="L165" s="554" t="inlineStr">
        <is>
          <t>task verify 902 tests (8 new in test_collection_keyboard_navigation.py); task lint + security:quick + env:check pass; builder:demo minimal-blog + rideshare-favourites pass; generated collection keyboard listener and search ref inspected; offline/deterministic, 0 model calls.</t>
        </is>
      </c>
      <c r="M165" s="554" t="inlineStr">
        <is>
          <t>Generated Next.js web application power-user accessibility and keyboard navigation increment. Reconstructed from Brief Sections 26, 27, 74, 77, 92.</t>
        </is>
      </c>
    </row>
    <row r="166" ht="34" customHeight="1" s="401">
      <c r="A166" s="554" t="inlineStr">
        <is>
          <t>R-296</t>
        </is>
      </c>
      <c r="B166" s="554" t="inlineStr">
        <is>
          <t>MVP</t>
        </is>
      </c>
      <c r="C166" s="554" t="inlineStr">
        <is>
          <t>Builder</t>
        </is>
      </c>
      <c r="D166" s="554" t="inlineStr">
        <is>
          <t>Generated Web App Accessibility Pass: Semantic ARIA Roles, Live Regions, Table Sort State &amp; Accessible Controls</t>
        </is>
      </c>
      <c r="E166" s="554" t="inlineStr">
        <is>
          <t>Brings the generated Next.js web application to enterprise accessibility standards (WCAG 2.1 AA / WAI-ARIA best practices) across all screen types: error banners (collection top-level, detail main, subcollections, form submission) emit role="alert" and aria-live="assertive" for immediate assistive announcement; search inputs emit aria-label="Search &lt;plural&gt;" and aria-label="Search &lt;child_plural&gt;"; sortable table column headers emit dynamic WAI-ARIA aria-sort state matching active params; pagination footers are wrapped in &lt;nav aria-label="Pagination"&gt; with accessible Previous/Next button labels; and empty-state list messages emit role="status". All existing text labels, retry buttons, skeletons, and hook signatures are strictly preserved; 100% diff-invariant across ir.description.</t>
        </is>
      </c>
      <c r="F166" s="554" t="inlineStr">
        <is>
          <t>P1</t>
        </is>
      </c>
      <c r="G166" s="554" t="inlineStr">
        <is>
          <t>Claude (Opus 4.8)</t>
        </is>
      </c>
      <c r="H166" s="554" t="inlineStr">
        <is>
          <t>Done</t>
        </is>
      </c>
      <c r="I166" s="555" t="n">
        <v>1</v>
      </c>
      <c r="J166" s="554" t="inlineStr">
        <is>
          <t>R-295</t>
        </is>
      </c>
      <c r="K166" s="554" t="inlineStr">
        <is>
          <t>Founder Stage 0</t>
        </is>
      </c>
      <c r="L166" s="554" t="inlineStr">
        <is>
          <t>task verify 894 tests (13 new in test_screen_accessibility.py); task lint + security:quick + env:check pass; builder:demo minimal-blog + rideshare-favourites pass; generated collection, detail, subcollection, and form ARIA attributes inspected; impl 002e90a; offline/deterministic, 0 model calls.</t>
        </is>
      </c>
      <c r="M166" s="554" t="inlineStr">
        <is>
          <t>Founder-authorized autonomous continuation; generated-app accessibility and WCAG/WAI-ARIA robustness increment. Reconstructed from Brief Sections 26, 27, 74, 77, 92.</t>
        </is>
      </c>
    </row>
    <row r="167" ht="34" customHeight="1" s="401">
      <c r="A167" s="419" t="inlineStr">
        <is>
          <t>R-295</t>
        </is>
      </c>
      <c r="B167" s="419" t="inlineStr">
        <is>
          <t>MVP</t>
        </is>
      </c>
      <c r="C167" s="419" t="inlineStr">
        <is>
          <t>Builder</t>
        </is>
      </c>
      <c r="D167" s="419" t="inlineStr">
        <is>
          <t>Consistent Error + Retry Affordance Across Every Generated Fetch State</t>
        </is>
      </c>
      <c r="E167" s="419" t="inlineStr">
        <is>
          <t>Brings every generated data-fetch error state to parity with the collection list, which already rendered a 'Retry' button calling refetch(). The detail-screen main error banner (_detail_screen_page) now shows 'Error loading &lt;name&gt;: &lt;message&gt;' in a &lt;span&gt; beside a Retry button calling refetch(), and both subcollection (master-detail) error banners — the collection master-detail block and the detail block, byte-identical — now show 'Error: &lt;message&gt;' in a &lt;span&gt; beside a Retry button calling &lt;s_var&gt;.refetch(). Retry buttons reuse the collection banner's flex layout and dark-red (#991b1b) styling. The collection top-level error banner, loading/empty/data states, delete-error toasts, and form field errors are unchanged. No hook/API-client/backend/IR change (refetch already exists on every affected hook); diff-invariant across ir.description.</t>
        </is>
      </c>
      <c r="F167" s="419" t="inlineStr">
        <is>
          <t>P1</t>
        </is>
      </c>
      <c r="G167" s="419" t="inlineStr">
        <is>
          <t>Claude (Opus 4.8)</t>
        </is>
      </c>
      <c r="H167" s="419" t="inlineStr">
        <is>
          <t>Done</t>
        </is>
      </c>
      <c r="I167" s="420" t="n">
        <v>1</v>
      </c>
      <c r="J167" s="419" t="inlineStr">
        <is>
          <t>R-294</t>
        </is>
      </c>
      <c r="K167" s="419" t="inlineStr">
        <is>
          <t>Founder Stage 0</t>
        </is>
      </c>
      <c r="L167" s="419" t="inlineStr">
        <is>
          <t>task verify 881 tests (8 new in test_fetch_error_retry.py; subcollection error banner updated via replace_all at both render sites; existing commentsSubcol.error.message assertion preserved); task lint + security:quick + env:check pass; builder:demo minimal-blog + rideshare-favourites pass; generated detail + subcollection error banners inspected; impl 2454a43; offline/deterministic, 0 model calls.</t>
        </is>
      </c>
      <c r="M167" s="419" t="inlineStr">
        <is>
          <t>Founder-authorized autonomous continuation; completes the error side to match the R-292/293 loading-skeleton coverage. Reconstructed from Brief Sections 26, 27, 74, 77, 92.</t>
        </is>
      </c>
    </row>
    <row r="168" ht="34" customHeight="1" s="401">
      <c r="A168" s="419" t="inlineStr">
        <is>
          <t>R-294</t>
        </is>
      </c>
      <c r="B168" s="419" t="inlineStr">
        <is>
          <t>MVP</t>
        </is>
      </c>
      <c r="C168" s="419" t="inlineStr">
        <is>
          <t>Builder</t>
        </is>
      </c>
      <c r="D168" s="419" t="inlineStr">
        <is>
          <t>Generated Next.js App Router Resilience: Error Boundary, Global Error, Not-Found &amp; Loading Fallback</t>
        </is>
      </c>
      <c r="E168" s="419" t="inlineStr">
        <is>
          <t>Emits the four Next.js App Router 'special files' the generated web app was missing, giving every generated app real runtime resilience: app/error.tsx (route-segment error boundary, client component, with a reset() 'Try again' recovery and a 'Back to overview' link, logging via useEffect), app/global-error.tsx (root-layout error boundary, client component, rendering its own &lt;html&gt;/&lt;body&gt; and a reset() recovery), app/not-found.tsx (friendly 404, server component, linking back to '/'), and app/loading.tsx (route-level Suspense fallback, server component, reusing the R-292/293 skeleton palette #e2e8f0 / #f1f5f9 with an opacity ramp). All four are static, inline-styled to match the app aesthetic, dependency-free, and never reference ir.name/ir.description — so generation is deterministic, description-only-stable, and they never enter the console-snapshot edit diff. Templates are module constants with render_* accessors exported from codegen (mirroring render_toast_component). No existing file/hook/API-client/backend/IR change.</t>
        </is>
      </c>
      <c r="F168" s="419" t="inlineStr">
        <is>
          <t>P1</t>
        </is>
      </c>
      <c r="G168" s="419" t="inlineStr">
        <is>
          <t>Claude (Opus 4.8)</t>
        </is>
      </c>
      <c r="H168" s="419" t="inlineStr">
        <is>
          <t>Done</t>
        </is>
      </c>
      <c r="I168" s="420" t="n">
        <v>1</v>
      </c>
      <c r="J168" s="419" t="inlineStr">
        <is>
          <t>R-293</t>
        </is>
      </c>
      <c r="K168" s="419" t="inlineStr">
        <is>
          <t>Founder Stage 0</t>
        </is>
      </c>
      <c r="L168" s="419" t="inlineStr">
        <is>
          <t>task verify 873 tests (9 new in test_app_router_resilience.py; no existing assertion changed; console-snapshot description-edit diff set unchanged); task lint + security:quick + env:check pass; builder:demo minimal-blog + rideshare-favourites pass; generated error/global-error/not-found/loading TypeScript inspected; impl c49bc5c; offline/deterministic, 0 model calls.</t>
        </is>
      </c>
      <c r="M168" s="419" t="inlineStr">
        <is>
          <t>Founder-authorized autonomous continuation; generated-app runtime robustness increment. Reconstructed from Brief Sections 26, 27, 74, 77, 92.</t>
        </is>
      </c>
    </row>
    <row r="169" ht="34" customHeight="1" s="401">
      <c r="A169" s="419" t="inlineStr">
        <is>
          <t>R-293</t>
        </is>
      </c>
      <c r="B169" s="419" t="inlineStr">
        <is>
          <t>MVP</t>
        </is>
      </c>
      <c r="C169" s="419" t="inlineStr">
        <is>
          <t>Builder</t>
        </is>
      </c>
      <c r="D169" s="419" t="inlineStr">
        <is>
          <t>Loading Skeletons for Form Initial Load &amp; Detail Record-Selector List</t>
        </is>
      </c>
      <c r="E169" s="419" t="inlineStr">
        <is>
          <t>Completes the R-292 skeleton coverage by replacing the two remaining plain 'Loading...' text spots in the generated Next.js app with layout-preserving skeleton placeholders: the form edit-mode initial-load banner (isEdit &amp;&amp; fetchingInitial) now maps three gray field bars (height 34) instead of 'Loading &lt;name&gt; details...', and the detail record-selector 'recent records' list (loadingList) now maps three gray skeleton cards (height 56) in the same auto-fill grid as the cards instead of 'Loading &lt;plural&gt;...'. Static inline-styled skeletons; no CSS @keyframes, no new file/component, no dependency; other loading states, empty/error states, and data rendering unchanged. No hook/API-client/backend/IR change; diff-invariant across ir.description.</t>
        </is>
      </c>
      <c r="F169" s="419" t="inlineStr">
        <is>
          <t>P1</t>
        </is>
      </c>
      <c r="G169" s="419" t="inlineStr">
        <is>
          <t>Claude (Opus 4.8)</t>
        </is>
      </c>
      <c r="H169" s="419" t="inlineStr">
        <is>
          <t>Done</t>
        </is>
      </c>
      <c r="I169" s="420" t="n">
        <v>1</v>
      </c>
      <c r="J169" s="419" t="inlineStr">
        <is>
          <t>R-292</t>
        </is>
      </c>
      <c r="K169" s="419" t="inlineStr">
        <is>
          <t>Founder Stage 0</t>
        </is>
      </c>
      <c r="L169" s="419" t="inlineStr">
        <is>
          <t>task verify 864 tests (6 new in test_loading_skeletons_extra.py; one test_form_update_screens initial-load assertion updated to skeleton markup); task lint + security:quick + env:check pass; builder:demo minimal-blog + rideshare-favourites pass; generated form + detail skeleton markup inspected; impl 9796f4a; offline/deterministic, 0 model calls.</t>
        </is>
      </c>
      <c r="M169" s="419" t="inlineStr">
        <is>
          <t>Founder-authorized autonomous continuation; loading-skeletons UX completion. Reconstructed from Brief Sections 26, 27, 74, 77, 92.</t>
        </is>
      </c>
    </row>
    <row r="170" ht="34" customHeight="1" s="401">
      <c r="A170" s="419" t="inlineStr">
        <is>
          <t>R-292</t>
        </is>
      </c>
      <c r="B170" s="419" t="inlineStr">
        <is>
          <t>MVP</t>
        </is>
      </c>
      <c r="C170" s="419" t="inlineStr">
        <is>
          <t>Builder</t>
        </is>
      </c>
      <c r="D170" s="419" t="inlineStr">
        <is>
          <t>Loading Skeletons for Generated Next.js Screens</t>
        </is>
      </c>
      <c r="E170" s="419" t="inlineStr">
        <is>
          <t>Replaces the plain 'Loading...' text in the generated screens' data-loading states with layout-preserving skeleton placeholders (static inline-styled gray rounded bars): the collection table loading cell maps ~5 skeleton bars, the subcollection (master-detail) list loading maps ~3 skeleton blocks (both the collection master-detail and detail render sites), and the detail-screen main loading maps ~4 skeleton field lines of varying width. No CSS @keyframes, no new file/component, no dependency; refresh-button labels, empty/error states, and data rendering are unchanged. No hook/API-client/backend/IR change; diff-invariant across ir.description.</t>
        </is>
      </c>
      <c r="F170" s="419" t="inlineStr">
        <is>
          <t>P1</t>
        </is>
      </c>
      <c r="G170" s="419" t="inlineStr">
        <is>
          <t>Claude (Opus 4.8)</t>
        </is>
      </c>
      <c r="H170" s="419" t="inlineStr">
        <is>
          <t>Done</t>
        </is>
      </c>
      <c r="I170" s="420" t="n">
        <v>1</v>
      </c>
      <c r="J170" s="419" t="inlineStr">
        <is>
          <t>R-291</t>
        </is>
      </c>
      <c r="K170" s="419" t="inlineStr">
        <is>
          <t>Founder Stage 0</t>
        </is>
      </c>
      <c r="L170" s="419" t="inlineStr">
        <is>
          <t>task verify 858 tests (9 new in test_loading_skeletons.py; two test_subcollection_screens loading assertions updated); task lint + security:quick + env:check pass; builder:demo minimal-blog + rideshare-favourites pass; generated collection skeleton inspected; impl 16d6c52; offline/deterministic, 0 model calls.</t>
        </is>
      </c>
      <c r="M170" s="419" t="inlineStr">
        <is>
          <t>Founder-authorized autonomous continuation; loading-skeletons UX increment. Reconstructed from Brief Sections 26, 27, 74, 77, 92.</t>
        </is>
      </c>
    </row>
    <row r="171" ht="34" customHeight="1" s="401">
      <c r="A171" s="419" t="inlineStr">
        <is>
          <t>R-291</t>
        </is>
      </c>
      <c r="B171" s="419" t="inlineStr">
        <is>
          <t>MVP</t>
        </is>
      </c>
      <c r="C171" s="419" t="inlineStr">
        <is>
          <t>Builder</t>
        </is>
      </c>
      <c r="D171" s="419" t="inlineStr">
        <is>
          <t>Optimistic Subcollection Child Delete with Rollback in Generated Next.js Screens</t>
        </is>
      </c>
      <c r="E171" s="419" t="inlineStr">
        <is>
          <t>Extends R-290's optimistic delete to the subcollection (master-detail) child lists in both the collection master-detail and detail screens. Each deletable subcollection gets a per-subcollection deleting overlay (useState&lt;string[]&gt;) plus a reconcile useEffect on [&lt;s_var&gt;.data]; the child delete handler adds the id before await remove&lt;Child&gt;(id) and rolls it back in catch before the existing error toast, and the child row map iterates the deleting-filtered list so the row disappears immediately and reappears on failure. Non-deletable subcollections are unchanged. Safe on the deduped mutation hooks (R-288) and the race-safe R-286 LIST_BY hook; self-contained in the generated screens. The mutation/list hooks, generated API client, backend, and Application IR are unchanged; diff-invariant across ir.description.</t>
        </is>
      </c>
      <c r="F171" s="419" t="inlineStr">
        <is>
          <t>P1</t>
        </is>
      </c>
      <c r="G171" s="419" t="inlineStr">
        <is>
          <t>Claude (Opus 4.8)</t>
        </is>
      </c>
      <c r="H171" s="419" t="inlineStr">
        <is>
          <t>Done</t>
        </is>
      </c>
      <c r="I171" s="420" t="n">
        <v>1</v>
      </c>
      <c r="J171" s="419" t="inlineStr">
        <is>
          <t>R-290</t>
        </is>
      </c>
      <c r="K171" s="419" t="inlineStr">
        <is>
          <t>Founder Stage 0</t>
        </is>
      </c>
      <c r="L171" s="419" t="inlineStr">
        <is>
          <t>task verify 849 tests (6 new in test_subcollection_optimistic_delete.py); task lint + security:quick + env:check pass; builder:demo minimal-blog + rideshare-favourites pass; generated child delete handler + filtered map inspected; impl 51f33c8; offline/deterministic, 0 model calls.</t>
        </is>
      </c>
      <c r="M171" s="419" t="inlineStr">
        <is>
          <t>Completes the optimistic-delete story after R-290 (collection screen); reconstructed from Brief Sections 26, 27, 74, 77, 92.</t>
        </is>
      </c>
    </row>
    <row r="172" ht="34" customHeight="1" s="401">
      <c r="A172" s="419" t="inlineStr">
        <is>
          <t>R-290</t>
        </is>
      </c>
      <c r="B172" s="419" t="inlineStr">
        <is>
          <t>MVP</t>
        </is>
      </c>
      <c r="C172" s="419" t="inlineStr">
        <is>
          <t>Builder</t>
        </is>
      </c>
      <c r="D172" s="419" t="inlineStr">
        <is>
          <t>Optimistic Delete with Rollback in the Generated Collection Screen</t>
        </is>
      </c>
      <c r="E172" s="419" t="inlineStr">
        <is>
          <t>Makes the generated Next.js collection screen's deletes optimistic. Single (handleDelete) and batch (handleBatchDelete) removals add the affected ids to a pendingDeleteIds overlay so the rows vanish immediately; on server error the ids are rolled back (rows reappear) before the existing error toast, and a reconcile useEffect on [data] prunes ids once refetch has removed them (no flash-back, no unbounded growth). The row map iterates a visibleRows list filtered by pendingDeleteIds. Safe on the deduped mutation hooks (R-288) and race-safe list fetch (R-280); self-contained in _collection_screen_page. Detail-screen/subcollection delete, the mutation/list hooks, the generated API client, backend, and Application IR are unchanged; diff-invariant across ir.description.</t>
        </is>
      </c>
      <c r="F172" s="419" t="inlineStr">
        <is>
          <t>P1</t>
        </is>
      </c>
      <c r="G172" s="419" t="inlineStr">
        <is>
          <t>Claude (Opus 4.8)</t>
        </is>
      </c>
      <c r="H172" s="419" t="inlineStr">
        <is>
          <t>Done</t>
        </is>
      </c>
      <c r="I172" s="420" t="n">
        <v>1</v>
      </c>
      <c r="J172" s="419" t="inlineStr">
        <is>
          <t>R-289</t>
        </is>
      </c>
      <c r="K172" s="419" t="inlineStr">
        <is>
          <t>Founder Stage 0</t>
        </is>
      </c>
      <c r="L172" s="419" t="inlineStr">
        <is>
          <t>task verify 843 tests (9 new in test_collection_optimistic_delete.py; test_collection_field_filters row-map assertions updated); task lint + security:quick + env:check pass; builder:demo minimal-blog + rideshare-favourites pass; generated collection page inspected; impl 1ed88b6; offline/deterministic, 0 model calls.</t>
        </is>
      </c>
      <c r="M172" s="419" t="inlineStr">
        <is>
          <t>Founder-chosen R-290 (optimistic delete over loading skeletons); reconstructed from Brief Sections 26, 27, 74, 77, 92.</t>
        </is>
      </c>
    </row>
    <row r="173" ht="34" customHeight="1" s="401">
      <c r="A173" s="419" t="inlineStr">
        <is>
          <t>R-289</t>
        </is>
      </c>
      <c r="B173" s="419" t="inlineStr">
        <is>
          <t>MVP</t>
        </is>
      </c>
      <c r="C173" s="419" t="inlineStr">
        <is>
          <t>Builder</t>
        </is>
      </c>
      <c r="D173" s="419" t="inlineStr">
        <is>
          <t>Debounced Live Subcollection Search in Generated Next.js Web App</t>
        </is>
      </c>
      <c r="E173" s="419" t="inlineStr">
        <is>
          <t>Brings the generated subcollection (master-detail) search to parity with the top-level collection search (R-280): it is now live and debounced (300ms) instead of the submit-only form shipped in R-281. Each subcollection gets a controlled search input backed by component state and a setTimeout/clearTimeout debounce effect that commits the trimmed value to the race-safe R-286 useList&lt;Child&gt;By&lt;Parent&gt; hook's setSearch (guarded so an unchanged value is not recommitted); the form submit still commits immediately (Enter). Safe to make live now that R-286 aborts superseded LIST_BY requests. Shared helpers (_subcol_search_names/_subcol_search_state) wire it into both the collection master-detail and detail screens; entities without a subcollection emit none of it. The hook, Application IR, backend, generated API client, and the sort/filter/pagination controls are unchanged; diff-invariant across ir.description.</t>
        </is>
      </c>
      <c r="F173" s="419" t="inlineStr">
        <is>
          <t>P1</t>
        </is>
      </c>
      <c r="G173" s="419" t="inlineStr">
        <is>
          <t>Claude (Opus 4.8)</t>
        </is>
      </c>
      <c r="H173" s="419" t="inlineStr">
        <is>
          <t>Done</t>
        </is>
      </c>
      <c r="I173" s="420" t="n">
        <v>1</v>
      </c>
      <c r="J173" s="419" t="inlineStr">
        <is>
          <t>R-288</t>
        </is>
      </c>
      <c r="K173" s="419" t="inlineStr">
        <is>
          <t>Founder Stage 0</t>
        </is>
      </c>
      <c r="L173" s="419" t="inlineStr">
        <is>
          <t>task verify 834 tests (5 new in test_subcollection_search_debounce.py; R-281 search assertions updated); task lint + security:quick + env:check pass; builder:demo minimal-blog + rideshare-favourites pass; generated post_list subcollection search inspected; impl b6a1af4; offline/deterministic, 0 model calls.</t>
        </is>
      </c>
      <c r="M173" s="419" t="inlineStr">
        <is>
          <t>Recommended offline R-289 candidate after R-288 (all request paths race-safe); reconstructed from Brief Sections 26, 27, 74, 77, 92.</t>
        </is>
      </c>
    </row>
    <row r="174" ht="34" customHeight="1" s="401">
      <c r="A174" s="419" t="inlineStr">
        <is>
          <t>R-288</t>
        </is>
      </c>
      <c r="B174" s="419" t="inlineStr">
        <is>
          <t>MVP</t>
        </is>
      </c>
      <c r="C174" s="419" t="inlineStr">
        <is>
          <t>Builder</t>
        </is>
      </c>
      <c r="D174" s="419" t="inlineStr">
        <is>
          <t>Deduplicated In-Flight Generated Mutation Requests in Generated Next.js Web App</t>
        </is>
      </c>
      <c r="E174" s="419" t="inlineStr">
        <is>
          <t>Makes the generated useCreate&lt;Entity&gt; / useUpdate&lt;Entity&gt; / useDelete&lt;Entity&gt; hooks dedupe concurrent invocations so a rapid double-submit (double-clicked Create/Save/Delete or a programmatic re-call) cannot fire a duplicate POST/PUT/DELETE. Each hook owns a pendingRef (useRef&lt;Promise&lt;...&gt;|null&gt;); the callback returns the pending promise when a request is already in flight, runs the try/catch/finally body inside an IIFE captured as pendingRef.current, and clears the ref plus loading in finally. Completes the no-racing-requests story after the R-280 (LIST), R-286 (LIST_BY), and R-287 (detail GET) fetch cancellation work — now for writes. Public hook names, callback signatures, and return shapes ({...,mutate,loading,error,reset}) are preserved, as are the underlying api calls; fetch hooks, the generated API client, backend, and IR are unchanged; diff-invariant across ir.description.</t>
        </is>
      </c>
      <c r="F174" s="419" t="inlineStr">
        <is>
          <t>P1</t>
        </is>
      </c>
      <c r="G174" s="419" t="inlineStr">
        <is>
          <t>Claude (Opus 4.8)</t>
        </is>
      </c>
      <c r="H174" s="419" t="inlineStr">
        <is>
          <t>Done</t>
        </is>
      </c>
      <c r="I174" s="420" t="n">
        <v>1</v>
      </c>
      <c r="J174" s="419" t="inlineStr">
        <is>
          <t>R-287</t>
        </is>
      </c>
      <c r="K174" s="419" t="inlineStr">
        <is>
          <t>Founder Stage 0</t>
        </is>
      </c>
      <c r="L174" s="419" t="inlineStr">
        <is>
          <t>task verify 829 tests (6 new in test_mutation_inflight_guard.py); task lint + security:quick + env:check pass; builder:demo minimal-blog + rideshare-favourites pass; generated useCreatePost hook inspected; impl 3d6eecf; offline/deterministic, 0 model calls.</t>
        </is>
      </c>
      <c r="M174" s="419" t="inlineStr">
        <is>
          <t>Recommended offline R-288 candidate after R-287 (all fetch paths race-safe); reconstructed from Brief Sections 26, 27, 74, 77, 92.</t>
        </is>
      </c>
    </row>
    <row r="175" ht="34" customHeight="1" s="401">
      <c r="A175" s="419" t="inlineStr">
        <is>
          <t>R-287</t>
        </is>
      </c>
      <c r="B175" s="419" t="inlineStr">
        <is>
          <t>MVP</t>
        </is>
      </c>
      <c r="C175" s="419" t="inlineStr">
        <is>
          <t>Builder</t>
        </is>
      </c>
      <c r="D175" s="419" t="inlineStr">
        <is>
          <t>Race-Safe Generated Detail Refetches in Generated Next.js Web App</t>
        </is>
      </c>
      <c r="E175" s="419" t="inlineStr">
        <is>
          <t>Makes the generated use&lt;Entity&gt; detail hook cancel a superseded GET so a stale response cannot overwrite the currently selected record during rapid record-selector / prev-next / deep-link / id changes. The hook owns an AbortController ref; refetch aborts the previous request before the missing-ID reset (which now also clears error), a valid id registers a fresh controller, and the GET call passes the internal signal AFTER caller options so callers cannot replace it. Aborted successes and AbortError failures are ignored, only the active request clears loading, and effect cleanup aborts on id change or unmount. Mirrors the R-280 (LIST) / R-286 (LIST_BY) cancellation design; list and LIST_BY hooks, the generated API client, backend, and IR are unchanged; diff-invariant across ir.description.</t>
        </is>
      </c>
      <c r="F175" s="419" t="inlineStr">
        <is>
          <t>P1</t>
        </is>
      </c>
      <c r="G175" s="419" t="inlineStr">
        <is>
          <t>Claude (Opus 4.8)</t>
        </is>
      </c>
      <c r="H175" s="419" t="inlineStr">
        <is>
          <t>Done</t>
        </is>
      </c>
      <c r="I175" s="420" t="n">
        <v>1</v>
      </c>
      <c r="J175" s="419" t="inlineStr">
        <is>
          <t>R-286</t>
        </is>
      </c>
      <c r="K175" s="419" t="inlineStr">
        <is>
          <t>Founder Stage 0</t>
        </is>
      </c>
      <c r="L175" s="419" t="inlineStr">
        <is>
          <t>task verify 823 tests (13 new in test_detail_request_cancellation.py); task lint + security:quick + env:check pass; builder:demo minimal-blog + rideshare-favourites pass; generated useArticle detail hook inspected; impl 793804e; offline/deterministic, 0 model calls.</t>
        </is>
      </c>
      <c r="M175" s="419" t="inlineStr">
        <is>
          <t>Recommended offline R-287 candidate from the R-286 handoff; reconstructed from Brief Sections 26, 27, 74, 77, 92.</t>
        </is>
      </c>
    </row>
    <row r="176" ht="34" customHeight="1" s="401">
      <c r="A176" s="419" t="inlineStr">
        <is>
          <t>R-286</t>
        </is>
      </c>
      <c r="B176" s="419" t="inlineStr">
        <is>
          <t>MVP</t>
        </is>
      </c>
      <c r="C176" s="419" t="inlineStr">
        <is>
          <t>Builder</t>
        </is>
      </c>
      <c r="D176" s="419" t="inlineStr">
        <is>
          <t>Race-Safe Generated Subcollection Refetches</t>
        </is>
      </c>
      <c r="E176" s="419" t="inlineStr">
        <is>
          <t>Makes every generated useList&lt;Child&gt;By&lt;Parent&gt; LIST_BY hook cancel superseded requests with its own AbortController. Refetch aborts before the missing-parent early return, so parent deselection cancels in-flight work; valid requests install a fresh controller, pass the internal signal after caller options, and ignore aborted success/AbortError paths. Only the active request clears loading, and effect cleanup aborts on dependency change or unmount. Filterable hooks retain flattened server filter params; non-filterable hooks retain their public state/signatures. No IR, backend, database, dependency, infrastructure, network, or model change.</t>
        </is>
      </c>
      <c r="F176" s="419" t="inlineStr">
        <is>
          <t>P1</t>
        </is>
      </c>
      <c r="G176" s="419" t="inlineStr">
        <is>
          <t>Codex (GPT-5)</t>
        </is>
      </c>
      <c r="H176" s="419" t="inlineStr">
        <is>
          <t>Done</t>
        </is>
      </c>
      <c r="I176" s="420" t="n">
        <v>1</v>
      </c>
      <c r="J176" s="419" t="inlineStr">
        <is>
          <t>R-285</t>
        </is>
      </c>
      <c r="K176" s="419" t="inlineStr">
        <is>
          <t>Founder Stage 0</t>
        </is>
      </c>
      <c r="L176" s="419" t="inlineStr">
        <is>
          <t>task verify 810 tests (6 new focused cancellation tests); all 69 subcollection tests pass; task lint + security:quick + env:check pass; builder:demo minimal-blog + rideshare-favourites pass; generated filterable/non-filterable TypeScript hooks inspected; impl 3eb8bd1; offline/deterministic, 0 local / 0 cloud model calls.</t>
        </is>
      </c>
      <c r="M176" s="419" t="inlineStr">
        <is>
          <t>Founder explicitly requested continuation with R-286. Reconstructed from Brief Sections 25-27, 74, 77, 83-84, 91, and 92.</t>
        </is>
      </c>
    </row>
    <row r="177" ht="34" customHeight="1" s="401">
      <c r="A177" s="419" t="inlineStr">
        <is>
          <t>R-285</t>
        </is>
      </c>
      <c r="B177" s="419" t="inlineStr">
        <is>
          <t>MVP</t>
        </is>
      </c>
      <c r="C177" s="419" t="inlineStr">
        <is>
          <t>Builder</t>
        </is>
      </c>
      <c r="D177" s="419" t="inlineStr">
        <is>
          <t>Server-Side Subcollection Filter Wiring in Generated Next.js Screens</t>
        </is>
      </c>
      <c r="E177" s="419" t="inlineStr">
        <is>
          <t>Wires R-284's allowlisted boolean/enum LIST_BY query parameters into generated Next.js subcollection hooks and both parent collection and detail screens. Filterable child hooks expose typed filter state, allowlisted setFilter/clearFilters operations, reset pagination on changes, and flatten active filters into API query params while preserving the relation path ID. Generated controls include boolean pills, enum selects, active-filter count, Reset, and filtered-empty Clear filters recovery. Components render the server-returned page directly with no page-local filtering. Non-filterable subcollections and description-only IR changes remain byte-stable; no IR, backend, database, dependency, infrastructure, network, or model change.</t>
        </is>
      </c>
      <c r="F177" s="419" t="inlineStr">
        <is>
          <t>P1</t>
        </is>
      </c>
      <c r="G177" s="419" t="inlineStr">
        <is>
          <t>Codex (GPT-5)</t>
        </is>
      </c>
      <c r="H177" s="419" t="inlineStr">
        <is>
          <t>Done</t>
        </is>
      </c>
      <c r="I177" s="420" t="n">
        <v>1</v>
      </c>
      <c r="J177" s="419" t="inlineStr">
        <is>
          <t>R-284</t>
        </is>
      </c>
      <c r="K177" s="419" t="inlineStr">
        <is>
          <t>Founder Stage 0</t>
        </is>
      </c>
      <c r="L177" s="419" t="inlineStr">
        <is>
          <t>task verify 804 tests (7 new focused subcollection frontend-filter tests); all 63 subcollection tests pass; task lint + security:quick + env:check pass; builder:demo minimal-blog + rideshare-favourites pass; generated TypeScript hooks and both screen variants inspected; impl 92c89b1; offline/deterministic, 0 local / 0 cloud model calls.</t>
        </is>
      </c>
      <c r="M177" s="419" t="inlineStr">
        <is>
          <t>Founder explicitly requested continuation with R-285. Reconstructed from Brief Sections 25-27, 74, 77, 83-84, and 92.</t>
        </is>
      </c>
    </row>
    <row r="178" ht="34" customHeight="1" s="401">
      <c r="A178" s="419" t="inlineStr">
        <is>
          <t>R-284</t>
        </is>
      </c>
      <c r="B178" s="419" t="inlineStr">
        <is>
          <t>MVP</t>
        </is>
      </c>
      <c r="C178" s="419" t="inlineStr">
        <is>
          <t>Builder</t>
        </is>
      </c>
      <c r="D178" s="419" t="inlineStr">
        <is>
          <t>Server-Side Boolean/Enum Field Filters on FK-Scoped LIST_BY Endpoints</t>
        </is>
      </c>
      <c r="E178" s="419" t="inlineStr">
        <is>
          <t>Extends R-282's allowlisted boolean/enum equality filters from top-level LIST to unambiguous FK-scoped LIST_BY subcollections across generated FastAPI, Go, and OpenAPI. Python relation-scoped helpers compose the mandatory &lt;relation&gt;_id predicate, optional q search, and filter values with %s parameters for both list and count. Go emits a shared &lt;table&gt;By&lt;Relation&gt;Filters helper: relation ID remains $1, q receives the next placeholder when present, allowlisted bool/enum filters follow via len(args)+1, and limit/offset follow all predicates. FastAPI declares typed optional query params and forwards them to both repository calls; Go handlers parse/forward the filter map only for filterable children; OpenAPI documents the same schemas. Non-filterable LIST_BY output remains byte-stable; no IR, Next.js, dependency, DB engine, infrastructure, network, or model change.</t>
        </is>
      </c>
      <c r="F178" s="419" t="inlineStr">
        <is>
          <t>P1</t>
        </is>
      </c>
      <c r="G178" s="419" t="inlineStr">
        <is>
          <t>Codex (GPT-5)</t>
        </is>
      </c>
      <c r="H178" s="419" t="inlineStr">
        <is>
          <t>Done</t>
        </is>
      </c>
      <c r="I178" s="420" t="n">
        <v>1</v>
      </c>
      <c r="J178" s="419" t="inlineStr">
        <is>
          <t>R-283</t>
        </is>
      </c>
      <c r="K178" s="419" t="inlineStr">
        <is>
          <t>Founder Stage 0</t>
        </is>
      </c>
      <c r="L178" s="419" t="inlineStr">
        <is>
          <t>task verify 797 tests (8 new focused subcollection-filter tests); task lint + security:quick + env:check pass; builder:demo minimal-blog + rideshare-favourites pass; generated FastAPI repository/router AST parse and generated Go store/handler gofmt parse pass; filterable child OpenAPI inspected; impl 0bfb91d; offline/deterministic, 0 local / 0 cloud model calls.</t>
        </is>
      </c>
      <c r="M178" s="419" t="inlineStr">
        <is>
          <t>Founder said to continue to the next task and update completed/remaining state. Reconstructed from Brief Sections 25-27, 74, 77, 83-84, and 92.</t>
        </is>
      </c>
    </row>
    <row r="179" ht="34" customHeight="1" s="401">
      <c r="A179" s="419" t="inlineStr">
        <is>
          <t>R-283</t>
        </is>
      </c>
      <c r="B179" s="419" t="inlineStr">
        <is>
          <t>MVP</t>
        </is>
      </c>
      <c r="C179" s="419" t="inlineStr">
        <is>
          <t>Builder</t>
        </is>
      </c>
      <c r="D179" s="419" t="inlineStr">
        <is>
          <t>Wire Generated Next.js Collection Filters to Server-Side Query Parameters</t>
        </is>
      </c>
      <c r="E179" s="419" t="inlineStr">
        <is>
          <t>Replaces R-278's client-side boolean/enum filtering over only the loaded page with correct server-side filtering across pagination. Filterable top-level useList hooks carry an allowlisted filters map, flatten active values into the R-282 ?&lt;field&gt;=&lt;value&gt; request parameters, reset offset when filters change/clear, and keep filter state in the existing URL deep-link flow. Collection screens drive the hook with exact IR field names, render server-returned data directly, retain the toolbar/count/reset/no-results UX, and remove useMemo/data.filter. LIST_BY and backends unchanged; no IR field, npm/platform dependency, network, database connection, or model call.</t>
        </is>
      </c>
      <c r="F179" s="419" t="inlineStr">
        <is>
          <t>P1</t>
        </is>
      </c>
      <c r="G179" s="419" t="inlineStr">
        <is>
          <t>Codex (GPT-5)</t>
        </is>
      </c>
      <c r="H179" s="419" t="inlineStr">
        <is>
          <t>Done</t>
        </is>
      </c>
      <c r="I179" s="420" t="n">
        <v>1</v>
      </c>
      <c r="J179" s="419" t="inlineStr">
        <is>
          <t>R-282</t>
        </is>
      </c>
      <c r="K179" s="419" t="inlineStr">
        <is>
          <t>Founder Stage 0</t>
        </is>
      </c>
      <c r="L179" s="419" t="inlineStr">
        <is>
          <t>task verify 789 tests (3 new focused filter-wiring tests); task lint + security:quick pass; builder:demo minimal-blog + rideshare-favourites pass; generated post_list/page.tsx, lib/hooks.ts, and lib/api.ts inspected; impl d0c9e84; offline/deterministic, 0 local / 0 cloud model calls.</t>
        </is>
      </c>
      <c r="M179" s="419" t="inlineStr">
        <is>
          <t>Founder supplied the exact R-283 continuation and selected recommended option 1. Reconstructed from Brief Sections 9, 25-27, 74-75, 77, 83-85, 91, and 92.</t>
        </is>
      </c>
    </row>
    <row r="180" ht="34" customHeight="1" s="401">
      <c r="A180" s="419" t="inlineStr">
        <is>
          <t>R-282</t>
        </is>
      </c>
      <c r="B180" s="419" t="inlineStr">
        <is>
          <t>MVP</t>
        </is>
      </c>
      <c r="C180" s="419" t="inlineStr">
        <is>
          <t>Builder</t>
        </is>
      </c>
      <c r="D180" s="419" t="inlineStr">
        <is>
          <t>Server-Side Boolean/Enum Field Filters on Top-Level LIST Endpoints (Go + FastAPI + OpenAPI)</t>
        </is>
      </c>
      <c r="E180" s="419" t="inlineStr">
        <is>
          <t>Adds real server-side per-field equality filtering to the generated backends, following the R-258 sort / R-261 search pattern: a top-level LIST endpoint accepts ?&lt;field&gt;=&lt;value&gt; for each boolean field and each enum field (enum:a|b|c validation), composed into the SQL WHERE alongside q. Column identifiers come only from validated IR field names; filter values are parameterized ($N/%s) — the same whitelist discipline as sorting. A shared field_validation.filter_fields helper drives Go, FastAPI, and OpenAPI. Filterable entities use a dynamic WHERE builder (Python _list_filters helper / Go &lt;table&gt;Filters helper with correct $N numbering; bool -&gt; v=="true", enum -&gt; string); non-filterable entities stay byte-identical; parseFilters added to Go handlers.go only when needed. Scoped to Op.LIST (LIST_BY subcollections unchanged) — the backend behind R-278's filters; frontend wiring follows as R-283. No new IR field; no npm dependency; diff-invariant across ir.description.</t>
        </is>
      </c>
      <c r="F180" s="419" t="inlineStr">
        <is>
          <t>P1</t>
        </is>
      </c>
      <c r="G180" s="419" t="inlineStr">
        <is>
          <t>Claude (Opus 4.8)</t>
        </is>
      </c>
      <c r="H180" s="419" t="inlineStr">
        <is>
          <t>Done</t>
        </is>
      </c>
      <c r="I180" s="420" t="n">
        <v>1</v>
      </c>
      <c r="J180" s="419" t="inlineStr">
        <is>
          <t>R-281</t>
        </is>
      </c>
      <c r="K180" s="419" t="inlineStr">
        <is>
          <t>Founder Stage 0</t>
        </is>
      </c>
      <c r="L180" s="419" t="inlineStr">
        <is>
          <t>task verify 786 tests (12 new in test_field_filters_backend.py; existing search/sort/pagination assertions updated for the now-filterable minimal-blog Post); task lint + security:quick pass; builder:demo minimal-blog + rideshare-favourites pass; impl 198e23e; offline/deterministic, 0 cloud calls.</t>
        </is>
      </c>
      <c r="M180" s="419" t="inlineStr">
        <is>
          <t>Founder said 'continue for the next task' and chose the offline candidate; the available Groq key was kept for a later live model-fabric verification. Reconstructed from Brief Sections 9, 26, 27, 74, 77, 92.</t>
        </is>
      </c>
    </row>
    <row r="181" ht="34" customHeight="1" s="401">
      <c r="A181" s="419" t="inlineStr">
        <is>
          <t>R-281</t>
        </is>
      </c>
      <c r="B181" s="419" t="inlineStr">
        <is>
          <t>MVP</t>
        </is>
      </c>
      <c r="C181" s="419" t="inlineStr">
        <is>
          <t>Builder</t>
        </is>
      </c>
      <c r="D181" s="419" t="inlineStr">
        <is>
          <t>Pagination, Sort &amp; Search Controls on Subcollection Master-Detail Lists in Generated Next.js Web App</t>
        </is>
      </c>
      <c r="E181" s="419" t="inlineStr">
        <is>
          <t>Closes survey gap B: the generated subcollection master-detail lists rendered only {sub.data.map(...)} with no controls, though the backend endpoints and the generated useList&lt;Child&gt;By&lt;Parent&gt; hook already support limit/offset/sort/order/q. Two shared helpers in nextjs.py (_subcol_controls, _subcol_pagination) emit an uncontrolled search form (defaultValue + FormData on submit -&gt; setSearch), a sort &lt;select&gt; (id + display fields, asc/desc -&gt; setSort), and a Prev/Next 'Page X of Y (N total)' footer (setPage/page/totalPages, disabled at bounds/while loading), wired into BOTH the collection master-detail and the detail-screen subcollection blocks and driven entirely by the existing hook setters. Submit-based search avoids a per-keystroke fetch storm so hook internals are unchanged. No new IR field; no npm dependency; diff-invariant across ir.description.</t>
        </is>
      </c>
      <c r="F181" s="419" t="inlineStr">
        <is>
          <t>P1</t>
        </is>
      </c>
      <c r="G181" s="419" t="inlineStr">
        <is>
          <t>Claude (Opus 4.8)</t>
        </is>
      </c>
      <c r="H181" s="419" t="inlineStr">
        <is>
          <t>Done</t>
        </is>
      </c>
      <c r="I181" s="420" t="n">
        <v>1</v>
      </c>
      <c r="J181" s="419" t="inlineStr">
        <is>
          <t>R-280</t>
        </is>
      </c>
      <c r="K181" s="419" t="inlineStr">
        <is>
          <t>Founder Stage 0</t>
        </is>
      </c>
      <c r="L181" s="419" t="inlineStr">
        <is>
          <t>task verify 774 tests (6 new in test_subcollection_list_controls.py); task lint + security:quick pass; builder:demo minimal-blog + rideshare-favourites pass; impl ad94a72; offline/deterministic, 0 cloud calls.</t>
        </is>
      </c>
      <c r="M181" s="419" t="inlineStr">
        <is>
          <t>Founder chose 'R-281 offline only' (subcollection list controls) over enabling the available Groq key this session. Reconstructed from Brief Sections 9, 26, 27, 74, 77, 92.</t>
        </is>
      </c>
    </row>
    <row r="182" ht="34" customHeight="1" s="401">
      <c r="A182" s="419" t="inlineStr">
        <is>
          <t>R-280</t>
        </is>
      </c>
      <c r="B182" s="419" t="inlineStr">
        <is>
          <t>MVP</t>
        </is>
      </c>
      <c r="C182" s="419" t="inlineStr">
        <is>
          <t>Builder</t>
        </is>
      </c>
      <c r="D182" s="419" t="inlineStr">
        <is>
          <t>Deep-Linked Collection List State + Debounced, Race-Safe Search in Generated Next.js Web App</t>
        </is>
      </c>
      <c r="E182" s="419" t="inlineStr">
        <is>
          <t>The generated useList&lt;Entities&gt; hook syncs sort/order/q/page/pageSize to the URL query string and hydrates them from the URL on mount (client-only), so refresh/bookmark/share restore the exact list view via history.replaceState (only non-default values written), reusing the R-276 detail deep-link pattern. useList.refetch creates an AbortController per request (signal forwarded through the existing ApiOptions), aborts the previous in-flight request, and ignores aborted/stale responses so out-of-order results cannot clobber state. The collection search input is debounced (300ms) and no longer fetches on every keystroke; the form submit still searches immediately, and the hydrated q is reflected back into the input. Subcollection hook and UI controls are out of scope. No new IR field; no npm dependency; diff-invariant across ir.description.</t>
        </is>
      </c>
      <c r="F182" s="419" t="inlineStr">
        <is>
          <t>P1</t>
        </is>
      </c>
      <c r="G182" s="419" t="inlineStr">
        <is>
          <t>Claude (Opus 4.8)</t>
        </is>
      </c>
      <c r="H182" s="419" t="inlineStr">
        <is>
          <t>Done</t>
        </is>
      </c>
      <c r="I182" s="420" t="n">
        <v>1</v>
      </c>
      <c r="J182" s="419" t="inlineStr">
        <is>
          <t>R-279</t>
        </is>
      </c>
      <c r="K182" s="419" t="inlineStr">
        <is>
          <t>Founder Stage 0</t>
        </is>
      </c>
      <c r="L182" s="419" t="inlineStr">
        <is>
          <t>task verify 768 tests (12 new in test_collection_deeplink_state.py); task lint + security:quick pass; builder:demo minimal-blog + rideshare-favourites pass; impl 7a6b9b5; offline/deterministic, 0 cloud calls.</t>
        </is>
      </c>
      <c r="M182" s="419" t="inlineStr">
        <is>
          <t>Founder delegated the choice ('best, optimised, futuristic; combine two if best'): deep-link + debounced/race-safe search. Reconstructed from Brief Sections 9, 26, 27, 74, 77, 92.</t>
        </is>
      </c>
    </row>
    <row r="183" ht="34" customHeight="1" s="401">
      <c r="A183" s="419" t="inlineStr">
        <is>
          <t>R-279</t>
        </is>
      </c>
      <c r="B183" s="419" t="inlineStr">
        <is>
          <t>MVP</t>
        </is>
      </c>
      <c r="C183" s="419" t="inlineStr">
        <is>
          <t>Builder</t>
        </is>
      </c>
      <c r="D183" s="419" t="inlineStr">
        <is>
          <t>Global Notification Toast System &amp; Action Feedback in Generated Next.js Web App</t>
        </is>
      </c>
      <c r="E183" s="419" t="inlineStr">
        <is>
          <t>Global notification toast system &amp; action feedback in generated Next.js web app (`apps/web/components/toast.tsx`, `apps/web/app/layout.tsx`): NextjsWebAdapter adds a lightweight, dependency-free global notification toast system and wires real-time feedback into generated collection screens, detail screens, and form screens; emits `apps/web/components/toast.tsx` as a client component (`"use client";`) exporting `ToastProvider`, `useToast`, `ToastType = "success" | "error" | "info"`, `ToastItem`, and `ToastContextValue`; provides `addToast(message, type, duration)`, `removeToast(id)`, and typed helpers `toast.success()`, `toast.error()`, and `toast.info()`; renders a floating viewport container fixed at bottom-right (`position: "fixed"`, `bottom: 24`, `right: 24`, `zIndex: 9999`, `aria-live="polite"`); renders toast cards with auto-dismiss timers (`setTimeout` / `clearTimeout`), manual dismiss `&amp;times;` buttons, and distinct status color accents (emerald `#a7f3d0`/`#15803d`/`✓` for success, red `#fecaca`/`#b91c1c`/`✕` for error, blue `#bfdbfe`/`#1d4ed8`/`ℹ` for info); updates `RootLayout` in `apps/web/app/layout.tsx` to wrap `&lt;Navbar /&gt;` and `{children}` inside `&lt;ToastProvider&gt;`; wires real-time action feedback into collection screens (`_collection_screen_page`): CSV export emits `toast.info("Exported CSV successfully")`, single delete emits `toast.success` / `toast.error`, batch delete emits `toast.success` with deleted item count / `toast.error`, subcollection delete emits `toast.success` / `toast.error`; wires feedback into detail screens (`_detail_screen_page`): JSON export emits `toast.info("Exported JSON successfully")`, main delete emits `toast.success` / `toast.error`, subcollection delete emits `toast.success` / `toast.error`; wires feedback into form screens (`_form_screen_page`): `handleSubmit` emits contextual `toast.success` on create or update / `toast.error` on submission failure, Reset button emits `toast.info("Form reset to original values")`; exports `render_toast_component` in `codegen`; strict diff invariance maintained across `ir.description`; pure codegen change, offline, 0 network, no DB (14 new tests, 756 total)</t>
        </is>
      </c>
      <c r="F183" s="419" t="inlineStr">
        <is>
          <t>P1</t>
        </is>
      </c>
      <c r="G183" s="419" t="inlineStr">
        <is>
          <t>Claude (Opus 4.8)</t>
        </is>
      </c>
      <c r="H183" s="419" t="inlineStr">
        <is>
          <t>Done</t>
        </is>
      </c>
      <c r="I183" s="420" t="n">
        <v>1</v>
      </c>
      <c r="J183" s="419" t="inlineStr">
        <is>
          <t>R-278</t>
        </is>
      </c>
      <c r="K183" s="419" t="inlineStr">
        <is>
          <t>Founder Stage 0</t>
        </is>
      </c>
      <c r="L183" s="419" t="inlineStr">
        <is>
          <t>task verify 756 tests; impl d28fc1a; offline/deterministic, 0 cloud calls.</t>
        </is>
      </c>
      <c r="M183" s="419" t="inlineStr">
        <is>
          <t>Backfilled to reconcile the execution tracker with shipped, committed work (R-253..R-279).</t>
        </is>
      </c>
    </row>
    <row r="184" ht="34" customHeight="1" s="401">
      <c r="A184" s="419" t="inlineStr">
        <is>
          <t>R-278</t>
        </is>
      </c>
      <c r="B184" s="419" t="inlineStr">
        <is>
          <t>MVP</t>
        </is>
      </c>
      <c r="C184" s="419" t="inlineStr">
        <is>
          <t>Builder</t>
        </is>
      </c>
      <c r="D184" s="419" t="inlineStr">
        <is>
          <t>Collection Screen Boolean &amp; Enum Field Filtering, Segmented Pill Controls &amp; Filter Empty States in Generated Next.js Web App</t>
        </is>
      </c>
      <c r="E184" s="419" t="inlineStr">
        <is>
          <t>Collection screen boolean &amp; enum field filtering with segmented controls in generated Next.js web app (`apps/web/app/&lt;screen&gt;/page.tsx`): NextjsWebAdapter adds interactive, deterministic client-side filtering for boolean fields and enum fields to generated collection screens (`_collection_screen_page`); adds `_filterable_fields_for_entity(entity)` helper identifying `FieldType.BOOL` fields and fields with `enum:a|b|c` validation rules; when filterable fields are present, imports `useMemo` from `"react"`; declares `filterValues` state (`Record&lt;string, string&gt;`) and `handleFilterChange(field, val)` and `handleClearFilters()` handlers; computes `activeFilterCount` and `filteredData` via `useMemo` comparing loaded items against active filter values; assigns `displayData = filteredData ?? (data ?? [])`; renders an accessible filter toolbar above the table: for boolean fields renders segmented pill buttons (`[ All ] [ {Field}: Yes ] [ {Field}: No ]`) with dark active pill styling (`#0f172a`), for enum fields renders a styled `&lt;select aria-label="Filter by {Field}"&gt;` dropdown; displays an active filter count badge (`{activeFilterCount} active`) and a "Reset" button when filters are active; connects `displayData` to table row mapping; displays a dedicated empty filter state (`"No {plural} match the active filter criteria."`) with a `"Clear all filters"` CTA button when data exists but none match active filters; clean fallback safety for entities without boolean or enum fields (zero filter state or toolbar markup emitted); strict diff invariance maintained across `ir.description`; pure codegen change, offline, 0 network, no DB (15 new tests, 742 total)</t>
        </is>
      </c>
      <c r="F184" s="419" t="inlineStr">
        <is>
          <t>P1</t>
        </is>
      </c>
      <c r="G184" s="419" t="inlineStr">
        <is>
          <t>Claude (Opus 4.8)</t>
        </is>
      </c>
      <c r="H184" s="419" t="inlineStr">
        <is>
          <t>Done</t>
        </is>
      </c>
      <c r="I184" s="420" t="n">
        <v>1</v>
      </c>
      <c r="J184" s="419" t="inlineStr">
        <is>
          <t>R-277</t>
        </is>
      </c>
      <c r="K184" s="419" t="inlineStr">
        <is>
          <t>Founder Stage 0</t>
        </is>
      </c>
      <c r="L184" s="419" t="inlineStr">
        <is>
          <t>task verify 742 tests; impl 599df7d; offline/deterministic, 0 cloud calls.</t>
        </is>
      </c>
      <c r="M184" s="419" t="inlineStr">
        <is>
          <t>Backfilled to reconcile the execution tracker with shipped, committed work (R-253..R-279).</t>
        </is>
      </c>
    </row>
    <row r="185" ht="34" customHeight="1" s="401">
      <c r="A185" s="419" t="inlineStr">
        <is>
          <t>R-277</t>
        </is>
      </c>
      <c r="B185" s="419" t="inlineStr">
        <is>
          <t>MVP</t>
        </is>
      </c>
      <c r="C185" s="419" t="inlineStr">
        <is>
          <t>Builder</t>
        </is>
      </c>
      <c r="D185" s="419" t="inlineStr">
        <is>
          <t>Form Screen Dirty State Tracking, Unsaved Changes Guard &amp; Reset Confirmation in Generated Next.js Forms</t>
        </is>
      </c>
      <c r="E185" s="419" t="inlineStr">
        <is>
          <t>Form screen dirty state tracking, unsaved changes guard &amp; reset confirmation in generated Next.js forms (`apps/web/app/&lt;screen&gt;/page.tsx`): NextjsWebAdapter enhances generated form screens (`_form_screen_page`) with deterministic dirty state tracking (`isDirty`), visual warning indicators, confirmation dialogs, and native browser `beforeunload` guards protecting users against accidental data loss; imports `useMemo` from `"react"`; computes `baselineData` from `initialData` (in edit mode when loaded) or `initialValues` (in create mode); computes `isDirty` by comparing current `formData` against `baselineData` (safely treating `undefined` and empty string as equivalent to prevent false positives on initial render); renders amber "Unsaved changes" visual badge (`#fef3c7` / `#92400e`) in header when `isDirty &amp;&amp; !success`; renders amber warning notice in form footer (`&amp;bull; You have unsaved changes`); Cancel button links guard against leaving dirty forms with `confirm("You have unsaved changes. Discard them and leave?")`; Reset button guards against discarding changes with `confirm("Discard all changes and reset form?")` while preserving state cleanup (`setLastSavedId(null)`); registers native window `beforeunload` event listener via `useEffect` guarding page refresh and tab close when `isDirty &amp;&amp; !submitting &amp;&amp; !success`; post-submit success state (`success === true`) clears dirty state warnings so subsequent navigation occurs without confirmation prompts; strict diff invariance maintained across `ir.description`; pure codegen change, offline, 0 network, no DB (16 new tests, 727 total)</t>
        </is>
      </c>
      <c r="F185" s="419" t="inlineStr">
        <is>
          <t>P1</t>
        </is>
      </c>
      <c r="G185" s="419" t="inlineStr">
        <is>
          <t>Claude (Opus 4.8)</t>
        </is>
      </c>
      <c r="H185" s="419" t="inlineStr">
        <is>
          <t>Done</t>
        </is>
      </c>
      <c r="I185" s="420" t="n">
        <v>1</v>
      </c>
      <c r="J185" s="419" t="inlineStr">
        <is>
          <t>R-276</t>
        </is>
      </c>
      <c r="K185" s="419" t="inlineStr">
        <is>
          <t>Founder Stage 0</t>
        </is>
      </c>
      <c r="L185" s="419" t="inlineStr">
        <is>
          <t>task verify 727 tests; impl 62c2283; offline/deterministic, 0 cloud calls.</t>
        </is>
      </c>
      <c r="M185" s="419" t="inlineStr">
        <is>
          <t>Backfilled to reconcile the execution tracker with shipped, committed work (R-253..R-279).</t>
        </is>
      </c>
    </row>
    <row r="186" ht="34" customHeight="1" s="401">
      <c r="A186" s="419" t="inlineStr">
        <is>
          <t>R-276</t>
        </is>
      </c>
      <c r="B186" s="419" t="inlineStr">
        <is>
          <t>MVP</t>
        </is>
      </c>
      <c r="C186" s="419" t="inlineStr">
        <is>
          <t>Builder</t>
        </is>
      </c>
      <c r="D186" s="419" t="inlineStr">
        <is>
          <t>Record Selector Dropdown, Prev/Next Record Navigation &amp; Deep-Link Sync in Generated Next.js Detail Screens</t>
        </is>
      </c>
      <c r="E186" s="419" t="inlineStr">
        <is>
          <t>Record selector dropdown, prev/next record navigation &amp; deep-link sync in generated Next.js detail screens (`apps/web/app/&lt;screen&gt;/page.tsx`): NextjsWebAdapter enhances generated detail screens (`_detail_screen_page`) with interactive record discovery, sequential cycling, and deep-linking URL synchronization; when `Op.LIST` is wired for the entity, imports `useList&lt;Plural&gt;` hook and invokes `useList&lt;Plural&gt;()` to fetch available items; top ID section renders an interactive `&lt;select aria-label="Select {name}"&gt;` dropdown with `"-- Choose {name} --"` placeholder and options mapped to existing records displaying the best descriptive title field (`title`, `name`, `label`, `email`, or `id`); adds `handleSelectId(newId)` helper setting `selectedId`, updating `idInput`, and updating browser URL query parameter (`?id=&lt;id&gt;` or removing it) via `window.history.replaceState`; renders "Clear" button when `selectedId` is active; item card header renders contextual `&amp;larr; Prev` and `Next &amp;rarr;` navigation buttons bound to `disabled={!prevItem}` and `disabled={!nextItem}` enabling sequential record browsing without leaving detail view; when `selectedId` is null, empty state renders a "Recent {plural}" grid of clickable card tiles allowing one-click record inspection; `handleDelete` cleans up the `id` search parameter from the URL upon deletion; clean fallback safety when `Op.LIST` is absent or entity contains only an `id` field (zero dropdowns/hooks emitted); strict diff invariance maintained across `ir.description` changes; pure codegen change, offline, 0 network, no DB (16 new tests, 711 total)</t>
        </is>
      </c>
      <c r="F186" s="419" t="inlineStr">
        <is>
          <t>P1</t>
        </is>
      </c>
      <c r="G186" s="419" t="inlineStr">
        <is>
          <t>Claude (Opus 4.8)</t>
        </is>
      </c>
      <c r="H186" s="419" t="inlineStr">
        <is>
          <t>Done</t>
        </is>
      </c>
      <c r="I186" s="420" t="n">
        <v>1</v>
      </c>
      <c r="J186" s="419" t="inlineStr">
        <is>
          <t>R-275</t>
        </is>
      </c>
      <c r="K186" s="419" t="inlineStr">
        <is>
          <t>Founder Stage 0</t>
        </is>
      </c>
      <c r="L186" s="419" t="inlineStr">
        <is>
          <t>task verify pass; impl 9dd61fa; offline/deterministic, 0 cloud calls.</t>
        </is>
      </c>
      <c r="M186" s="419" t="inlineStr">
        <is>
          <t>Backfilled to reconcile the execution tracker with shipped, committed work (R-253..R-279).</t>
        </is>
      </c>
    </row>
    <row r="187" ht="34" customHeight="1" s="401">
      <c r="A187" s="419" t="inlineStr">
        <is>
          <t>R-275</t>
        </is>
      </c>
      <c r="B187" s="419" t="inlineStr">
        <is>
          <t>MVP</t>
        </is>
      </c>
      <c r="C187" s="419" t="inlineStr">
        <is>
          <t>Builder</t>
        </is>
      </c>
      <c r="D187" s="419" t="inlineStr">
        <is>
          <t>Rich App Dashboard Overview Page in Generated Next.js Web App</t>
        </is>
      </c>
      <c r="E187" s="419" t="inlineStr">
        <is>
          <t>Rich dashboard overview page in generated Next.js web app (`apps/web/app/page.tsx`): `_overview_page` upgraded from a static 20-line bare HTML list into a rich entity-aware client component (`"use client";`); calls `useList&lt;Entity&gt;({ limit: 1 })` for each entity with `Op.LIST` wired and displays live `.total` count (loading: `"…"`, error: `"—"`, live count otherwise) in styled entity summary cards (white cards with box-shadow, `#0f172a` 32px count, uppercase entity label, plural subtitle); screen navigation cards render for each primary screen (collection + form) as styled `&lt;Link&gt;` tiles with intent label and role badge (`#eff6ff`/`#1d4ed8` pill) for non-public screens; detail screens excluded from nav grid; Quick Actions section renders `+ Create {Entity}` blue CTAs (`#2563eb`) linking to form screens; `ir.description` removed from page body (it already lives in `README.md`) — this fixes the existing diff-invariance violation where description changes caused `app/page.tsx` to change; `test_console_snapshot.py` updated to remove `apps/web/app/page.tsx` from expected edit-diff set (description-stable page no longer appears in diff when only `ir.description` changes); clean fallback when `ir.entities` or `ir.screens` is empty; `_get_ops_by_entity`/`_screen_intent`/`_match_entity` reused from existing infrastructure; pure codegen change, offline, 0 network, no DB, no new IR field (16 new tests, 695 total)</t>
        </is>
      </c>
      <c r="F187" s="419" t="inlineStr">
        <is>
          <t>P1</t>
        </is>
      </c>
      <c r="G187" s="419" t="inlineStr">
        <is>
          <t>Claude (Opus 4.8)</t>
        </is>
      </c>
      <c r="H187" s="419" t="inlineStr">
        <is>
          <t>Done</t>
        </is>
      </c>
      <c r="I187" s="420" t="n">
        <v>1</v>
      </c>
      <c r="J187" s="419" t="inlineStr">
        <is>
          <t>R-274</t>
        </is>
      </c>
      <c r="K187" s="419" t="inlineStr">
        <is>
          <t>Founder Stage 0</t>
        </is>
      </c>
      <c r="L187" s="419" t="inlineStr">
        <is>
          <t>task verify pass; impl 95e9587; offline/deterministic, 0 cloud calls.</t>
        </is>
      </c>
      <c r="M187" s="419" t="inlineStr">
        <is>
          <t>Backfilled to reconcile the execution tracker with shipped, committed work (R-253..R-279).</t>
        </is>
      </c>
    </row>
    <row r="188" ht="34" customHeight="1" s="401">
      <c r="A188" s="419" t="inlineStr">
        <is>
          <t>R-274</t>
        </is>
      </c>
      <c r="B188" s="419" t="inlineStr">
        <is>
          <t>MVP</t>
        </is>
      </c>
      <c r="C188" s="419" t="inlineStr">
        <is>
          <t>Builder</t>
        </is>
      </c>
      <c r="D188" s="419" t="inlineStr">
        <is>
          <t>Form Screen Post-Submit Contextual CTAs, Record Navigation &amp; Cancel Actions</t>
        </is>
      </c>
      <c r="E188" s="419" t="inlineStr">
        <is>
          <t>Form screen post-submit contextual CTAs, record navigation &amp; Cancel actions (`services/agent-engine/src/omnistackai_agent_engine/codegen/nextjs.py`): `_form_screen_page` declares `lastSavedId` state (`useState&lt;string | null&gt;(null)`); create branch captures newly saved record ID from `create(formData)` response (`res.id`) via `setLastSavedId(String((res as any).id))`; update branch sets `setLastSavedId(editId)` after `await update(editId, formData)`; success banner upgraded from a static alert to an interactive action panel: message text preserved in `&lt;span&gt;{msg_jsx}&lt;/span&gt;`; dismiss button (`&amp;times;`, `aria-label="Dismiss"`) calling `setSuccess(false)`; contextual "View {name} →" `Link` to `/{detail_screen.id}?id=${lastSavedId || editId}` rendered when a detail screen exists for the entity (guarded by id expression check); "← Back to {plural}" `Link` to `/{list_screen.id}` rendered when a collection screen exists for the entity; "+ Create another {name}" action button in create mode resetting `setSuccess(false)` and `setLastSavedId(null)` for rapid data entry; styled `Cancel` `Link` button added in form footer next to Reset navigating to `/{list_screen.id}` (or `/` when no list screen exists); Reset `onClick` extended with `setLastSavedId(null)`; strict diff invariance maintained across `ir.description` modifications; pure codegen change, offline, 0 network, no DB, no new IR field (16 new tests, 679 total)</t>
        </is>
      </c>
      <c r="F188" s="419" t="inlineStr">
        <is>
          <t>P1</t>
        </is>
      </c>
      <c r="G188" s="419" t="inlineStr">
        <is>
          <t>Claude (Opus 4.8)</t>
        </is>
      </c>
      <c r="H188" s="419" t="inlineStr">
        <is>
          <t>Done</t>
        </is>
      </c>
      <c r="I188" s="420" t="n">
        <v>1</v>
      </c>
      <c r="J188" s="419" t="inlineStr">
        <is>
          <t>R-273</t>
        </is>
      </c>
      <c r="K188" s="419" t="inlineStr">
        <is>
          <t>Founder Stage 0</t>
        </is>
      </c>
      <c r="L188" s="419" t="inlineStr">
        <is>
          <t>task verify pass; impl 2269834; offline/deterministic, 0 cloud calls.</t>
        </is>
      </c>
      <c r="M188" s="419" t="inlineStr">
        <is>
          <t>Backfilled to reconcile the execution tracker with shipped, committed work (R-253..R-279).</t>
        </is>
      </c>
    </row>
    <row r="189">
      <c r="A189" s="419" t="inlineStr">
        <is>
          <t>R-273</t>
        </is>
      </c>
      <c r="B189" s="419" t="inlineStr">
        <is>
          <t>MVP</t>
        </is>
      </c>
      <c r="C189" s="419" t="inlineStr">
        <is>
          <t>Builder</t>
        </is>
      </c>
      <c r="D189" s="419" t="inlineStr">
        <is>
          <t>Global Responsive Navigation Shell &amp; Header Navbar in Generated Next.js Web App</t>
        </is>
      </c>
      <c r="E189" s="419" t="inlineStr">
        <is>
          <t>Global responsive navigation shell &amp; header navbar in generated Next.js web app (`apps/web/components/navbar.tsx`, `apps/web/app/layout.tsx`): NextjsWebAdapter emits persistent, responsive navigation header shell (`components/navbar.tsx`) as a client component (`"use client";`) with Next.js `usePathname` from `"next/navigation"`; defines `isLinkActive(href)` and `navLinkStyle(active)` dynamically styling active routes (`#eff6ff` background, `#1d4ed8` text, `fontWeight: 600`, subtle border); renders application branding (`ir.name`) with avatar logo badge (`ir.name[:1]`) and title linking to `/` (Overview); renders "Overview" navigation link to `/`; dynamically generates screen navigation links for primary collection, form, and generic screens from `ir.screens`, displaying screen title, role pill badges for non-public screens, and active state highlights; cleanly excludes parameter-dependent detail screens (`_screen_intent(s) == "detail"`) from top nav to keep navigation focused; detects first create form screen in `ir.screens` and renders a prominent `+ New {Entity}` / `+ Create` quick-action CTA button on the right side of the navbar; supports empty screens with clean fallback; updates `_LAYOUT` in `app/layout.tsx` to import `Navbar` from `../components/navbar` and render `&lt;Navbar /&gt;` inside `&lt;body&gt;` above `{children}` with global typography and background tokens (`#f8fafc`, system font stack); preserves RootLayout server component status exporting Next.js `Metadata`; diff-invariant across `ir.description`; pure codegen change, offline, 0 network, no DB (17 new tests, 663 total)</t>
        </is>
      </c>
      <c r="F189" s="419" t="inlineStr">
        <is>
          <t>P1</t>
        </is>
      </c>
      <c r="G189" s="419" t="inlineStr">
        <is>
          <t>Claude (Opus 4.8)</t>
        </is>
      </c>
      <c r="H189" s="419" t="inlineStr">
        <is>
          <t>Done</t>
        </is>
      </c>
      <c r="I189" s="420" t="n">
        <v>1</v>
      </c>
      <c r="J189" s="419" t="inlineStr">
        <is>
          <t>R-272</t>
        </is>
      </c>
      <c r="K189" s="419" t="inlineStr">
        <is>
          <t>Founder Stage 0</t>
        </is>
      </c>
      <c r="L189" s="419" t="inlineStr">
        <is>
          <t>task verify pass; impl 82c8c7b; offline/deterministic, 0 cloud calls.</t>
        </is>
      </c>
      <c r="M189" s="419" t="inlineStr">
        <is>
          <t>Backfilled to reconcile the execution tracker with shipped, committed work (R-253..R-279).</t>
        </is>
      </c>
    </row>
    <row r="190">
      <c r="A190" s="419" t="inlineStr">
        <is>
          <t>R-272</t>
        </is>
      </c>
      <c r="B190" s="419" t="inlineStr">
        <is>
          <t>MVP</t>
        </is>
      </c>
      <c r="C190" s="419" t="inlineStr">
        <is>
          <t>Builder</t>
        </is>
      </c>
      <c r="D190" s="419" t="inlineStr">
        <is>
          <t>Deep-Linking &amp; Entity Lifecycle in Next.js Detail Screens</t>
        </is>
      </c>
      <c r="E190" s="419" t="inlineStr">
        <is>
          <t>Deep-Linking &amp; Entity Lifecycle in Next.js Detail Screens</t>
        </is>
      </c>
      <c r="F190" s="419" t="inlineStr">
        <is>
          <t>P1</t>
        </is>
      </c>
      <c r="G190" s="419" t="inlineStr">
        <is>
          <t>Claude (Opus 4.8)</t>
        </is>
      </c>
      <c r="H190" s="419" t="inlineStr">
        <is>
          <t>Done</t>
        </is>
      </c>
      <c r="I190" s="420" t="n">
        <v>1</v>
      </c>
      <c r="J190" s="419" t="inlineStr">
        <is>
          <t>R-271</t>
        </is>
      </c>
      <c r="K190" s="419" t="inlineStr">
        <is>
          <t>Founder Stage 0</t>
        </is>
      </c>
      <c r="L190" s="419" t="inlineStr">
        <is>
          <t>task verify 646 tests; impl f055958; offline/deterministic, 0 cloud calls.</t>
        </is>
      </c>
      <c r="M190" s="419" t="inlineStr">
        <is>
          <t>Backfilled to reconcile the execution tracker with shipped, committed work (R-253..R-279).</t>
        </is>
      </c>
    </row>
    <row r="191">
      <c r="A191" s="419" t="inlineStr">
        <is>
          <t>R-271</t>
        </is>
      </c>
      <c r="B191" s="419" t="inlineStr">
        <is>
          <t>MVP</t>
        </is>
      </c>
      <c r="C191" s="419" t="inlineStr">
        <is>
          <t>Builder</t>
        </is>
      </c>
      <c r="D191" s="419" t="inlineStr">
        <is>
          <t>CSV Data Export &amp; Bulk Export in Generated Next.js Collection Screens</t>
        </is>
      </c>
      <c r="E191" s="419" t="inlineStr">
        <is>
          <t>CSV data export &amp; bulk export in generated Next.js collection screens (`apps/web/app/&lt;screen&gt;/page.tsx`): NextjsWebAdapter adds client-side RFC 4180 CSV export and bulk selection export to generated collection screens; `_collection_screen_page` emits `handleExportCsv(selectedOnly: boolean = false)` helper function; when `selectedOnly` is true, filters data against `checkedIds`, else exports all loaded data, with early-return guard for empty datasets; formats CSV values via strict RFC 4180 serializer `toCsvVal` handling null/undefined (`""`), internal quotes (`""`), and objects (`JSON.stringify`), wrapping each field value in quotes and joining rows by newline; includes all declared entity fields (`entity.fields`) across headers and rows; manages in-browser download lifecycle using `Blob` (`text/csv;charset=utf-8;`), `URL.createObjectURL(blob)`, dynamic `&lt;a&gt;` anchor element with download filename `{plural.lower()}_export.csv`, automatic `link.click()`, DOM cleanup, and memory release via `URL.revokeObjectURL(url)`; top toolbar renders "Export CSV" button disabled when data is null/empty; contextual Bulk Actions Bar renders "Export Selected ({checkedIds.length})" button when `checkedIds.length &gt; 0`, coexisting with "Delete Selected" button when delete capability is wired; diff-invariant across `ir.description`; pure codegen change, offline, 0 network, no DB (16 new tests, 630 total)</t>
        </is>
      </c>
      <c r="F191" s="419" t="inlineStr">
        <is>
          <t>P1</t>
        </is>
      </c>
      <c r="G191" s="419" t="inlineStr">
        <is>
          <t>Claude (Opus 4.8)</t>
        </is>
      </c>
      <c r="H191" s="419" t="inlineStr">
        <is>
          <t>Done</t>
        </is>
      </c>
      <c r="I191" s="420" t="n">
        <v>1</v>
      </c>
      <c r="J191" s="419" t="inlineStr">
        <is>
          <t>R-270</t>
        </is>
      </c>
      <c r="K191" s="419" t="inlineStr">
        <is>
          <t>Founder Stage 0</t>
        </is>
      </c>
      <c r="L191" s="419" t="inlineStr">
        <is>
          <t>task verify 630 tests; impl 5d34220; offline/deterministic, 0 cloud calls.</t>
        </is>
      </c>
      <c r="M191" s="419" t="inlineStr">
        <is>
          <t>Backfilled to reconcile the execution tracker with shipped, committed work (R-253..R-279).</t>
        </is>
      </c>
    </row>
    <row r="192">
      <c r="A192" s="419" t="inlineStr">
        <is>
          <t>R-270</t>
        </is>
      </c>
      <c r="B192" s="419" t="inlineStr">
        <is>
          <t>MVP</t>
        </is>
      </c>
      <c r="C192" s="419" t="inlineStr">
        <is>
          <t>Builder</t>
        </is>
      </c>
      <c r="D192" s="419" t="inlineStr">
        <is>
          <t>Bulk Selection &amp; Batch Deletion in Generated Next.js Collection Screens</t>
        </is>
      </c>
      <c r="E192" s="419" t="inlineStr">
        <is>
          <t>Bulk selection &amp; batch deletion in generated Next.js collection screens (`apps/web/app/&lt;screen&gt;/page.tsx`): NextjsWebAdapter adds multi-record bulk selection and batch deletion workflows to collection screens; declares row selection state (`checkedIds: string[]`), `allCurrentIds`, `isAllChecked`, `handleCheckAll`, `handleToggleRow`, and `handleClearSelection`; table header `&lt;thead&gt;` renders master checkbox with `aria-label="Select all"`, `checked={isAllChecked}`, and `onChange={handleCheckAll}`; table body `&lt;tbody&gt;` rows render selection checkbox with `e.stopPropagation()` preventing interference with subcollection details; adjusts loading and empty state `colSpan` to account for checkbox column (+1); highlights selected rows with active `#f8fafc` background; conditionally renders contextual Bulk Actions Bar above the table when `checkedIds.length &gt; 0` displaying selection count (`{checkedIds.length} selected`), `Clear selection` button, and `Delete Selected ({checkedIds.length})` button when `Op.DELETE` is wired; batch delete executes with confirmation dialog (`confirm("Are you sure you want to delete {count} {name/plural}?")`), progress state (`batchDeleting`), concurrent execution via `Promise.all(checkedIds.map(id =&gt; remove(id)))`, selection reset, automatic `refetch()`, and dismissible `batchDeleteError` alert banner; individual `handleDelete(id)` cleans up deleted ID from `checkedIds`; diff-invariant across `ir.description`; pure codegen change, offline, 0 network, no DB (16 new tests, 614 total)</t>
        </is>
      </c>
      <c r="F192" s="419" t="inlineStr">
        <is>
          <t>P1</t>
        </is>
      </c>
      <c r="G192" s="419" t="inlineStr">
        <is>
          <t>Claude (Opus 4.8)</t>
        </is>
      </c>
      <c r="H192" s="419" t="inlineStr">
        <is>
          <t>Done</t>
        </is>
      </c>
      <c r="I192" s="420" t="n">
        <v>1</v>
      </c>
      <c r="J192" s="419" t="inlineStr">
        <is>
          <t>R-269</t>
        </is>
      </c>
      <c r="K192" s="419" t="inlineStr">
        <is>
          <t>Founder Stage 0</t>
        </is>
      </c>
      <c r="L192" s="419" t="inlineStr">
        <is>
          <t>task verify 614 tests; impl e0857c5; offline/deterministic, 0 cloud calls.</t>
        </is>
      </c>
      <c r="M192" s="419" t="inlineStr">
        <is>
          <t>Backfilled to reconcile the execution tracker with shipped, committed work (R-253..R-279).</t>
        </is>
      </c>
    </row>
    <row r="193">
      <c r="A193" s="419" t="inlineStr">
        <is>
          <t>R-269</t>
        </is>
      </c>
      <c r="B193" s="419" t="inlineStr">
        <is>
          <t>MVP</t>
        </is>
      </c>
      <c r="C193" s="419" t="inlineStr">
        <is>
          <t>Builder</t>
        </is>
      </c>
      <c r="D193" s="419" t="inlineStr">
        <is>
          <t>Page Size Selector &amp; Contextual Empty State CTAs in Generated Next.js Screens</t>
        </is>
      </c>
      <c r="E193" s="419" t="inlineStr">
        <is>
          <t>Page size selector &amp; contextual empty state CTAs in generated Next.js screens (`apps/web/app/&lt;screen&gt;/page.tsx`, `apps/web/lib/hooks.ts`): NextjsWebAdapter adds configurable page size selection and contextual empty state call-to-actions; `UseListState&lt;T&gt;` interface declares `setPageSize: (size: number) =&gt; void;`; `useList&lt;Entities&gt;` and `useList&lt;Children&gt;By&lt;Rel&gt;` hooks implement `setPageSize` resetting offset to 0 and clamping page size to minimum 1, returning `pageSize` and `setPageSize` in hook state; collection screens (`_collection_screen_page`) destructure `pageSize` and `setPageSize` and render an accessible `&lt;select id="pageSizeSelect"&gt;` dropdown (10, 25, 50, 100 per page) next to pagination buttons in footer; collection screen table empty state renders search mismatch message with interactive `Clear search` CTA button (`onClick={() =&gt; { setSearchInput(""); setSearch(""); }}`) when search is active, and `+ Create first &lt;Entity&gt;` CTA link when `form_screen` is available; subcollection empty states render `+ Add first &lt;Child&gt;` CTA link when `child_form` is available in both collection and detail views; strict diff invariance maintained across `ir.description`; pure codegen change, offline, 0 network, no DB (15 new tests, 598 total)</t>
        </is>
      </c>
      <c r="F193" s="419" t="inlineStr">
        <is>
          <t>P1</t>
        </is>
      </c>
      <c r="G193" s="419" t="inlineStr">
        <is>
          <t>Claude (Opus 4.8)</t>
        </is>
      </c>
      <c r="H193" s="419" t="inlineStr">
        <is>
          <t>Done</t>
        </is>
      </c>
      <c r="I193" s="420" t="n">
        <v>1</v>
      </c>
      <c r="J193" s="419" t="inlineStr">
        <is>
          <t>R-268</t>
        </is>
      </c>
      <c r="K193" s="419" t="inlineStr">
        <is>
          <t>Founder Stage 0</t>
        </is>
      </c>
      <c r="L193" s="419" t="inlineStr">
        <is>
          <t>task verify 598 tests; impl a34dfc8; offline/deterministic, 0 cloud calls.</t>
        </is>
      </c>
      <c r="M193" s="419" t="inlineStr">
        <is>
          <t>Backfilled to reconcile the execution tracker with shipped, committed work (R-253..R-279).</t>
        </is>
      </c>
    </row>
    <row r="194">
      <c r="A194" s="419" t="inlineStr">
        <is>
          <t>R-268</t>
        </is>
      </c>
      <c r="B194" s="419" t="inlineStr">
        <is>
          <t>MVP</t>
        </is>
      </c>
      <c r="C194" s="419" t="inlineStr">
        <is>
          <t>Builder</t>
        </is>
      </c>
      <c r="D194" s="419" t="inlineStr">
        <is>
          <t>Subcollection Child Item Deletion &amp; Mutation Feedback in Master-Detail Views</t>
        </is>
      </c>
      <c r="E194" s="419" t="inlineStr">
        <is>
          <t>Subcollection child item deletion &amp; mutation feedback in master-detail views (`apps/web/app/&lt;screen&gt;/page.tsx`): NextjsWebAdapter adds child item deletion, confirmation dialogs, loading/disabled states, error feedback alerts, and automatic subcollection refetching to master-detail views in generated Next.js screens; `_subcollections_for_parent` sets `can_delete = True` on `SubcollectionInfo` when child entity supports `Op.DELETE`; fallback entity matching for `DELETE` endpoints lacking explicit `response_schema` (e.g. `ApiEndpoint(HttpMethod.DELETE, "/comments/{id}")`) across API client and hooks; collection screens (`_collection_screen_page`) and detail screens (`_detail_screen_page`) import and wire `useDelete&lt;Child&gt;` hooks from `"../lib/hooks"`; emits `handleDelete&lt;Child&gt;` handlers prompting confirmation dialog (`confirm("Are you sure you want to delete this &lt;Child&gt;?")`) with try/catch guard and triggering `&lt;subcol&gt;.refetch()`; child cards render styled Delete button with disabled state during mutation and `stopPropagation`; renders mutation error feedback alert banner (`{delete&lt;Child&gt;Error &amp;&amp; ...}`) directly above child items if deletion fails; non-deletable subcollections omit deletion code; diff-invariant across `ir.description`; pure codegen change, offline, 0 network, no DB (13 new tests, 583 total)</t>
        </is>
      </c>
      <c r="F194" s="419" t="inlineStr">
        <is>
          <t>P1</t>
        </is>
      </c>
      <c r="G194" s="419" t="inlineStr">
        <is>
          <t>Claude (Opus 4.8)</t>
        </is>
      </c>
      <c r="H194" s="419" t="inlineStr">
        <is>
          <t>Done</t>
        </is>
      </c>
      <c r="I194" s="420" t="n">
        <v>1</v>
      </c>
      <c r="J194" s="419" t="inlineStr">
        <is>
          <t>R-267</t>
        </is>
      </c>
      <c r="K194" s="419" t="inlineStr">
        <is>
          <t>Founder Stage 0</t>
        </is>
      </c>
      <c r="L194" s="419" t="inlineStr">
        <is>
          <t>task verify pass; impl 3ae89bb; offline/deterministic, 0 cloud calls.</t>
        </is>
      </c>
      <c r="M194" s="419" t="inlineStr">
        <is>
          <t>Backfilled to reconcile the execution tracker with shipped, committed work (R-253..R-279).</t>
        </is>
      </c>
    </row>
    <row r="195">
      <c r="A195" s="419" t="inlineStr">
        <is>
          <t>R-267</t>
        </is>
      </c>
      <c r="B195" s="419" t="inlineStr">
        <is>
          <t>MVP</t>
        </is>
      </c>
      <c r="C195" s="419" t="inlineStr">
        <is>
          <t>Builder</t>
        </is>
      </c>
      <c r="D195" s="419" t="inlineStr">
        <is>
          <t>Foreign-Key Relation Selectors &amp; Parent Auto-Population in Generated Next.js Forms</t>
        </is>
      </c>
      <c r="E195" s="419" t="inlineStr">
        <is>
          <t>Foreign-key relation selectors &amp; parent auto-population in generated Next.js forms (`apps/web/app/&lt;screen&gt;/page.tsx`): NextjsWebAdapter replaces raw foreign key text inputs with typed parent relation selectors (&lt;select&gt; dropdowns) and automatic query parameter pre-population; `_parent_relations_for_entity` helper detects `RelationKind.MANY_TO_ONE` relations and foreign key fields on child entities where parent entity has `Op.LIST`; child form screens (`_form_screen_page`) import and wire `useList&lt;ParentPlural&gt;()` from `"../lib/hooks"`; renders accessible `&lt;select&gt;` dropdowns displaying parent title/name options (`{String(item.title ?? item.name ?? item.id)}`), loading state placeholder (`Loading &lt;parents&gt;...` vs `Select &lt;parent&gt;...`), and required HTML5/ARIA attributes; displays contextual parent linkage badge (`&amp;bull; Selected &lt;Parent&gt; linked`) when foreign key is selected; pre-populates foreign keys from `searchParams` on mount, supporting parameter aliases (`&lt;field&gt;`, `&lt;rel&gt;_id`, `&lt;rel&gt;Id`, `&lt;rel&gt;`); client-side required validation highlights unselected foreign keys with field-level errors; clean fallback safety for entities without relations (zero dropdowns/hooks emitted); diff-invariant across `ir.description`; pure codegen change, offline, 0 network, no DB (12 new tests, 570 total)</t>
        </is>
      </c>
      <c r="F195" s="419" t="inlineStr">
        <is>
          <t>P1</t>
        </is>
      </c>
      <c r="G195" s="419" t="inlineStr">
        <is>
          <t>Claude (Opus 4.8)</t>
        </is>
      </c>
      <c r="H195" s="419" t="inlineStr">
        <is>
          <t>Done</t>
        </is>
      </c>
      <c r="I195" s="420" t="n">
        <v>1</v>
      </c>
      <c r="J195" s="419" t="inlineStr">
        <is>
          <t>R-266</t>
        </is>
      </c>
      <c r="K195" s="419" t="inlineStr">
        <is>
          <t>Founder Stage 0</t>
        </is>
      </c>
      <c r="L195" s="419" t="inlineStr">
        <is>
          <t>task verify pass; impl 667c30a; offline/deterministic, 0 cloud calls.</t>
        </is>
      </c>
      <c r="M195" s="419" t="inlineStr">
        <is>
          <t>Backfilled to reconcile the execution tracker with shipped, committed work (R-253..R-279).</t>
        </is>
      </c>
    </row>
    <row r="196">
      <c r="A196" s="419" t="inlineStr">
        <is>
          <t>R-266</t>
        </is>
      </c>
      <c r="B196" s="419" t="inlineStr">
        <is>
          <t>MVP</t>
        </is>
      </c>
      <c r="C196" s="419" t="inlineStr">
        <is>
          <t>Builder</t>
        </is>
      </c>
      <c r="D196" s="419" t="inlineStr">
        <is>
          <t>Update/Edit Mode in Generated Next.js Forms &amp; Collection Screen Edit Actions</t>
        </is>
      </c>
      <c r="E196" s="419" t="inlineStr">
        <is>
          <t>Update/edit mode in generated Next.js forms &amp; collection screen edit actions (`apps/web/app/&lt;screen&gt;/page.tsx`): NextjsWebAdapter connects generated frontend to existing backend update handlers (PUT/PATCH) and typed React mutation hooks (`useUpdate&lt;Entity&gt;` and `use&lt;Entity&gt;(id)`); form screen (`_form_screen_page`) operates in dual-mode (Create and Edit) when `Op.UPDATE` is wired, importing `use&lt;Entity&gt;`, `useUpdate&lt;Entity&gt;`, and `useSearchParams` from `"next/navigation"`, extracting `editId = searchParams.get("id")`, computing `isEdit = Boolean(editId)`, synchronizing initial data into `formData` via `useEffect`, branching submission to call `update(editId, formData)` in edit mode vs `create(formData)` in create mode, and dynamically updating headers, submit button labels, loading indicator, and success alerts; collection screen (`_collection_screen_page`) renders an "Edit" action link (`/{form_screen.id}?id=${(item as any).id}`) with `onClick={(e) =&gt; e.stopPropagation()}` to avoid toggling table row selection; subcollection master-detail view renders `+ New &lt;Child&gt;` link (`/{child_form.id}?{foreign_key}=${selectedId}`) when complementary form screen exists for child entity; fallback safety for entities without `Op.UPDATE` (zero update code emitted); diff-invariant across `ir.description`; pure codegen change, offline, 0 network, no DB (12 new tests, 558 total)</t>
        </is>
      </c>
      <c r="F196" s="419" t="inlineStr">
        <is>
          <t>P1</t>
        </is>
      </c>
      <c r="G196" s="419" t="inlineStr">
        <is>
          <t>Claude (Opus 4.8)</t>
        </is>
      </c>
      <c r="H196" s="419" t="inlineStr">
        <is>
          <t>Done</t>
        </is>
      </c>
      <c r="I196" s="420" t="n">
        <v>1</v>
      </c>
      <c r="J196" s="419" t="inlineStr">
        <is>
          <t>R-265</t>
        </is>
      </c>
      <c r="K196" s="419" t="inlineStr">
        <is>
          <t>Founder Stage 0</t>
        </is>
      </c>
      <c r="L196" s="419" t="inlineStr">
        <is>
          <t>task verify pass; impl 9dd0095; offline/deterministic, 0 cloud calls.</t>
        </is>
      </c>
      <c r="M196" s="419" t="inlineStr">
        <is>
          <t>Backfilled to reconcile the execution tracker with shipped, committed work (R-253..R-279).</t>
        </is>
      </c>
    </row>
    <row r="197">
      <c r="A197" s="419" t="inlineStr">
        <is>
          <t>R-265</t>
        </is>
      </c>
      <c r="B197" s="419" t="inlineStr">
        <is>
          <t>MVP</t>
        </is>
      </c>
      <c r="C197" s="419" t="inlineStr">
        <is>
          <t>Builder</t>
        </is>
      </c>
      <c r="D197" s="419" t="inlineStr">
        <is>
          <t>Subcollection Navigation &amp; Master-Detail Views in Generated Screens</t>
        </is>
      </c>
      <c r="E197" s="419" t="inlineStr">
        <is>
          <t>Subcollection navigation &amp; master-detail views in generated screens (`apps/web/app/&lt;screen&gt;/page.tsx`): NextjsWebAdapter connects parent collection screens to nested child subcollections; `_subcollections_for_parent` identifies relations where `rel.target_entity == parent_name` and an `Op.LIST_BY` endpoint exists; collection screens conditionally import subcollection hooks (`useList&lt;Children&gt;By&lt;Rel&gt;`) and child entity types (`import type { &lt;Child&gt; }`) on dedicated lines preserving substring match for parent imports; collection screen manages `selectedId` state with table row click selection and "View Details" / "Hide Details" button; renders master-detail subcollection section with live count badges (`{subcol.total}`), tabbed navigation for multi-subcollection parent entities, child item lists with key display fields, loading/error/empty states, and refetch; dedicated detail screen generator (`_detail_screen_page`) for `intent == "detail"` screens; fallback safety for entities without subcollections (zero subcollection code emitted); diff-invariant with respect to `ir.description`; pure codegen change, offline, 0 network, no DB (19 new tests, 546 total)</t>
        </is>
      </c>
      <c r="F197" s="419" t="inlineStr">
        <is>
          <t>P1</t>
        </is>
      </c>
      <c r="G197" s="419" t="inlineStr">
        <is>
          <t>Claude (Opus 4.8)</t>
        </is>
      </c>
      <c r="H197" s="419" t="inlineStr">
        <is>
          <t>Done</t>
        </is>
      </c>
      <c r="I197" s="420" t="n">
        <v>1</v>
      </c>
      <c r="J197" s="419" t="inlineStr">
        <is>
          <t>R-264</t>
        </is>
      </c>
      <c r="K197" s="419" t="inlineStr">
        <is>
          <t>Founder Stage 0</t>
        </is>
      </c>
      <c r="L197" s="419" t="inlineStr">
        <is>
          <t>task verify pass; impl 0926d6e; offline/deterministic, 0 cloud calls.</t>
        </is>
      </c>
      <c r="M197" s="419" t="inlineStr">
        <is>
          <t>Backfilled to reconcile the execution tracker with shipped, committed work (R-253..R-279).</t>
        </is>
      </c>
    </row>
    <row r="198">
      <c r="A198" s="419" t="inlineStr">
        <is>
          <t>R-264</t>
        </is>
      </c>
      <c r="B198" s="419" t="inlineStr">
        <is>
          <t>MVP</t>
        </is>
      </c>
      <c r="C198" s="419" t="inlineStr">
        <is>
          <t>Builder</t>
        </is>
      </c>
      <c r="D198" s="419" t="inlineStr">
        <is>
          <t>Field-Level Validation &amp; Error Feedback in Generated Next.js Forms</t>
        </is>
      </c>
      <c r="E198" s="419" t="inlineStr">
        <is>
          <t>Field-level validation &amp; error feedback in generated Next.js forms (`apps/web/app/&lt;screen&gt;/page.tsx` &amp; `apps/web/lib/api.ts`): NextjsWebAdapter emits `extractFieldErrors(error: unknown): Record&lt;string, string&gt;` normalizing Go backend structured errors (`{"errors": [...]}`) and FastAPI structured errors (`{"detail": [...]}`); form screens import `extractFieldErrors` and manage `fieldErrors` state (`Record&lt;string, string&gt;`); client-side pre-validation validates required fields, string `max_length`, numeric `min`/`max` constraints, and enum options before network requests, halting and setting `fieldErrors` on failure; submission failure extracts server errors via `extractFieldErrors(err)` and highlights inputs; inputs render red borders (`#ef4444`), `aria-invalid="true"`, and per-field error messages below inputs; reactive error clearing clears field errors on input edit (`onChange`); enum fields render interactive `&lt;select&gt;` dropdowns with options; reset button clears `fieldErrors` and form data; warning banner rendered when field errors exist; diff-invariant with respect to `ir.description`; pure codegen change, offline, 0 network, no DB (12 new tests, 527 total)</t>
        </is>
      </c>
      <c r="F198" s="419" t="inlineStr">
        <is>
          <t>P1</t>
        </is>
      </c>
      <c r="G198" s="419" t="inlineStr">
        <is>
          <t>Claude (Opus 4.8)</t>
        </is>
      </c>
      <c r="H198" s="419" t="inlineStr">
        <is>
          <t>Done</t>
        </is>
      </c>
      <c r="I198" s="420" t="n">
        <v>1</v>
      </c>
      <c r="J198" s="419" t="inlineStr">
        <is>
          <t>R-263</t>
        </is>
      </c>
      <c r="K198" s="419" t="inlineStr">
        <is>
          <t>Founder Stage 0</t>
        </is>
      </c>
      <c r="L198" s="419" t="inlineStr">
        <is>
          <t>task verify pass; impl 558a75a; offline/deterministic, 0 cloud calls.</t>
        </is>
      </c>
      <c r="M198" s="419" t="inlineStr">
        <is>
          <t>Backfilled to reconcile the execution tracker with shipped, committed work (R-253..R-279).</t>
        </is>
      </c>
    </row>
    <row r="199">
      <c r="A199" s="419" t="inlineStr">
        <is>
          <t>R-263</t>
        </is>
      </c>
      <c r="B199" s="419" t="inlineStr">
        <is>
          <t>MVP</t>
        </is>
      </c>
      <c r="C199" s="419" t="inlineStr">
        <is>
          <t>Builder</t>
        </is>
      </c>
      <c r="D199" s="419" t="inlineStr">
        <is>
          <t>Interactive Screen Component Generator with Real Data Binding (apps/web/app/&lt;screen&gt;/page.tsx)</t>
        </is>
      </c>
      <c r="E199" s="419" t="inlineStr">
        <is>
          <t>Interactive screen component generator with real data binding (`apps/web/app/&lt;screen&gt;/page.tsx`) in NextjsWebAdapter: screen pages upgraded into interactive React client components with `"use client"` and React 18 hooks (`useState`); automatically matches screens to IR entities via multi-token scoring (`_match_entity`); detects screen intent (`_screen_intent`) as collection, form, or generic; collection screens bind to `useList&lt;Entities&gt;()` with live search input (`setSearch`), sortable headers (`setSort`), pagination controls (`setPage`, Previous/Next), loading/error/empty states, delete action (`useDelete&lt;Entity&gt;`) when `Op.DELETE` is wired, and navigation to complementary editor screens; form screens bind to `useCreate&lt;Entity&gt;()` with schema-derived inputs (checkbox for bool, textarea for text, number input for int/float, datetime-local for datetime, text for string), required indicators/attributes, submit handling (`create(formData)`), success banner, and reset/cancel controls; graceful fallback screen without broken imports when unwired; byte-identical output across IR description changes preserving diff stability; public `render_screen_page` exported in `codegen`; pure codegen change, offline, 0 network, no DB (9 new tests, 515 total)</t>
        </is>
      </c>
      <c r="F199" s="419" t="inlineStr">
        <is>
          <t>P1</t>
        </is>
      </c>
      <c r="G199" s="419" t="inlineStr">
        <is>
          <t>Claude (Opus 4.8)</t>
        </is>
      </c>
      <c r="H199" s="419" t="inlineStr">
        <is>
          <t>Done</t>
        </is>
      </c>
      <c r="I199" s="420" t="n">
        <v>1</v>
      </c>
      <c r="J199" s="419" t="inlineStr">
        <is>
          <t>R-262</t>
        </is>
      </c>
      <c r="K199" s="419" t="inlineStr">
        <is>
          <t>Founder Stage 0</t>
        </is>
      </c>
      <c r="L199" s="419" t="inlineStr">
        <is>
          <t>task verify pass; impl da914ba; offline/deterministic, 0 cloud calls.</t>
        </is>
      </c>
      <c r="M199" s="419" t="inlineStr">
        <is>
          <t>Backfilled to reconcile the execution tracker with shipped, committed work (R-253..R-279).</t>
        </is>
      </c>
    </row>
    <row r="200">
      <c r="A200" s="419" t="inlineStr">
        <is>
          <t>R-262</t>
        </is>
      </c>
      <c r="B200" s="419" t="inlineStr">
        <is>
          <t>MVP</t>
        </is>
      </c>
      <c r="C200" s="419" t="inlineStr">
        <is>
          <t>Builder</t>
        </is>
      </c>
      <c r="D200" s="419" t="inlineStr">
        <is>
          <t>React Data-Fetching &amp; Mutation Hooks Generator (apps/web/lib/hooks.ts)</t>
        </is>
      </c>
      <c r="E200" s="419" t="inlineStr">
        <is>
          <t>React data-fetching &amp; mutation hooks generation (`apps/web/lib/hooks.ts`) from Application IR: NextjsWebAdapter emits strongly-typed, idiomatic React hooks using `"use client"` and React 18 built-ins (`useState`, `useEffect`, `useCallback`) with zero extra npm dependencies; exports shared interfaces UseListParams, UseListState&lt;T&gt;, UseDetailState&lt;T&gt;, UseMutationState&lt;TData, TResult&gt;; generates useList&lt;Entities&gt; managing data, total count, loading, error, pagination math (page, pageSize, totalPages, setPage), search (q, setSearch), sorting (sort, order, setSort), and refetch; generates use&lt;Entity&gt; for detail fetch by ID; generates useCreate&lt;Entity&gt;, useUpdate&lt;Entity&gt;, and useDelete&lt;Entity&gt; mutation hooks; generates useList&lt;Entities&gt;By&lt;Rel&gt; for parent-scoped subcollections; exports public render_hooks in codegen and registers in codegen.__init__; pure codegen change, offline, 0 network, no DB (15 new tests, 506 total)</t>
        </is>
      </c>
      <c r="F200" s="419" t="inlineStr">
        <is>
          <t>P1</t>
        </is>
      </c>
      <c r="G200" s="419" t="inlineStr">
        <is>
          <t>Claude (Opus 4.8)</t>
        </is>
      </c>
      <c r="H200" s="419" t="inlineStr">
        <is>
          <t>Done</t>
        </is>
      </c>
      <c r="I200" s="420" t="n">
        <v>1</v>
      </c>
      <c r="J200" s="419" t="inlineStr">
        <is>
          <t>R-261</t>
        </is>
      </c>
      <c r="K200" s="419" t="inlineStr">
        <is>
          <t>Founder Stage 0</t>
        </is>
      </c>
      <c r="L200" s="419" t="inlineStr">
        <is>
          <t>task verify pass; impl f16f64c (bundled commit R-260..R-262); offline/deterministic, 0 cloud calls.</t>
        </is>
      </c>
      <c r="M200" s="419" t="inlineStr">
        <is>
          <t>Backfilled to reconcile the execution tracker with shipped, committed work (R-253..R-279).</t>
        </is>
      </c>
    </row>
    <row r="201">
      <c r="A201" s="419" t="inlineStr">
        <is>
          <t>R-261</t>
        </is>
      </c>
      <c r="B201" s="419" t="inlineStr">
        <is>
          <t>MVP</t>
        </is>
      </c>
      <c r="C201" s="419" t="inlineStr">
        <is>
          <t>Builder</t>
        </is>
      </c>
      <c r="D201" s="419" t="inlineStr">
        <is>
          <t>Full-Text / Keyword Search Filtering on LIST Endpoints</t>
        </is>
      </c>
      <c r="E201" s="419" t="inlineStr">
        <is>
          <t>Full-text and keyword search filtering (`q` query parameter) on Op.LIST and Op.LIST_BY endpoints across Go, FastAPI, Next.js, and OpenAPI 3.1 targets: data_access._searchable_fields identifies fields of type STRING and TEXT; Go store emits `WHERE (field1 ILIKE $1 OR ...)` in List and Count methods with positional argument reuse for parameterized `"%"+q+"%"`, and subcollections scope with relation foreign key (`WHERE &lt;rel&gt;_id = $1 AND (...)`); Go handlers emit `parseSearch(r *http.Request) string` and pass `q` to store calls; FastAPI repositories emit `WHERE (col1 ILIKE %s OR ...)` in list_&lt;table&gt; and count_&lt;table&gt; passing `f"%{q}%"` wildcards; FastAPI routers declare `q: str | None = None` on list endpoints; Next.js lib/api.ts options.params includes `q?: string` for all list and list_by methods; OpenAPI 3.1 generator documents `q` query parameter on all LIST operations; non-text entities safely omit search clauses with 0 SQL errors; pure codegen change, offline, 0 network, no DB (16 new tests, 491 total)</t>
        </is>
      </c>
      <c r="F201" s="419" t="inlineStr">
        <is>
          <t>P1</t>
        </is>
      </c>
      <c r="G201" s="419" t="inlineStr">
        <is>
          <t>Claude (Opus 4.8)</t>
        </is>
      </c>
      <c r="H201" s="419" t="inlineStr">
        <is>
          <t>Done</t>
        </is>
      </c>
      <c r="I201" s="420" t="n">
        <v>1</v>
      </c>
      <c r="J201" s="419" t="inlineStr">
        <is>
          <t>R-260</t>
        </is>
      </c>
      <c r="K201" s="419" t="inlineStr">
        <is>
          <t>Founder Stage 0</t>
        </is>
      </c>
      <c r="L201" s="419" t="inlineStr">
        <is>
          <t>task verify 491 tests; impl f16f64c (bundled commit R-260..R-262); offline/deterministic, 0 cloud calls.</t>
        </is>
      </c>
      <c r="M201" s="419" t="inlineStr">
        <is>
          <t>Backfilled to reconcile the execution tracker with shipped, committed work (R-253..R-279).</t>
        </is>
      </c>
    </row>
    <row r="202">
      <c r="A202" s="419" t="inlineStr">
        <is>
          <t>R-260</t>
        </is>
      </c>
      <c r="B202" s="419" t="inlineStr">
        <is>
          <t>MVP</t>
        </is>
      </c>
      <c r="C202" s="419" t="inlineStr">
        <is>
          <t>Builder</t>
        </is>
      </c>
      <c r="D202" s="419" t="inlineStr">
        <is>
          <t>OpenAPI 3.1 Specification Generation from Application IR</t>
        </is>
      </c>
      <c r="E202" s="419" t="inlineStr">
        <is>
          <t>OpenAPI 3.1 specification generation (`render_openapi`, `render_openapi_json`) from Application IR: translates ApplicationIR into a canonical OpenAPI 3.1.0 document (Brief Section 43: Contracts: OpenAPI + generated clients, packages/contracts/openapi/); components.schemas maps entities to typed properties with validation metadata (maxLength, enum, minimum, maximum, required) plus standard ValidationError/Response and ErrorResponse schemas; components.securitySchemes declares BearerAuth; paths maps all endpoints with path parameters, query parameters (limit, offset, sort, order on LIST endpoints), request bodies, and responses with X-Total-Count header; security requirement attaches BearerAuth and required roles; assemble_project emits contracts/openapi.json in customer monorepos; backend_go and backend_python emit openapi.json in backend project root; test_console_snapshot updated for openapi.json in diff; pure codegen change, offline, 0 network, no DB (14 new tests, 475 total)</t>
        </is>
      </c>
      <c r="F202" s="419" t="inlineStr">
        <is>
          <t>P1</t>
        </is>
      </c>
      <c r="G202" s="419" t="inlineStr">
        <is>
          <t>Claude (Opus 4.8)</t>
        </is>
      </c>
      <c r="H202" s="419" t="inlineStr">
        <is>
          <t>Done</t>
        </is>
      </c>
      <c r="I202" s="420" t="n">
        <v>1</v>
      </c>
      <c r="J202" s="419" t="inlineStr">
        <is>
          <t>R-259</t>
        </is>
      </c>
      <c r="K202" s="419" t="inlineStr">
        <is>
          <t>Founder Stage 0</t>
        </is>
      </c>
      <c r="L202" s="419" t="inlineStr">
        <is>
          <t>task verify 475 tests; impl f16f64c (bundled commit R-260..R-262); offline/deterministic, 0 cloud calls.</t>
        </is>
      </c>
      <c r="M202" s="419" t="inlineStr">
        <is>
          <t>Backfilled to reconcile the execution tracker with shipped, committed work (R-253..R-279).</t>
        </is>
      </c>
    </row>
    <row r="203">
      <c r="A203" s="419" t="inlineStr">
        <is>
          <t>R-259</t>
        </is>
      </c>
      <c r="B203" s="419" t="inlineStr">
        <is>
          <t>MVP</t>
        </is>
      </c>
      <c r="C203" s="419" t="inlineStr">
        <is>
          <t>Builder</t>
        </is>
      </c>
      <c r="D203" s="419" t="inlineStr">
        <is>
          <t>Total Count Queries &amp; `X-Total-Count` Header on LIST Endpoints</t>
        </is>
      </c>
      <c r="E203" s="419" t="inlineStr">
        <is>
          <t>Total count database queries and X-Total-Count HTTP response header on Op.LIST and Op.LIST_BY endpoints across Go, FastAPI, and Next.js targets: Go store emits Count&lt;Entity&gt; (`SELECT COUNT(*) FROM &lt;table&gt;`) and Count&lt;Entity&gt;By&lt;Rel&gt; (`SELECT COUNT(*) FROM &lt;table&gt; WHERE &lt;rel&gt;_id = $1`); Go handlers in internal/handlers/*.go query count before listing and emit `w.Header().Set("X-Total-Count", strconv.Itoa(total))`; Go corsMiddleware adds `Access-Control-Expose-Headers: X-Total-Count`; FastAPI repositories emit `async def count_&lt;table&gt;() -&gt; int` and `count_&lt;table&gt;_by_&lt;rel&gt;(&lt;rel&gt;_id: str) -&gt; int`; FastAPI routers inject `response: Response`, query count, set `response.headers["X-Total-Count"] = str(total)`, and expose in CORSMiddleware; Next.js lib/api.ts exports `PaginatedResult&lt;T&gt; { data: T; total: number }`, adds helper `requestWithMeta&lt;T&gt;`, and emits `list&lt;Entity&gt;WithCount` / `list&lt;Entity&gt;sBy&lt;Rel&gt;WithCount` returning `Promise&lt;PaginatedResult&lt;&lt;Entity&gt;[]&gt;&gt;`, keeping standard `list*` methods returning `Promise&lt;&lt;Entity&gt;[]&gt;` for complete backward compatibility; pure codegen change, offline, 0 network, no DB (15 new tests, 461 total)</t>
        </is>
      </c>
      <c r="F203" s="419" t="inlineStr">
        <is>
          <t>P1</t>
        </is>
      </c>
      <c r="G203" s="419" t="inlineStr">
        <is>
          <t>Claude (Opus 4.8)</t>
        </is>
      </c>
      <c r="H203" s="419" t="inlineStr">
        <is>
          <t>Done</t>
        </is>
      </c>
      <c r="I203" s="420" t="n">
        <v>1</v>
      </c>
      <c r="J203" s="419" t="inlineStr">
        <is>
          <t>R-258</t>
        </is>
      </c>
      <c r="K203" s="419" t="inlineStr">
        <is>
          <t>Founder Stage 0</t>
        </is>
      </c>
      <c r="L203" s="419" t="inlineStr">
        <is>
          <t>task verify 461 tests; impl f55550a; offline/deterministic, 0 cloud calls.</t>
        </is>
      </c>
      <c r="M203" s="419" t="inlineStr">
        <is>
          <t>Backfilled to reconcile the execution tracker with shipped, committed work (R-253..R-279).</t>
        </is>
      </c>
    </row>
    <row r="204">
      <c r="A204" s="419" t="inlineStr">
        <is>
          <t>R-258</t>
        </is>
      </c>
      <c r="B204" s="419" t="inlineStr">
        <is>
          <t>MVP</t>
        </is>
      </c>
      <c r="C204" s="419" t="inlineStr">
        <is>
          <t>Builder</t>
        </is>
      </c>
      <c r="D204" s="419" t="inlineStr">
        <is>
          <t>Query Parameter Sorting (`sort` &amp; `order=asc|desc`) on LIST Endpoints with SQL Injection Whitelist Protection</t>
        </is>
      </c>
      <c r="E204" s="419" t="inlineStr">
        <is>
          <t>Query parameter sorting (`sort` and `order=asc|desc`) with SQL injection whitelist protection across Go and FastAPI backends and Next.js typed API client: Go store whitelists sort column against declared entity fields via switch statement (falling back to "id" default) and validates order direction ("DESC" on case-insensitive "desc", else "ASC"), formatting `ORDER BY %s %s LIMIT $1 OFFSET $2`; Go handlers emit `parseSort(r *http.Request) (string, string)` in shared handlers and pass sort and order to store.List and store.ListBy; FastAPI routers declare `sort: str = "id", order: str = "asc"` on Op.LIST and Op.LIST_BY and forward to repositories; Python repositories declare `ALLOWED_SORT_FIELDS`, whitelisting sort column (falling back to "id") and validating sort direction (falling back to "ASC"); Next.js typed API client (`apps/web/lib/api.ts`) types options params with `limit?: number; offset?: number; sort?: string; order?: "asc" | "desc"`; pure codegen change, offline, 0 network, no DB (14 new tests, 446 total)</t>
        </is>
      </c>
      <c r="F204" s="419" t="inlineStr">
        <is>
          <t>P1</t>
        </is>
      </c>
      <c r="G204" s="419" t="inlineStr">
        <is>
          <t>Claude (Opus 4.8)</t>
        </is>
      </c>
      <c r="H204" s="419" t="inlineStr">
        <is>
          <t>Done</t>
        </is>
      </c>
      <c r="I204" s="420" t="n">
        <v>1</v>
      </c>
      <c r="J204" s="419" t="inlineStr">
        <is>
          <t>R-257</t>
        </is>
      </c>
      <c r="K204" s="419" t="inlineStr">
        <is>
          <t>Founder Stage 0</t>
        </is>
      </c>
      <c r="L204" s="419" t="inlineStr">
        <is>
          <t>task verify 446 tests; impl 34b6d44 (bundled commit R-254..R-258); offline/deterministic, 0 cloud calls.</t>
        </is>
      </c>
      <c r="M204" s="419" t="inlineStr">
        <is>
          <t>Backfilled to reconcile the execution tracker with shipped, committed work (R-253..R-279).</t>
        </is>
      </c>
    </row>
    <row r="205">
      <c r="A205" s="419" t="inlineStr">
        <is>
          <t>R-257</t>
        </is>
      </c>
      <c r="B205" s="419" t="inlineStr">
        <is>
          <t>MVP</t>
        </is>
      </c>
      <c r="C205" s="419" t="inlineStr">
        <is>
          <t>Builder</t>
        </is>
      </c>
      <c r="D205" s="419" t="inlineStr">
        <is>
          <t>Full-Stack Connectivity: Next.js Typed API Client (`lib/api.ts`) &amp; Backend CORS Middleware</t>
        </is>
      </c>
      <c r="E205" s="419" t="inlineStr">
        <is>
          <t>Full-stack connectivity — Next.js typed API client (`apps/web/lib/api.ts`) and backend CORS middleware (Go &amp; FastAPI): NextjsWebAdapter emits a strongly-typed TypeScript API client using native fetch, supporting BASE_URL (`process.env.NEXT_PUBLIC_API_URL || ""`), ApiOptions (token for Bearer auth, query params for URLSearchParams), ApiError (status + data), request helper, typed CRUD functions for all wired entities (list with limit/offset pagination, get, create, update, delete, list_by subcollections), deterministic fallbacks for custom routes, and exported `api` namespace object; Go backend `main.go` gains corsMiddleware wrapping mux with Access-Control-Allow-Origin (* or env CORS_ALLOWED_ORIGIN), Methods, Headers, and OPTIONS 204 preflight; FastAPI backend `app/main.py` adds CORSMiddleware; .env.example files updated in all three adapters; additive, offline, 0 network, no DB (9 new tests, 432 total)</t>
        </is>
      </c>
      <c r="F205" s="419" t="inlineStr">
        <is>
          <t>P1</t>
        </is>
      </c>
      <c r="G205" s="419" t="inlineStr">
        <is>
          <t>Claude (Opus 4.8)</t>
        </is>
      </c>
      <c r="H205" s="419" t="inlineStr">
        <is>
          <t>Done</t>
        </is>
      </c>
      <c r="I205" s="420" t="n">
        <v>1</v>
      </c>
      <c r="J205" s="419" t="inlineStr">
        <is>
          <t>R-256</t>
        </is>
      </c>
      <c r="K205" s="419" t="inlineStr">
        <is>
          <t>Founder Stage 0</t>
        </is>
      </c>
      <c r="L205" s="419" t="inlineStr">
        <is>
          <t>task verify pass; impl 34b6d44 (bundled commit R-254..R-258); offline/deterministic, 0 cloud calls.</t>
        </is>
      </c>
      <c r="M205" s="419" t="inlineStr">
        <is>
          <t>Backfilled to reconcile the execution tracker with shipped, committed work (R-253..R-279).</t>
        </is>
      </c>
    </row>
    <row r="206">
      <c r="A206" s="419" t="inlineStr">
        <is>
          <t>R-256</t>
        </is>
      </c>
      <c r="B206" s="419" t="inlineStr">
        <is>
          <t>MVP</t>
        </is>
      </c>
      <c r="C206" s="419" t="inlineStr">
        <is>
          <t>Builder</t>
        </is>
      </c>
      <c r="D206" s="419" t="inlineStr">
        <is>
          <t>Wire PUT handlers (full-replace update) with validation in Go and FastAPI backends</t>
        </is>
      </c>
      <c r="E206" s="419" t="inlineStr">
        <is>
          <t>Wired PUT handlers (full-replace update) in Go and FastAPI backends: route_wiring extends Op.UPDATE to match `method in ("PATCH", "PUT")` when endpoint ends in a single path parameter and `request_schema` matches a known entity; backend_go wires `Put&lt;Entities&gt;&lt;Id&gt;` handler (body decode -&gt; validateStruct if entity has rules -&gt; store.Update&lt;Entity&gt; -&gt; 404/200); backend_python wires `@router.put` (id_param + payload -&gt; update_&lt;table&gt; -&gt; 404 on None); negative shapes stay 501 scaffold; rule-free entities emit no validateStruct; example IRs unchanged; additive, offline, 0 network, no DB (14 new tests, 423 total)</t>
        </is>
      </c>
      <c r="F206" s="419" t="inlineStr">
        <is>
          <t>P1</t>
        </is>
      </c>
      <c r="G206" s="419" t="inlineStr">
        <is>
          <t>Claude (Opus 4.8)</t>
        </is>
      </c>
      <c r="H206" s="419" t="inlineStr">
        <is>
          <t>Done</t>
        </is>
      </c>
      <c r="I206" s="420" t="n">
        <v>1</v>
      </c>
      <c r="J206" s="419" t="inlineStr">
        <is>
          <t>R-255</t>
        </is>
      </c>
      <c r="K206" s="419" t="inlineStr">
        <is>
          <t>Founder Stage 0</t>
        </is>
      </c>
      <c r="L206" s="419" t="inlineStr">
        <is>
          <t>task verify 420 tests; impl 34b6d44 (bundled commit R-254..R-258); offline/deterministic, 0 cloud calls.</t>
        </is>
      </c>
      <c r="M206" s="419" t="inlineStr">
        <is>
          <t>Backfilled to reconcile the execution tracker with shipped, committed work (R-253..R-279).</t>
        </is>
      </c>
    </row>
    <row r="207">
      <c r="A207" s="419" t="inlineStr">
        <is>
          <t>R-255</t>
        </is>
      </c>
      <c r="B207" s="419" t="inlineStr">
        <is>
          <t>MVP</t>
        </is>
      </c>
      <c r="C207" s="419" t="inlineStr">
        <is>
          <t>Builder</t>
        </is>
      </c>
      <c r="D207" s="419" t="inlineStr">
        <is>
          <t>Query parameter pagination (limit &amp; offset) for LIST and LIST_BY in Go and FastAPI backends</t>
        </is>
      </c>
      <c r="E207" s="419" t="inlineStr">
        <is>
          <t>Added query parameter pagination (`limit` &amp; `offset`) across both generated backends: Go `internal/handlers/handlers.go` emits `parsePagination(r *http.Request) (int, int)` returning limit (default 100, parsed if &gt;0) and offset (default 0, parsed if &gt;=0) via `strconv.Atoi`; Go wired `Op.LIST` and `Op.LIST_BY` handlers extract limit and offset and pass them to `store.List&lt;Entity&gt;` and `store.List&lt;Entity&gt;By&lt;Rel&gt;`; Go store emits `SELECT ... ORDER BY id LIMIT $1 OFFSET $2` (and `LIMIT $2 OFFSET $3` for filtered lists); FastAPI routers emit `limit: int = 100, offset: int = 0` query parameters on `@router.get` endpoints and pass them to repository calls; Python repositories parameterize `LIMIT %s OFFSET %s` with `(limit, offset)`; clients omitting parameters get default 100 items at offset 0; additive, offline, 0 network, no DB (11 new tests, 409 total)</t>
        </is>
      </c>
      <c r="F207" s="419" t="inlineStr">
        <is>
          <t>P1</t>
        </is>
      </c>
      <c r="G207" s="419" t="inlineStr">
        <is>
          <t>Claude (Opus 4.8)</t>
        </is>
      </c>
      <c r="H207" s="419" t="inlineStr">
        <is>
          <t>Done</t>
        </is>
      </c>
      <c r="I207" s="420" t="n">
        <v>1</v>
      </c>
      <c r="J207" s="419" t="inlineStr">
        <is>
          <t>R-254</t>
        </is>
      </c>
      <c r="K207" s="419" t="inlineStr">
        <is>
          <t>Founder Stage 0</t>
        </is>
      </c>
      <c r="L207" s="419" t="inlineStr">
        <is>
          <t>task verify pass; impl 34b6d44 (bundled commit R-254..R-258); offline/deterministic, 0 cloud calls.</t>
        </is>
      </c>
      <c r="M207" s="419" t="inlineStr">
        <is>
          <t>Backfilled to reconcile the execution tracker with shipped, committed work (R-253..R-279).</t>
        </is>
      </c>
    </row>
    <row r="208">
      <c r="A208" s="419" t="inlineStr">
        <is>
          <t>R-254</t>
        </is>
      </c>
      <c r="B208" s="419" t="inlineStr">
        <is>
          <t>MVP</t>
        </is>
      </c>
      <c r="C208" s="419" t="inlineStr">
        <is>
          <t>Builder</t>
        </is>
      </c>
      <c r="D208" s="419" t="inlineStr">
        <is>
          <t>Field-level validation error bodies (structured JSON errors instead of flat string)</t>
        </is>
      </c>
      <c r="E208" s="419" t="inlineStr">
        <is>
          <t>Replaced the flat "validation_failed" string with structured JSON error bodies in the generated Go backend: field_validation.go_validate_file() now emits a validationError struct {Field/Rule/Message string} and validateStruct(w http.ResponseWriter, v any) bool — on failure it iterates validator.ValidationErrors, builds []validationError{field:fe.Field(), rule:fe.Tag(), message:fmt.Sprintf(...)}, writes {"errors":[...]} via writeJSON(w, http.StatusBadRequest, ...) and returns false; on success returns true; handlers use "if !validateStruct(w, m) { return }" — a single line replacing the old two-line status+msg pattern; "fmt" added to validate.go imports; "validation_failed" string gone; FastAPI/Pydantic already return structured 422 detail by default (no change needed); rule-free gate, example IRs, and all other handler behaviour unchanged; additive and offline, no IR field, no platform dep, no install/build/run/DB (24 new tests, 398 total)</t>
        </is>
      </c>
      <c r="F208" s="419" t="inlineStr">
        <is>
          <t>P1</t>
        </is>
      </c>
      <c r="G208" s="419" t="inlineStr">
        <is>
          <t>Claude (Opus 4.8)</t>
        </is>
      </c>
      <c r="H208" s="419" t="inlineStr">
        <is>
          <t>Done</t>
        </is>
      </c>
      <c r="I208" s="420" t="n">
        <v>1</v>
      </c>
      <c r="J208" s="419" t="inlineStr">
        <is>
          <t>R-253</t>
        </is>
      </c>
      <c r="K208" s="419" t="inlineStr">
        <is>
          <t>Founder Stage 0</t>
        </is>
      </c>
      <c r="L208" s="419" t="inlineStr">
        <is>
          <t>task verify 398 tests; impl 34b6d44 (bundled commit R-254..R-258); offline/deterministic, 0 cloud calls.</t>
        </is>
      </c>
      <c r="M208" s="419" t="inlineStr">
        <is>
          <t>Backfilled to reconcile the execution tracker with shipped, committed work (R-253..R-279).</t>
        </is>
      </c>
    </row>
    <row r="209">
      <c r="A209" s="419" t="inlineStr">
        <is>
          <t>R-253</t>
        </is>
      </c>
      <c r="B209" s="419" t="inlineStr">
        <is>
          <t>MVP</t>
        </is>
      </c>
      <c r="C209" s="419" t="inlineStr">
        <is>
          <t>Builder</t>
        </is>
      </c>
      <c r="D209" s="419" t="inlineStr">
        <is>
          <t>Wire PATCH/update handlers with validation in Go and FastAPI backends</t>
        </is>
      </c>
      <c r="E209" s="419" t="inlineStr">
        <is>
          <t>Closed the missing PATCH/update CRUD verb in both generated backends: route_wiring gains Op.UPDATE; data_access emits Go UpdateEntity + Python update_table; backend_go wires Op.UPDATE handler (decode -&gt; validateStruct -&gt; store.Update -&gt; 404/200); backend_python wires @router.patch; all SQL parameterized; rule-free no validate; example IRs unchanged; additive and offline (24 new tests, 374 total)</t>
        </is>
      </c>
      <c r="F209" s="419" t="inlineStr">
        <is>
          <t>P1</t>
        </is>
      </c>
      <c r="G209" s="419" t="inlineStr">
        <is>
          <t>Claude (Opus 4.8)</t>
        </is>
      </c>
      <c r="H209" s="419" t="inlineStr">
        <is>
          <t>Done</t>
        </is>
      </c>
      <c r="I209" s="420" t="n">
        <v>1</v>
      </c>
      <c r="J209" s="419" t="inlineStr">
        <is>
          <t>R-252</t>
        </is>
      </c>
      <c r="K209" s="419" t="inlineStr">
        <is>
          <t>Founder Stage 0</t>
        </is>
      </c>
      <c r="L209" s="419" t="inlineStr">
        <is>
          <t>task verify 360 tests; impl 5b2e1c1; offline/deterministic, 0 cloud calls.</t>
        </is>
      </c>
      <c r="M209" s="419" t="inlineStr">
        <is>
          <t>Backfilled to reconcile the execution tracker with shipped, committed work (R-253..R-279).</t>
        </is>
      </c>
    </row>
    <row r="210">
      <c r="A210" s="419" t="inlineStr">
        <is>
          <t>R-252</t>
        </is>
      </c>
      <c r="B210" s="419" t="inlineStr">
        <is>
          <t>MVP</t>
        </is>
      </c>
      <c r="C210" s="419" t="inlineStr">
        <is>
          <t>Builder</t>
        </is>
      </c>
      <c r="D210" s="419" t="inlineStr">
        <is>
          <t>Enforce go-playground validation in the generated Go create handlers</t>
        </is>
      </c>
      <c r="E210" s="419" t="inlineStr">
        <is>
          <t>Makes the R-251 Go validate:"..." struct tags actually enforced at request time. When a wired CREATE handler's entity carries validation rules, the Go backend declares github.com/go-playground/validator/v10 in its own go.mod, emits internal/handlers/validate.go (a shared validator.New() instance + a validateStruct helper returning 400/validation_failed on a tag violation), and calls validateStruct on the decoded body right after JSON decode and before the store.Create call, 400-ing on failure. Rule-free projects emit none of this and stay byte-identical to R-251; FastAPI already enforces via Pydantic. Validation now holds at three layers (request model, request handler, DB). Additive/offline; dep lives only in the generated project; no platform dependency; no DB connection.</t>
        </is>
      </c>
      <c r="F210" s="419" t="inlineStr">
        <is>
          <t>P1</t>
        </is>
      </c>
      <c r="G210" s="419" t="inlineStr">
        <is>
          <t>Claude (Opus 4.8)</t>
        </is>
      </c>
      <c r="H210" s="419" t="inlineStr">
        <is>
          <t>Done</t>
        </is>
      </c>
      <c r="I210" s="420" t="n">
        <v>1</v>
      </c>
      <c r="J210" s="419" t="inlineStr">
        <is>
          <t>R-251</t>
        </is>
      </c>
      <c r="K210" s="419" t="inlineStr">
        <is>
          <t>Founder Stage 0</t>
        </is>
      </c>
      <c r="L210" s="419" t="inlineStr">
        <is>
          <t>task verify pass (350 agent-engine tests, 5 new in test_go_validation_enforcement); security:quick + env:check pass; generated Go create handler calls validateStruct before store.Create; go.mod requires validator/v10 v10.22.1; rule-free projects + examples emit none. Commit f4fc828. 0 local / 0 cloud calls.</t>
        </is>
      </c>
      <c r="M210" s="419" t="inlineStr">
        <is>
          <t>Founder chose option 1 after R-251 (wire enforcement, not static/seed rendering). Reconstructed with founder approval from Brief Sections 9, 26, 27, 34, 42, 74, 77, and 92.</t>
        </is>
      </c>
    </row>
    <row r="211">
      <c r="A211" s="419" t="inlineStr">
        <is>
          <t>R-251</t>
        </is>
      </c>
      <c r="B211" s="419" t="inlineStr">
        <is>
          <t>MVP</t>
        </is>
      </c>
      <c r="C211" s="419" t="inlineStr">
        <is>
          <t>Builder</t>
        </is>
      </c>
      <c r="D211" s="419" t="inlineStr">
        <is>
          <t>Field validation for Go + numeric min/max (all schema/model targets)</t>
        </is>
      </c>
      <c r="E211" s="419" t="inlineStr">
        <is>
          <t>Extends R-250: the field_validation parser gains numeric min:&lt;n&gt; / max:&lt;n&gt; rules and a go_validate_tag helper, so validation now flows into all three targets. Schema: numeric INT/FLOAT fields render CHECK (col &gt;= n) / CHECK (col &lt;= n) (plus enum/VARCHAR from R-250). FastAPI Pydantic: Field(ge=, le=) alongside max_length. Go models: a go-playground validate:"max=,oneof=,gte=,lte=" struct tag on each field with rules (rule-free fields keep a plain json tag). Declarative tags (enforcement wiring is a follow-up); schema enforces at the DB for both backends. Additive/offline; examples unchanged; no go.mod dependency; no DB.</t>
        </is>
      </c>
      <c r="F211" s="419" t="inlineStr">
        <is>
          <t>P1</t>
        </is>
      </c>
      <c r="G211" s="419" t="inlineStr">
        <is>
          <t>Claude (Opus 4.8)</t>
        </is>
      </c>
      <c r="H211" s="419" t="inlineStr">
        <is>
          <t>Done</t>
        </is>
      </c>
      <c r="I211" s="420" t="n">
        <v>1</v>
      </c>
      <c r="J211" s="419" t="inlineStr">
        <is>
          <t>R-250</t>
        </is>
      </c>
      <c r="K211" s="419" t="inlineStr">
        <is>
          <t>Founder Stage 0</t>
        </is>
      </c>
      <c r="L211" s="419" t="inlineStr">
        <is>
          <t>Done 2060a21 — 345 tests (8 new); task verify + security:quick + env:check pass; numeric CHECK + Pydantic ge/le + Go validate tags across all targets; rule-free fields unchanged; no go.mod dep, no DB connection.</t>
        </is>
      </c>
      <c r="M211" s="419" t="inlineStr">
        <is>
          <t>Reconstructed with founder approval (extend field validation to Go + numeric bounds) from Brief Sections 9, 26, 27, 34, 42, 74, 77, and 92.</t>
        </is>
      </c>
    </row>
    <row r="212">
      <c r="A212" s="419" t="inlineStr">
        <is>
          <t>R-250</t>
        </is>
      </c>
      <c r="B212" s="419" t="inlineStr">
        <is>
          <t>MVP</t>
        </is>
      </c>
      <c r="C212" s="419" t="inlineStr">
        <is>
          <t>Builder</t>
        </is>
      </c>
      <c r="D212" s="419" t="inlineStr">
        <is>
          <t>Richer field validation (max_length + enum) into schema + FastAPI models</t>
        </is>
      </c>
      <c r="E212" s="419" t="inlineStr">
        <is>
          <t>Interprets the IR Field.validation rules (max_length:&lt;int&gt;, enum:&lt;a&gt;|&lt;b&gt;|&lt;c&gt;) in two generated targets: the PostgreSQL schema renders a STRING with max_length as VARCHAR(n) and an enum as CHECK (&lt;col&gt; IN ('a','b')); the FastAPI Pydantic models render Field(max_length=n) and a Literal[...] type. Unknown rules are ignored (forward-compatible). Go request-validation tags deferred (the schema already constrains Go writes at the DB). Additive/offline; examples unchanged; nothing connects to or runs a database.</t>
        </is>
      </c>
      <c r="F212" s="419" t="inlineStr">
        <is>
          <t>P1</t>
        </is>
      </c>
      <c r="G212" s="419" t="inlineStr">
        <is>
          <t>Claude (Opus 4.8)</t>
        </is>
      </c>
      <c r="H212" s="419" t="inlineStr">
        <is>
          <t>Done</t>
        </is>
      </c>
      <c r="I212" s="420" t="n">
        <v>1</v>
      </c>
      <c r="J212" s="419" t="inlineStr">
        <is>
          <t>R-249</t>
        </is>
      </c>
      <c r="K212" s="419" t="inlineStr">
        <is>
          <t>Founder Stage 0</t>
        </is>
      </c>
      <c r="L212" s="419" t="inlineStr">
        <is>
          <t>Done 1eed171 — 337 tests (10 new); task verify + security:quick + env:check pass; STRING max_length -&gt; VARCHAR(n), enum -&gt; CHECK, Pydantic Field(max_length)/Literal; unknown rules ignored; examples unchanged; no DB connection.</t>
        </is>
      </c>
      <c r="M212" s="419" t="inlineStr">
        <is>
          <t>Reconstructed with founder approval (richer field validation into models + schema) from Brief Sections 9, 26, 27, 34, 42, 74, 77, and 92.</t>
        </is>
      </c>
    </row>
    <row r="213">
      <c r="A213" s="419" t="inlineStr">
        <is>
          <t>R-249</t>
        </is>
      </c>
      <c r="B213" s="419" t="inlineStr">
        <is>
          <t>MVP</t>
        </is>
      </c>
      <c r="C213" s="419" t="inlineStr">
        <is>
          <t>Builder</t>
        </is>
      </c>
      <c r="D213" s="419" t="inlineStr">
        <is>
          <t>IR indexes + unique constraints in the generated PostgreSQL schema</t>
        </is>
      </c>
      <c r="E213" s="419" t="inlineStr">
        <is>
          <t>Lets the Application IR express column uniqueness and entity indexes and renders them in the generated schema. Field.unique adds a single-column UNIQUE constraint (never on the id PK); a new Index record on Entity (fields + unique + optional name) emits CREATE [UNIQUE] INDEX &lt;name&gt; ON &lt;table&gt; (&lt;cols&gt;); per index with a deterministic default name when unnamed. Additive IR fields (empty/false defaults, no schema-version bump); index field refs validated against the entity's fields at construction. Pure/deterministic/offline; schema text only, no DB.</t>
        </is>
      </c>
      <c r="F213" s="419" t="inlineStr">
        <is>
          <t>P1</t>
        </is>
      </c>
      <c r="G213" s="419" t="inlineStr">
        <is>
          <t>Claude (Opus 4.8)</t>
        </is>
      </c>
      <c r="H213" s="419" t="inlineStr">
        <is>
          <t>Done</t>
        </is>
      </c>
      <c r="I213" s="420" t="n">
        <v>1</v>
      </c>
      <c r="J213" s="419" t="inlineStr">
        <is>
          <t>R-248</t>
        </is>
      </c>
      <c r="K213" s="419" t="inlineStr">
        <is>
          <t>Founder Stage 0</t>
        </is>
      </c>
      <c r="L213" s="419" t="inlineStr">
        <is>
          <t>Done 28e7cd5 — 327 tests (11 new); task verify + security:quick + env:check pass; UNIQUE columns + CREATE [UNIQUE] INDEX rendered, id never unique, bad index field is a construction error, IR round-trips; no DB connection.</t>
        </is>
      </c>
      <c r="M213" s="419" t="inlineStr">
        <is>
          <t>Reconstructed with founder approval (deeper IR/adapter coverage: indexes + unique constraints) from Brief Sections 9, 34, 35, 42, 74, 77, and 92.</t>
        </is>
      </c>
    </row>
    <row r="214">
      <c r="A214" s="419" t="inlineStr">
        <is>
          <t>R-248</t>
        </is>
      </c>
      <c r="B214" s="419" t="inlineStr">
        <is>
          <t>MVP</t>
        </is>
      </c>
      <c r="C214" s="419" t="inlineStr">
        <is>
          <t>Builder</t>
        </is>
      </c>
      <c r="D214" s="419" t="inlineStr">
        <is>
          <t>Application IR fixtures + honest migrations/0002_seed.sql</t>
        </is>
      </c>
      <c r="E214" s="419" t="inlineStr">
        <is>
          <t>Adds explicit seed rows to the Application IR (a Fixture record: entity + rows of column-&gt;JSON value) and deterministically emits migrations/0002_seed.sql containing exactly those authored values — never inventing, defaulting, or guessing. Fixtures are validated (entity + columns declared; missing required column is a warning) and round-trip through to_dict/from_dict/normalize_ir. The seed emitter owns SQL literal quoting (single quotes doubled; bool-&gt;TRUE/FALSE; None-&gt;NULL; dict/list-&gt;jsonb). Both backends emit the file only when the IR has fixtures and database_strategy=postgres. Pure/deterministic/offline; no DB connection, no migration run, no fabricated value.</t>
        </is>
      </c>
      <c r="F214" s="419" t="inlineStr">
        <is>
          <t>P1</t>
        </is>
      </c>
      <c r="G214" s="419" t="inlineStr">
        <is>
          <t>Claude (Opus 4.8)</t>
        </is>
      </c>
      <c r="H214" s="419" t="inlineStr">
        <is>
          <t>Done</t>
        </is>
      </c>
      <c r="I214" s="420" t="n">
        <v>1</v>
      </c>
      <c r="J214" s="419" t="inlineStr">
        <is>
          <t>R-247</t>
        </is>
      </c>
      <c r="K214" s="419" t="inlineStr">
        <is>
          <t>Founder Stage 0</t>
        </is>
      </c>
      <c r="L214" s="419" t="inlineStr">
        <is>
          <t>Done 9d34720 — 316 tests (14 new); task verify + security:quick + env:check pass; render_postgres_seed emits authored INSERTs (quoted/escaped), both backends emit 0002_seed.sql for minimal-blog, none for fixture-free/non-postgres; no DB connection, no fabricated value.</t>
        </is>
      </c>
      <c r="M214" s="419" t="inlineStr">
        <is>
          <t>Reconstructed with founder approval (honest seed data from explicit IR fixtures) from Brief Sections 9, 26, 27, 34, 35, 42, 74, 77, and 92.</t>
        </is>
      </c>
    </row>
    <row r="215">
      <c r="A215" s="419" t="inlineStr">
        <is>
          <t>R-247</t>
        </is>
      </c>
      <c r="B215" s="419" t="inlineStr">
        <is>
          <t>MVP</t>
        </is>
      </c>
      <c r="C215" s="419" t="inlineStr">
        <is>
          <t>Console</t>
        </is>
      </c>
      <c r="D215" s="419" t="inlineStr">
        <is>
          <t>Render the project plan and unified edit patch in the static console</t>
        </is>
      </c>
      <c r="E215" s="419" t="inlineStr">
        <is>
          <t>Extends the existing dependency-free Stage 0 console with a deterministic builder showcase: the R-245 combined ProjectPlan for a bundled Application IR example and an R-246 hunk-level unified patch produced from an actual old/new IR assembly. Renders app targets, preview URLs, verify gates/commands, requested change, changed files, and patch with textContent-only DOM APIs. Read-only/offline; no generated app install/run/verify/deploy, database connection, external request, service, dependency, or secret value.</t>
        </is>
      </c>
      <c r="F215" s="419" t="inlineStr">
        <is>
          <t>P1</t>
        </is>
      </c>
      <c r="G215" s="419" t="inlineStr">
        <is>
          <t>Codex (GPT-5)</t>
        </is>
      </c>
      <c r="H215" s="419" t="inlineStr">
        <is>
          <t>Done</t>
        </is>
      </c>
      <c r="I215" s="420" t="n">
        <v>1</v>
      </c>
      <c r="J215" s="419" t="inlineStr">
        <is>
          <t>R-246</t>
        </is>
      </c>
      <c r="K215" s="419" t="inlineStr">
        <is>
          <t>Founder Stage 0</t>
        </is>
      </c>
      <c r="L215" s="419" t="inlineStr">
        <is>
          <t>Done 6a82056 — 302 tests (5 new); task verify + security:quick + env:check pass; deterministic snapshot; node --check; live local visual review shows 2-app plan + 5-file hunk patch; 1 local / 0 cloud model calls.</t>
        </is>
      </c>
      <c r="M215" s="419" t="inlineStr">
        <is>
          <t>Founder instructed continuation from R-247; selected the smallest visible offline console slice from the approved options. Brief Sections 6, 9, 15, 25-27, 34, 51, 74, 77, 83-85, and 92.</t>
        </is>
      </c>
    </row>
    <row r="216">
      <c r="A216" s="419" t="inlineStr">
        <is>
          <t>R-246</t>
        </is>
      </c>
      <c r="B216" s="419" t="inlineStr">
        <is>
          <t>MVP</t>
        </is>
      </c>
      <c r="C216" s="419" t="inlineStr">
        <is>
          <t>Builder</t>
        </is>
      </c>
      <c r="D216" s="419" t="inlineStr">
        <is>
          <t>Richer edit-loop diffs (hunk-level + rename detection)</t>
        </is>
      </c>
      <c r="E216" s="419" t="inlineStr">
        <is>
          <t>On top of the R-237 file-level ProjectDiff, adds a line-level report: git-style unified (hunk) diffs for modified files and exact-content rename detection (a deleted file whose content matches an added file is a single RENAMED record, not delete+add). diff_report(old, new) returns structured FileDiff records; unified_patch(old, new) returns one byte-stable git-style patch string. Standard-library difflib only; additive (diff_projects/apply_diff/plan_edit unchanged); pure/deterministic, nothing run or written to disk.</t>
        </is>
      </c>
      <c r="F216" s="419" t="inlineStr">
        <is>
          <t>P2</t>
        </is>
      </c>
      <c r="G216" s="419" t="inlineStr">
        <is>
          <t>Claude (Opus 4.8)</t>
        </is>
      </c>
      <c r="H216" s="419" t="inlineStr">
        <is>
          <t>Done</t>
        </is>
      </c>
      <c r="I216" s="420" t="n">
        <v>1</v>
      </c>
      <c r="J216" s="419" t="inlineStr">
        <is>
          <t>R-237</t>
        </is>
      </c>
      <c r="K216" s="419" t="inlineStr">
        <is>
          <t>Founder Stage 0</t>
        </is>
      </c>
      <c r="L216" s="419" t="inlineStr">
        <is>
          <t>Done eebab68 — 297 tests (6 new); task verify + security:quick + env:check pass; diff_report gives hunk diffs + rename detection; unified_patch byte-stable; additive, nothing run.</t>
        </is>
      </c>
      <c r="M216" s="419" t="inlineStr">
        <is>
          <t>Reconstructed with founder approval (edits read as focused patches) from Brief Sections 6, 9, 27, 34, 74, 77, and 92.</t>
        </is>
      </c>
    </row>
    <row r="217">
      <c r="A217" s="419" t="inlineStr">
        <is>
          <t>R-245</t>
        </is>
      </c>
      <c r="B217" s="419" t="inlineStr">
        <is>
          <t>MVP</t>
        </is>
      </c>
      <c r="C217" s="419" t="inlineStr">
        <is>
          <t>Runtime</t>
        </is>
      </c>
      <c r="D217" s="419" t="inlineStr">
        <is>
          <t>Combined project-plan surface (preview + verify + deploy per app)</t>
        </is>
      </c>
      <c r="E217" s="419" t="inlineStr">
        <is>
          <t>Composes the assembler app layout (R-232), runtime preview plans (R-233), verify gate ladders (R-235), and optional deploy plans (R-234) into one per-app ProjectPlan a console/CLI can render. build_project_plan(ir) pairs each assembled app with its preview + verify plans (and a deploy plan only when a key-activated provider is passed); to_dict is JSON-serializable and secret-free, render() is a readable summary, and task plan:show prints it. Pure/deterministic — it only builds plans; nothing is installed, run, verified, or deployed; no key value included.</t>
        </is>
      </c>
      <c r="F217" s="419" t="inlineStr">
        <is>
          <t>P1</t>
        </is>
      </c>
      <c r="G217" s="419" t="inlineStr">
        <is>
          <t>Claude (Opus 4.8)</t>
        </is>
      </c>
      <c r="H217" s="419" t="inlineStr">
        <is>
          <t>Done</t>
        </is>
      </c>
      <c r="I217" s="420" t="n">
        <v>1</v>
      </c>
      <c r="J217" s="419" t="inlineStr">
        <is>
          <t>R-235</t>
        </is>
      </c>
      <c r="K217" s="419" t="inlineStr">
        <is>
          <t>Founder Stage 0</t>
        </is>
      </c>
      <c r="L217" s="419" t="inlineStr">
        <is>
          <t>Done 891144d — 291 tests (6 new); task verify + security:quick + env:check pass; task plan:show renders preview+verify per app; deploy opt-in; JSON secret-free; nothing run.</t>
        </is>
      </c>
      <c r="M217" s="419" t="inlineStr">
        <is>
          <t>Reconstructed with founder approval (one plan surface tying runtime + verify + deploy) from Brief Sections 15, 26, 27, 51, 74, 75, 77, and 92.</t>
        </is>
      </c>
    </row>
    <row r="218">
      <c r="A218" s="419" t="inlineStr">
        <is>
          <t>R-244</t>
        </is>
      </c>
      <c r="B218" s="419" t="inlineStr">
        <is>
          <t>MVP</t>
        </is>
      </c>
      <c r="C218" s="419" t="inlineStr">
        <is>
          <t>Builder</t>
        </is>
      </c>
      <c r="D218" s="419" t="inlineStr">
        <is>
          <t>Sub-collection route wiring (parent-scoped lists)</t>
        </is>
      </c>
      <c r="E218" s="419" t="inlineStr">
        <is>
          <t>Wires the sub-collection GET pattern /&lt;parents&gt;/{parentId}/&lt;children&gt; to a parent-scoped list, clearing the main class of remaining 501 stubs. The child entity (response_schema) must be a repository entity with exactly one FK relation (many_to_one/one_to_one); the endpoint lists it filtered by &lt;rel&gt;_id = the path param. Data-access gains a filtered list per FK relation (Python list_&lt;table&gt;_by_&lt;rel&gt;, Go List&lt;Entity&gt;By&lt;Rel&gt;) with parameterized values; route wiring gains a LIST_BY op. Ambiguous endpoints (0/&gt;1 FK relations, multi-param) stay 501. Deterministic/offline; nothing runs. Seed data deferred (no IR fixture values).</t>
        </is>
      </c>
      <c r="F218" s="419" t="inlineStr">
        <is>
          <t>P0</t>
        </is>
      </c>
      <c r="G218" s="419" t="inlineStr">
        <is>
          <t>Claude (Opus 4.8)</t>
        </is>
      </c>
      <c r="H218" s="419" t="inlineStr">
        <is>
          <t>Done</t>
        </is>
      </c>
      <c r="I218" s="420" t="n">
        <v>1</v>
      </c>
      <c r="J218" s="419" t="inlineStr">
        <is>
          <t>R-243</t>
        </is>
      </c>
      <c r="K218" s="419" t="inlineStr">
        <is>
          <t>Founder Stage 0</t>
        </is>
      </c>
      <c r="L218" s="419" t="inlineStr">
        <is>
          <t>Done b886d72 — 285 tests (11 new); task verify + security:quick + env:check pass; GET /posts/{postId}/comments wired to list_comment_by_post (Py) / ListCommentByPost (Go); ambiguous routes stay 501; nothing run.</t>
        </is>
      </c>
      <c r="M218" s="419" t="inlineStr">
        <is>
          <t>Reconstructed with founder approval (finish the CRUD story via sub-collection lists) from Brief Sections 9, 27, 34, 35, 42, 74, 77, and 92.</t>
        </is>
      </c>
    </row>
    <row r="219">
      <c r="A219" s="419" t="inlineStr">
        <is>
          <t>R-243</t>
        </is>
      </c>
      <c r="B219" s="419" t="inlineStr">
        <is>
          <t>MVP</t>
        </is>
      </c>
      <c r="C219" s="419" t="inlineStr">
        <is>
          <t>Builder</t>
        </is>
      </c>
      <c r="D219" s="419" t="inlineStr">
        <is>
          <t>Per-endpoint role enforcement (IR required_roles -&gt; 403)</t>
        </is>
      </c>
      <c r="E219" s="419" t="inlineStr">
        <is>
          <t>Adds authorization on top of R-242 JWT auth: the Application IR ApiEndpoint gains an optional required_roles (role ids; a non-empty value implies auth, each must be a declared role — validate_ir errors otherwise), and the generated guard returns 403 when the verified token's roles claim includes no required role. Python emits a require_roles(*roles) dependency factory; Go emits RequireRoles(next, roles...) on a shared verifyToken + hasAnyRole; main wraps role-gated endpoints. First additive IR change (default (), no schema bump). Deterministic/offline; nothing runs.</t>
        </is>
      </c>
      <c r="F219" s="419" t="inlineStr">
        <is>
          <t>P0</t>
        </is>
      </c>
      <c r="G219" s="419" t="inlineStr">
        <is>
          <t>Claude (Opus 4.8)</t>
        </is>
      </c>
      <c r="H219" s="419" t="inlineStr">
        <is>
          <t>Done</t>
        </is>
      </c>
      <c r="I219" s="420" t="n">
        <v>1</v>
      </c>
      <c r="J219" s="419" t="inlineStr">
        <is>
          <t>R-242</t>
        </is>
      </c>
      <c r="K219" s="419" t="inlineStr">
        <is>
          <t>Founder Stage 0</t>
        </is>
      </c>
      <c r="L219" s="419" t="inlineStr">
        <is>
          <t>Done 1faea2c — 274 tests (6 new); task verify + security:quick + env:check pass; IR required_roles validated+serialized, Python require_roles + Go RequireRoles -&gt; 403; validate_ir errors on unknown role; nothing run.</t>
        </is>
      </c>
      <c r="M219" s="419" t="inlineStr">
        <is>
          <t>Reconstructed with founder approval (per-endpoint roles after JWT verification) from Brief Sections 9, 27, 34, 55, 64, 74, 77, and 92.</t>
        </is>
      </c>
    </row>
    <row r="220">
      <c r="A220" s="419" t="inlineStr">
        <is>
          <t>R-242</t>
        </is>
      </c>
      <c r="B220" s="419" t="inlineStr">
        <is>
          <t>MVP</t>
        </is>
      </c>
      <c r="C220" s="419" t="inlineStr">
        <is>
          <t>Builder</t>
        </is>
      </c>
      <c r="D220" s="419" t="inlineStr">
        <is>
          <t>Real JWT verification in the generated auth guard (HS256)</t>
        </is>
      </c>
      <c r="E220" s="419" t="inlineStr">
        <is>
          <t>Upgrades the R-241 guard from a bearer-presence check to real token verification: the generated guard decodes and verifies a JWT (HS256) using JWT_SECRET read from the environment (401 on missing/invalid/expired, 500 when the secret is unset — never a fabricated default). Python require_auth uses PyJWT and returns the claims; Go RequireAuth uses golang-jwt and rejects non-HMAC tokens. Generated projects gain the JWT dependency (requirements.txt / go.mod) and an empty JWT_SECRET in .env.example. Deterministic/offline; no token signed or verified at generation time; nothing runs.</t>
        </is>
      </c>
      <c r="F220" s="419" t="inlineStr">
        <is>
          <t>P0</t>
        </is>
      </c>
      <c r="G220" s="419" t="inlineStr">
        <is>
          <t>Claude (Opus 4.8)</t>
        </is>
      </c>
      <c r="H220" s="419" t="inlineStr">
        <is>
          <t>Done</t>
        </is>
      </c>
      <c r="I220" s="420" t="n">
        <v>1</v>
      </c>
      <c r="J220" s="419" t="inlineStr">
        <is>
          <t>R-241</t>
        </is>
      </c>
      <c r="K220" s="419" t="inlineStr">
        <is>
          <t>Founder Stage 0</t>
        </is>
      </c>
      <c r="L220" s="419" t="inlineStr">
        <is>
          <t>Done e0d8af3 — 268 tests (3 new); task verify + security:quick + env:check pass; Python require_auth uses PyJWT HS256, Go RequireAuth uses golang-jwt; JWT_SECRET from env only; nothing run.</t>
        </is>
      </c>
      <c r="M220" s="419" t="inlineStr">
        <is>
          <t>Reconstructed with founder approval (real token verification after the R-241 auth guard) from Brief Sections 9, 27, 34, 55, 64, 74, 77, 90, and 92.</t>
        </is>
      </c>
    </row>
    <row r="221">
      <c r="A221" s="419" t="inlineStr">
        <is>
          <t>R-241</t>
        </is>
      </c>
      <c r="B221" s="419" t="inlineStr">
        <is>
          <t>MVP</t>
        </is>
      </c>
      <c r="C221" s="419" t="inlineStr">
        <is>
          <t>Builder</t>
        </is>
      </c>
      <c r="D221" s="419" t="inlineStr">
        <is>
          <t>Authentication guards from the IR (enforce endpoint auth flag)</t>
        </is>
      </c>
      <c r="E221" s="419" t="inlineStr">
        <is>
          <t>Makes the IR per-endpoint auth flag real: every auth=true endpoint enforces a guard that rejects a request with no bearer credential (HTTP 401) before the handler runs. Python emits app/auth.py (require_auth dependency) and auth routes declare dependencies=[Depends(require_auth)]; Go emits internal/handlers/auth.go (RequireAuth middleware) and main wraps the auth endpoints. IR roles surfaced as a generated constant; token verification (signature/expiry/roles) is an explicit TODO, not faked. Deterministic/offline; emitted when any endpoint needs auth; nothing runs.</t>
        </is>
      </c>
      <c r="F221" s="419" t="inlineStr">
        <is>
          <t>P0</t>
        </is>
      </c>
      <c r="G221" s="419" t="inlineStr">
        <is>
          <t>Claude (Opus 4.8)</t>
        </is>
      </c>
      <c r="H221" s="419" t="inlineStr">
        <is>
          <t>Done</t>
        </is>
      </c>
      <c r="I221" s="420" t="n">
        <v>1</v>
      </c>
      <c r="J221" s="419" t="inlineStr">
        <is>
          <t>R-240</t>
        </is>
      </c>
      <c r="K221" s="419" t="inlineStr">
        <is>
          <t>Founder Stage 0</t>
        </is>
      </c>
      <c r="L221" s="419" t="inlineStr">
        <is>
          <t>Done 4db716b — 265 tests (9 new); task verify + security:quick + env:check pass; auth=true routes guarded (Python Depends, Go RequireAuth), public routes untouched; token verification is a documented TODO.</t>
        </is>
      </c>
      <c r="M221" s="419" t="inlineStr">
        <is>
          <t>Reconstructed with founder approval (enforce the IR auth flag; a core real-app feature) from Brief Sections 9, 27, 34, 35, 55, 64, 74, 77, and 92.</t>
        </is>
      </c>
    </row>
    <row r="222">
      <c r="A222" s="419" t="inlineStr">
        <is>
          <t>R-240</t>
        </is>
      </c>
      <c r="B222" s="419" t="inlineStr">
        <is>
          <t>MVP</t>
        </is>
      </c>
      <c r="C222" s="419" t="inlineStr">
        <is>
          <t>Builder</t>
        </is>
      </c>
      <c r="D222" s="419" t="inlineStr">
        <is>
          <t>Route wiring: handlers call the repositories (real CRUD)</t>
        </is>
      </c>
      <c r="E222" s="419" t="inlineStr">
        <is>
          <t>Connects the generated HTTP handlers to the R-239 data-access layer for the unambiguous CRUD shapes (GET collection-&gt;list, GET /x/{id}-&gt;get, POST with request_schema-&gt;create, DELETE /x/{id}-&gt;delete); ambiguous endpoints stay labelled 501 scaffolds. Python routers import the repository/model and await the call; Go handlers become methods on a Handlers struct holding *sql.DB (main opens store.Open()). Emitted when entities+postgres; deterministic/offline, nothing runs; the R-237 edit loop diffs the wiring on IR change.</t>
        </is>
      </c>
      <c r="F222" s="419" t="inlineStr">
        <is>
          <t>P0</t>
        </is>
      </c>
      <c r="G222" s="419" t="inlineStr">
        <is>
          <t>Claude (Opus 4.8)</t>
        </is>
      </c>
      <c r="H222" s="419" t="inlineStr">
        <is>
          <t>Done</t>
        </is>
      </c>
      <c r="I222" s="420" t="n">
        <v>1</v>
      </c>
      <c r="J222" s="419" t="inlineStr">
        <is>
          <t>R-239</t>
        </is>
      </c>
      <c r="K222" s="419" t="inlineStr">
        <is>
          <t>Founder Stage 0</t>
        </is>
      </c>
      <c r="L222" s="419" t="inlineStr">
        <is>
          <t>Done 013dfc4 — 256 tests (12 new); task verify + security:quick + env:check pass; Python routers call repositories, Go main opens store.Open()+handlers.New(db); ambiguous routes stay 501; nothing run.</t>
        </is>
      </c>
      <c r="M222" s="419" t="inlineStr">
        <is>
          <t>Reconstructed with founder approval (turn the 501 stubs into real CRUD over the data-access layer) from Brief Sections 9, 27, 34, 35, 42, 74, 77, and 92.</t>
        </is>
      </c>
    </row>
    <row r="223">
      <c r="A223" s="419" t="inlineStr">
        <is>
          <t>R-239</t>
        </is>
      </c>
      <c r="B223" s="419" t="inlineStr">
        <is>
          <t>MVP</t>
        </is>
      </c>
      <c r="C223" s="419" t="inlineStr">
        <is>
          <t>Builder</t>
        </is>
      </c>
      <c r="D223" s="419" t="inlineStr">
        <is>
          <t>Data-access/repository layer for the generated backends</t>
        </is>
      </c>
      <c r="E223" s="419" t="inlineStr">
        <is>
          <t>Generates a per-entity data-access layer so the generated backends read/write the R-238 tables: Python (FastAPI) gets app/db.py (async psycopg) + app/repositories/&lt;entity&gt;.py (list/get/create/delete); Go gets internal/store/store.go + internal/store/&lt;entity&gt;.go (List/Get/Create/Delete scanning into the model structs). All query values are parameterized (%s / $N); identifiers are IR-derived. Emitted with the migration when entities+postgres. Pure/offline; no DB connection, no query executed; the R-237 edit loop diffs it on IR change.</t>
        </is>
      </c>
      <c r="F223" s="419" t="inlineStr">
        <is>
          <t>P0</t>
        </is>
      </c>
      <c r="G223" s="419" t="inlineStr">
        <is>
          <t>Claude (Opus 4.8)</t>
        </is>
      </c>
      <c r="H223" s="419" t="inlineStr">
        <is>
          <t>Done</t>
        </is>
      </c>
      <c r="I223" s="420" t="n">
        <v>1</v>
      </c>
      <c r="J223" s="419" t="inlineStr">
        <is>
          <t>R-238</t>
        </is>
      </c>
      <c r="K223" s="419" t="inlineStr">
        <is>
          <t>Founder Stage 0</t>
        </is>
      </c>
      <c r="L223" s="419" t="inlineStr">
        <is>
          <t>Done f6792fa — 244 tests (7 new); task verify + security:quick + env:check pass; python repos parse + go store scans model structs; parameterized SQL; no DB connection.</t>
        </is>
      </c>
      <c r="M223" s="419" t="inlineStr">
        <is>
          <t>Reconstructed with founder approval (make the generated backend use the schema) from Brief Sections 9, 34, 35, 42, 74, 77, 90, and 92.</t>
        </is>
      </c>
    </row>
    <row r="224">
      <c r="A224" s="419" t="inlineStr">
        <is>
          <t>R-238</t>
        </is>
      </c>
      <c r="B224" s="419" t="inlineStr">
        <is>
          <t>MVP</t>
        </is>
      </c>
      <c r="C224" s="419" t="inlineStr">
        <is>
          <t>Builder</t>
        </is>
      </c>
      <c r="D224" s="419" t="inlineStr">
        <is>
          <t>PostgreSQL schema/migration generation from the Application IR</t>
        </is>
      </c>
      <c r="E224" s="419" t="inlineStr">
        <is>
          <t>Renders a deterministic PostgreSQL schema from the IR entities + relations and emits it as migrations/0001_init.sql in the backend target: one CREATE TABLE per entity, FieldType-&gt;PG column types, NOT NULL for required fields, a UUID primary key (entity id or a surrogate), foreign-key columns for many_to_one/one_to_one relations, and a join table per many_to_many. Emitted only when the IR has entities and database_strategy=postgres. Pure/offline; no DB connection, no migration run; the R-237 edit loop diffs the migration when the IR changes.</t>
        </is>
      </c>
      <c r="F224" s="419" t="inlineStr">
        <is>
          <t>P0</t>
        </is>
      </c>
      <c r="G224" s="419" t="inlineStr">
        <is>
          <t>Claude (Opus 4.8)</t>
        </is>
      </c>
      <c r="H224" s="419" t="inlineStr">
        <is>
          <t>Done</t>
        </is>
      </c>
      <c r="I224" s="420" t="n">
        <v>1</v>
      </c>
      <c r="J224" s="419" t="inlineStr">
        <is>
          <t>R-232</t>
        </is>
      </c>
      <c r="K224" s="419" t="inlineStr">
        <is>
          <t>Founder Stage 0</t>
        </is>
      </c>
      <c r="L224" s="419" t="inlineStr">
        <is>
          <t>Done c6a4c6e — 237 tests (11 new); task verify + security:quick + env:check pass; schema demoed for rideshare (driver + favourite_driver FK); no DB connection/run.</t>
        </is>
      </c>
      <c r="M224" s="419" t="inlineStr">
        <is>
          <t>Reconstructed with founder approval (real persistence layer for the generated backend) from Brief Sections 9, 34, 35, 42, 74, 77, and 92.</t>
        </is>
      </c>
    </row>
    <row r="225">
      <c r="A225" s="419" t="inlineStr">
        <is>
          <t>R-237</t>
        </is>
      </c>
      <c r="B225" s="419" t="inlineStr">
        <is>
          <t>MVP</t>
        </is>
      </c>
      <c r="C225" s="419" t="inlineStr">
        <is>
          <t>Builder</t>
        </is>
      </c>
      <c r="D225" s="419" t="inlineStr">
        <is>
          <t>IR-diff -&gt; patch-apply edit loop (edit an existing app)</t>
        </is>
      </c>
      <c r="E225" s="419" t="inlineStr">
        <is>
          <t>Compute the minimal file-level change set between two generated projects and apply only that delta to an existing project on disk, then record it as a new commit on the customer-owned repo. plan_edit(old_ir, new_ir) regenerates both via the assembler and diffs them (added/modified/deleted); apply_diff writes/removes exactly those files inside a path-safe target; commit_edit applies + commits as the customer identity. Deterministic/offline; diffing is pure, applying is a bounded path-safe disk step, no network or code execution.</t>
        </is>
      </c>
      <c r="F225" s="419" t="inlineStr">
        <is>
          <t>P0</t>
        </is>
      </c>
      <c r="G225" s="419" t="inlineStr">
        <is>
          <t>Claude (Opus 4.8)</t>
        </is>
      </c>
      <c r="H225" s="419" t="inlineStr">
        <is>
          <t>Done</t>
        </is>
      </c>
      <c r="I225" s="420" t="n">
        <v>1</v>
      </c>
      <c r="J225" s="419" t="inlineStr">
        <is>
          <t>R-232</t>
        </is>
      </c>
      <c r="K225" s="419" t="inlineStr">
        <is>
          <t>Founder Stage 0</t>
        </is>
      </c>
      <c r="L225" s="419" t="inlineStr">
        <is>
          <t>Done a0a494a — 226 tests (9 new); task verify + security:quick + env:check pass; apply round-trip + commit_edit history proven; no network/exec, no write outside target.</t>
        </is>
      </c>
      <c r="M225" s="419" t="inlineStr">
        <is>
          <t>Reconstructed with founder approval (edit-an-app motion after generate + verify) from Brief Sections 6, 9, 27, 34, 35, 74, 77, and 92.</t>
        </is>
      </c>
    </row>
    <row r="226">
      <c r="A226" s="419" t="inlineStr">
        <is>
          <t>R-236</t>
        </is>
      </c>
      <c r="B226" s="419" t="inlineStr">
        <is>
          <t>MVP</t>
        </is>
      </c>
      <c r="C226" s="419" t="inlineStr">
        <is>
          <t>Model Fabric</t>
        </is>
      </c>
      <c r="D226" s="419" t="inlineStr">
        <is>
          <t>Expand model-provider catalog + custom OpenAI-compatible providers</t>
        </is>
      </c>
      <c r="E226" s="419" t="inlineStr">
        <is>
          <t>Adds first-class OpenAI-compatible adapters for DeepSeek, xAI (Grok), Mistral, Together, and Fireworks alongside OpenAI/Anthropic/Google/OpenRouter/Groq, plus a generic env-driven custom provider path (any OpenAI-compatible base URL + key) so a user plugs in an endpoint with no code change. Spec-driven: each flows through registration, cloud-tier/fallback selection, the metadata-only overview, and the price book. Key-activated; no key value ever logged or shown.</t>
        </is>
      </c>
      <c r="F226" s="419" t="inlineStr">
        <is>
          <t>P0</t>
        </is>
      </c>
      <c r="G226" s="419" t="inlineStr">
        <is>
          <t>Claude (Opus 4.8)</t>
        </is>
      </c>
      <c r="H226" s="419" t="inlineStr">
        <is>
          <t>Done</t>
        </is>
      </c>
      <c r="I226" s="420" t="n">
        <v>1</v>
      </c>
      <c r="J226" s="419" t="inlineStr">
        <is>
          <t>R-223</t>
        </is>
      </c>
      <c r="K226" s="419" t="inlineStr">
        <is>
          <t>Founder Stage 0</t>
        </is>
      </c>
      <c r="L226" s="419" t="inlineStr">
        <is>
          <t>Done e6326bf — 217 tests (14 new); task verify + security:quick + env:check pass; overview demoed 12-provider catalog incl. custom myco; no key value shown.</t>
        </is>
      </c>
      <c r="M226" s="419" t="inlineStr">
        <is>
          <t>Reconstructed with founder approval (add DeepSeek/Grok/etc. + custom/local providers, done the platform's way) from Brief Sections 10, 11, 12, 13, 55, 64, 69, 70, 74, 77, 90, and 92.</t>
        </is>
      </c>
    </row>
    <row r="227">
      <c r="A227" s="419" t="inlineStr">
        <is>
          <t>R-235</t>
        </is>
      </c>
      <c r="B227" s="419" t="inlineStr">
        <is>
          <t>MVP</t>
        </is>
      </c>
      <c r="C227" s="419" t="inlineStr">
        <is>
          <t>Verify</t>
        </is>
      </c>
      <c r="D227" s="419" t="inlineStr">
        <is>
          <t>Verifiable-engineering verify plans (per-target gate ladders)</t>
        </is>
      </c>
      <c r="E227" s="419" t="inlineStr">
        <is>
          <t>A deterministic verify plan per generation target: the ordered gate ladder (install/typecheck/lint/test/build) the generated code is engineered to pass, as pure validated data classified by gate kind. Maps one Application IR to the verify plans for its assembled monorepo apps (apps/web, services/api) and adds an opt-in run_verify executor (fail-fast, structured report). Deterministic/offline; nothing installed, built, or run.</t>
        </is>
      </c>
      <c r="F227" s="419" t="inlineStr">
        <is>
          <t>P0</t>
        </is>
      </c>
      <c r="G227" s="419" t="inlineStr">
        <is>
          <t>Claude (Opus 4.8)</t>
        </is>
      </c>
      <c r="H227" s="419" t="inlineStr">
        <is>
          <t>Done</t>
        </is>
      </c>
      <c r="I227" s="420" t="n">
        <v>1</v>
      </c>
      <c r="J227" s="419" t="inlineStr">
        <is>
          <t>R-232</t>
        </is>
      </c>
      <c r="K227" s="419" t="inlineStr">
        <is>
          <t>Founder Stage 0</t>
        </is>
      </c>
      <c r="L227" s="419" t="inlineStr">
        <is>
          <t>Done cb74d0c — 203 tests (9 new); task verify + security:quick + env:check pass; verify-plan demoed for backend-go/nextjs-web; nothing installed/built/run.</t>
        </is>
      </c>
      <c r="M227" s="419" t="inlineStr">
        <is>
          <t>Reconstructed with founder approval (verifiable engineering backbone) from Brief Sections 26, 27, 42, 44, 74, 77, 83, 84, 85, and 92.</t>
        </is>
      </c>
    </row>
    <row r="228">
      <c r="A228" s="419" t="inlineStr">
        <is>
          <t>R-234</t>
        </is>
      </c>
      <c r="B228" s="419" t="inlineStr">
        <is>
          <t>MVP</t>
        </is>
      </c>
      <c r="C228" s="419" t="inlineStr">
        <is>
          <t>Runtime</t>
        </is>
      </c>
      <c r="D228" s="419" t="inlineStr">
        <is>
          <t>Tier switch + cloud provider drivers</t>
        </is>
      </c>
      <c r="E228" s="419" t="inlineStr">
        <is>
          <t>Single OMNISTACKAI_TIER knob (0/1 local, 2 cloud) resolves the runtime+deploy providers; per-provider drivers emit real command plans (deploy: vercel/netlify/render/fly; sandbox: e2b/daytona/fly-machines) with keys read from env at run time and never placed in a plan. platform:status reports the active tier and key presence. Deterministic/offline; nothing run.</t>
        </is>
      </c>
      <c r="F228" s="419" t="inlineStr">
        <is>
          <t>P0</t>
        </is>
      </c>
      <c r="G228" s="419" t="inlineStr">
        <is>
          <t>Claude (Opus 4.8)</t>
        </is>
      </c>
      <c r="H228" s="419" t="inlineStr">
        <is>
          <t>Done</t>
        </is>
      </c>
      <c r="I228" s="420" t="n">
        <v>1</v>
      </c>
      <c r="J228" s="419" t="inlineStr">
        <is>
          <t>R-233</t>
        </is>
      </c>
      <c r="K228" s="419" t="inlineStr">
        <is>
          <t>Founder Stage 0</t>
        </is>
      </c>
      <c r="L228" s="419" t="inlineStr">
        <is>
          <t>Done dcb7d2d — 194 tests (13 new); task verify + security:quick + env:check pass; platform:status demoed tier 0 and tier 2.</t>
        </is>
      </c>
      <c r="M228" s="419" t="inlineStr">
        <is>
          <t>Reconstructed with founder approval (one knob to switch tiers; all cloud providers get drivers) from Brief Sections 15, 51, 55, 64, 75, 91, and 92.</t>
        </is>
      </c>
    </row>
    <row r="229">
      <c r="A229" s="419" t="inlineStr">
        <is>
          <t>R-233</t>
        </is>
      </c>
      <c r="B229" s="419" t="inlineStr">
        <is>
          <t>MVP</t>
        </is>
      </c>
      <c r="C229" s="419" t="inlineStr">
        <is>
          <t>Runtime</t>
        </is>
      </c>
      <c r="D229" s="419" t="inlineStr">
        <is>
          <t>Runtime &amp; deploy provider layer (Tier 0-3)</t>
        </is>
      </c>
      <c r="E229" s="419" t="inlineStr">
        <is>
          <t>Preview/sandbox + deployment behind platform provider contracts: a local runtime provider (Tier 0/1, no keys) that yields deterministic preview plans per target, plus key-activated cloud sandbox (e2b/daytona/fly) and deploy (vercel/fly/render/netlify) providers via an env registry. Tier 2/3 = add a key. Deterministic/offline; nothing run or deployed.</t>
        </is>
      </c>
      <c r="F229" s="419" t="inlineStr">
        <is>
          <t>P0</t>
        </is>
      </c>
      <c r="G229" s="419" t="inlineStr">
        <is>
          <t>Claude (Opus 4.8)</t>
        </is>
      </c>
      <c r="H229" s="419" t="inlineStr">
        <is>
          <t>Done</t>
        </is>
      </c>
      <c r="I229" s="420" t="n">
        <v>1</v>
      </c>
      <c r="J229" s="419" t="inlineStr">
        <is>
          <t>R-232</t>
        </is>
      </c>
      <c r="K229" s="419" t="inlineStr">
        <is>
          <t>Founder Stage 0</t>
        </is>
      </c>
      <c r="L229" s="419" t="inlineStr">
        <is>
          <t>Implementation ae11bac55fb9d865dbc6281c26f7df260edc3477; task verify passed with 181 agent-engine tests (12 new); local runtime works (Tier 0/1), cloud sandbox/deploy providers activate by key (Tier 2/3); no run/deploy, no secret leak; cloud_calls=0.</t>
        </is>
      </c>
      <c r="M229" s="419" t="inlineStr">
        <is>
          <t>Reconstructed with founder approval (wire Tier 0-3, keys plug in) from Brief Sections 15, 51, 55, 64, 75, 91, and 92.</t>
        </is>
      </c>
    </row>
    <row r="230">
      <c r="A230" s="419" t="inlineStr">
        <is>
          <t>R-232</t>
        </is>
      </c>
      <c r="B230" s="419" t="inlineStr">
        <is>
          <t>MVP</t>
        </is>
      </c>
      <c r="C230" s="419" t="inlineStr">
        <is>
          <t>Product</t>
        </is>
      </c>
      <c r="D230" s="419" t="inlineStr">
        <is>
          <t>Customer project assembler (IR -&gt; monorepo)</t>
        </is>
      </c>
      <c r="E230" s="419" t="inlineStr">
        <is>
          <t>Assemble one Application IR into a complete customer monorepo (apps/web for the Next.js app, services/api for the Go/Python backend) as a single GeneratedProject with root README/.gitignore; with the Git service, one IR becomes one customer-owned repository. Deterministic/offline; no install/build/disk.</t>
        </is>
      </c>
      <c r="F230" s="419" t="inlineStr">
        <is>
          <t>P0</t>
        </is>
      </c>
      <c r="G230" s="419" t="inlineStr">
        <is>
          <t>Claude (Opus 4.8)</t>
        </is>
      </c>
      <c r="H230" s="419" t="inlineStr">
        <is>
          <t>Done</t>
        </is>
      </c>
      <c r="I230" s="420" t="n">
        <v>1</v>
      </c>
      <c r="J230" s="419" t="inlineStr">
        <is>
          <t>R-228</t>
        </is>
      </c>
      <c r="K230" s="419" t="inlineStr">
        <is>
          <t>Founder Stage 0</t>
        </is>
      </c>
      <c r="L230" s="419" t="inlineStr">
        <is>
          <t>Implementation cf28cb0f46ae1f66b9f87b59232eceb2a113b508; task verify passed with 169 agent-engine tests (6 new); one IR -&gt; 24-file customer monorepo (apps/web + services/api) -&gt; owned Git repo in one commit; no install/build/disk; cloud_calls=0.</t>
        </is>
      </c>
      <c r="M230" s="419" t="inlineStr">
        <is>
          <t>Reconstructed with founder approval from Brief Sections 6, 34, 35, 46, 74, 91, and 92.</t>
        </is>
      </c>
    </row>
    <row r="231">
      <c r="A231" s="419" t="inlineStr">
        <is>
          <t>R-231</t>
        </is>
      </c>
      <c r="B231" s="419" t="inlineStr">
        <is>
          <t>MVP</t>
        </is>
      </c>
      <c r="C231" s="419" t="inlineStr">
        <is>
          <t>Product</t>
        </is>
      </c>
      <c r="D231" s="419" t="inlineStr">
        <is>
          <t>IR validator/normalizer + example fixtures</t>
        </is>
      </c>
      <c r="E231" s="419" t="inlineStr">
        <is>
          <t>Harden the Application IR: a semantic validator (API schema references must name declared entities; strategy/platform consistency), a deterministic canonical normalizer (sorted IR, idempotent, lossless), and realistic example IR fixtures that drive the adapters. Standard-library, deterministic, offline.</t>
        </is>
      </c>
      <c r="F231" s="419" t="inlineStr">
        <is>
          <t>P1</t>
        </is>
      </c>
      <c r="G231" s="419" t="inlineStr">
        <is>
          <t>Claude (Opus 4.8)</t>
        </is>
      </c>
      <c r="H231" s="419" t="inlineStr">
        <is>
          <t>Done</t>
        </is>
      </c>
      <c r="I231" s="420" t="n">
        <v>1</v>
      </c>
      <c r="J231" s="419" t="inlineStr">
        <is>
          <t>R-225</t>
        </is>
      </c>
      <c r="K231" s="419" t="inlineStr">
        <is>
          <t>Founder Stage 0</t>
        </is>
      </c>
      <c r="L231" s="419" t="inlineStr">
        <is>
          <t>Implementation f2027a6a7bc6bae37b14226838519c86657f8ff3; task verify passed with 163 agent-engine tests (9 new); validator + normalizer + 2 example fixtures; no dependency/network/model call; cloud_calls=0.</t>
        </is>
      </c>
      <c r="M231" s="419" t="inlineStr">
        <is>
          <t>Reconstructed with founder approval from Brief Sections 9, 12, 19, 66, 74, 91, and 92.</t>
        </is>
      </c>
    </row>
    <row r="232">
      <c r="A232" s="419" t="inlineStr">
        <is>
          <t>R-230</t>
        </is>
      </c>
      <c r="B232" s="419" t="inlineStr">
        <is>
          <t>MVP</t>
        </is>
      </c>
      <c r="C232" s="419" t="inlineStr">
        <is>
          <t>Product</t>
        </is>
      </c>
      <c r="D232" s="419" t="inlineStr">
        <is>
          <t>Go backend adapter (IR -&gt; Go net/http service)</t>
        </is>
      </c>
      <c r="E232" s="419" t="inlineStr">
        <is>
          <t>Third framework adapter: turns an Application IR into a real Go standard-library net/http service (structs from entities, Go 1.22 method+pattern routes grouped by resource with r.PathValue params, main + health) as a GeneratedProject. One IR now emits web + Python + Go. Deterministic/offline; no install/build/disk.</t>
        </is>
      </c>
      <c r="F232" s="419" t="inlineStr">
        <is>
          <t>P0</t>
        </is>
      </c>
      <c r="G232" s="419" t="inlineStr">
        <is>
          <t>Claude (Opus 4.8)</t>
        </is>
      </c>
      <c r="H232" s="419" t="inlineStr">
        <is>
          <t>Done</t>
        </is>
      </c>
      <c r="I232" s="420" t="n">
        <v>1</v>
      </c>
      <c r="J232" s="419" t="inlineStr">
        <is>
          <t>R-226</t>
        </is>
      </c>
      <c r="K232" s="419" t="inlineStr">
        <is>
          <t>Founder Stage 0</t>
        </is>
      </c>
      <c r="L232" s="419" t="inlineStr">
        <is>
          <t>Implementation e2515a8f1b0314ec287a02cdaf25e72a17b9da3f; task verify passed with 154 agent-engine tests (7 new); one IR -&gt; 12-file Next.js + 11-file FastAPI + 8-file Go service; no install/build/disk; cloud_calls=0.</t>
        </is>
      </c>
      <c r="M232" s="419" t="inlineStr">
        <is>
          <t>Reconstructed with founder approval (multi-target from one IR) from Brief Sections 9, 16, 42, 43, 46, 47, 74, 91, and 92.</t>
        </is>
      </c>
    </row>
    <row r="233">
      <c r="A233" s="419" t="inlineStr">
        <is>
          <t>R-229</t>
        </is>
      </c>
      <c r="B233" s="419" t="inlineStr">
        <is>
          <t>MVP</t>
        </is>
      </c>
      <c r="C233" s="419" t="inlineStr">
        <is>
          <t>Product</t>
        </is>
      </c>
      <c r="D233" s="419" t="inlineStr">
        <is>
          <t>Python (FastAPI) backend adapter (IR -&gt; backend)</t>
        </is>
      </c>
      <c r="E233" s="419" t="inlineStr">
        <is>
          <t>Second framework adapter: turns an Application IR into a real FastAPI backend (Pydantic models from entities, routers from APIs grouped by resource with typed path params, main app + health, config, requirements) as a GeneratedProject. With the Next.js adapter, one IR emits web + backend together. Deterministic/offline; no install/build/disk.</t>
        </is>
      </c>
      <c r="F233" s="419" t="inlineStr">
        <is>
          <t>P0</t>
        </is>
      </c>
      <c r="G233" s="419" t="inlineStr">
        <is>
          <t>Claude (Opus 4.8)</t>
        </is>
      </c>
      <c r="H233" s="419" t="inlineStr">
        <is>
          <t>Done</t>
        </is>
      </c>
      <c r="I233" s="420" t="n">
        <v>1</v>
      </c>
      <c r="J233" s="419" t="inlineStr">
        <is>
          <t>R-226</t>
        </is>
      </c>
      <c r="K233" s="419" t="inlineStr">
        <is>
          <t>Founder Stage 0</t>
        </is>
      </c>
      <c r="L233" s="419" t="inlineStr">
        <is>
          <t>Implementation 04f1e6ad03ff52522efda81845ea3ee73e736a7d; task verify passed with 147 agent-engine tests (7 new); demo IR -&gt; 12-file Next.js web + 11-file FastAPI backend; no install/build/disk; cloud_calls=0.</t>
        </is>
      </c>
      <c r="M233" s="419" t="inlineStr">
        <is>
          <t>Reconstructed with founder approval (multi-target from one IR) from Brief Sections 9, 16, 42, 43, 46, 47, 74, 91, and 92.</t>
        </is>
      </c>
    </row>
    <row r="234">
      <c r="A234" s="419" t="inlineStr">
        <is>
          <t>R-228</t>
        </is>
      </c>
      <c r="B234" s="419" t="inlineStr">
        <is>
          <t>MVP</t>
        </is>
      </c>
      <c r="C234" s="419" t="inlineStr">
        <is>
          <t>Product</t>
        </is>
      </c>
      <c r="D234" s="419" t="inlineStr">
        <is>
          <t>Git service (materialize project -&gt; owned repo)</t>
        </is>
      </c>
      <c r="E234" s="419" t="inlineStr">
        <is>
          <t>Materialize a GeneratedProject to disk and initialize a customer-owned Git repository with a first commit (explicit identity, no global git config, writes only inside the target). Completes the first end-to-end builder slice: IR -&gt; generated app -&gt; owned Git repo.</t>
        </is>
      </c>
      <c r="F234" s="419" t="inlineStr">
        <is>
          <t>P0</t>
        </is>
      </c>
      <c r="G234" s="419" t="inlineStr">
        <is>
          <t>Claude (Opus 4.8)</t>
        </is>
      </c>
      <c r="H234" s="419" t="inlineStr">
        <is>
          <t>Done</t>
        </is>
      </c>
      <c r="I234" s="420" t="n">
        <v>1</v>
      </c>
      <c r="J234" s="419" t="inlineStr">
        <is>
          <t>R-227</t>
        </is>
      </c>
      <c r="K234" s="419" t="inlineStr">
        <is>
          <t>Founder Stage 0</t>
        </is>
      </c>
      <c r="L234" s="419" t="inlineStr">
        <is>
          <t>Implementation 28801ef396f7ead743a1d0cdc68657de23cefe1a; task verify passed with 140 agent-engine tests (6 new git-service tests); demo IR -&gt; 13-file Next.js app -&gt; one-commit customer-owned repo; writes only in target, no global git config, offline; cloud_calls=0.</t>
        </is>
      </c>
      <c r="M234" s="419" t="inlineStr">
        <is>
          <t>Reconstructed with founder approval from Brief Sections 6, 20, 34, 71, 74, 75, 91, and 92.</t>
        </is>
      </c>
    </row>
    <row r="235">
      <c r="A235" s="419" t="inlineStr">
        <is>
          <t>R-227</t>
        </is>
      </c>
      <c r="B235" s="419" t="inlineStr">
        <is>
          <t>MVP</t>
        </is>
      </c>
      <c r="C235" s="419" t="inlineStr">
        <is>
          <t>Product</t>
        </is>
      </c>
      <c r="D235" s="419" t="inlineStr">
        <is>
          <t>Next.js web code adapter (IR -&gt; app)</t>
        </is>
      </c>
      <c r="E235" s="419" t="inlineStr">
        <is>
          <t>First framework adapter: turns an Application IR into a real Next.js App Router TypeScript project (config, TS interfaces from entities, App Router API routes with {param}-&gt;[param], a page per screen, overview) as a GeneratedProject. Deterministic/offline; no install, build, or disk write.</t>
        </is>
      </c>
      <c r="F235" s="419" t="inlineStr">
        <is>
          <t>P0</t>
        </is>
      </c>
      <c r="G235" s="419" t="inlineStr">
        <is>
          <t>Claude (Opus 4.8)</t>
        </is>
      </c>
      <c r="H235" s="419" t="inlineStr">
        <is>
          <t>Done</t>
        </is>
      </c>
      <c r="I235" s="420" t="n">
        <v>1</v>
      </c>
      <c r="J235" s="419" t="inlineStr">
        <is>
          <t>R-226</t>
        </is>
      </c>
      <c r="K235" s="419" t="inlineStr">
        <is>
          <t>Founder Stage 0</t>
        </is>
      </c>
      <c r="L235" s="419" t="inlineStr">
        <is>
          <t>Implementation 1a4f8a9b8cc2ca59be32142bb6c16992cb4dbd40; task verify passed with 134 agent-engine tests (9 new adapter/path tests); generates a 13-file Next.js app from the demo IR (entities-&gt;interfaces, {param}-&gt;[param] routes); no install/build/disk; cloud_calls=0.</t>
        </is>
      </c>
      <c r="M235" s="419" t="inlineStr">
        <is>
          <t>Reconstructed with founder approval from Brief Sections 9, 16, 40, 43, 46, 47, 74, 91, and 92.</t>
        </is>
      </c>
    </row>
    <row r="236">
      <c r="A236" s="419" t="inlineStr">
        <is>
          <t>R-226</t>
        </is>
      </c>
      <c r="B236" s="419" t="inlineStr">
        <is>
          <t>MVP</t>
        </is>
      </c>
      <c r="C236" s="419" t="inlineStr">
        <is>
          <t>Product</t>
        </is>
      </c>
      <c r="D236" s="419" t="inlineStr">
        <is>
          <t>Framework adapter contract + file-set model</t>
        </is>
      </c>
      <c r="E236" s="419" t="inlineStr">
        <is>
          <t>The code-generation boundary: an immutable validated in-memory generated file-set (path-&gt;content) and a FrameworkAdapter contract turning an Application IR into a GeneratedProject for a target, plus a deterministic adapter registry. No disk writes, no code execution.</t>
        </is>
      </c>
      <c r="F236" s="419" t="inlineStr">
        <is>
          <t>P0</t>
        </is>
      </c>
      <c r="G236" s="419" t="inlineStr">
        <is>
          <t>Claude (Opus 4.8)</t>
        </is>
      </c>
      <c r="H236" s="419" t="inlineStr">
        <is>
          <t>Done</t>
        </is>
      </c>
      <c r="I236" s="420" t="n">
        <v>1</v>
      </c>
      <c r="J236" s="419" t="inlineStr">
        <is>
          <t>R-225</t>
        </is>
      </c>
      <c r="K236" s="419" t="inlineStr">
        <is>
          <t>Founder Stage 0</t>
        </is>
      </c>
      <c r="L236" s="419" t="inlineStr">
        <is>
          <t>Implementation f27bf416e99423d281e1c4e6f3eabc363848f95f; task verify passed with 125 agent-engine tests (10 new codegen-contract tests); pure in-memory file-set + adapter contract + registry; no disk writes; cloud_calls=0.</t>
        </is>
      </c>
      <c r="M236" s="419" t="inlineStr">
        <is>
          <t>Reconstructed with founder approval from Brief Sections 16, 17, 46, 47, 74, 75, 91, and 92.</t>
        </is>
      </c>
    </row>
    <row r="237">
      <c r="A237" s="419" t="inlineStr">
        <is>
          <t>R-225</t>
        </is>
      </c>
      <c r="B237" s="419" t="inlineStr">
        <is>
          <t>MVP</t>
        </is>
      </c>
      <c r="C237" s="419" t="inlineStr">
        <is>
          <t>Product</t>
        </is>
      </c>
      <c r="D237" s="419" t="inlineStr">
        <is>
          <t>Application IR v1 (framework-neutral)</t>
        </is>
      </c>
      <c r="E237" s="419" t="inlineStr">
        <is>
          <t>The framework-neutral source of truth between user intent and generated targets (Brief 9): validated, versioned model of application, project strategy, roles, entities, APIs, screens, and acceptance criteria with cross-reference checks and lossless serialization. First real product primitive; codegen adapters consume it.</t>
        </is>
      </c>
      <c r="F237" s="419" t="inlineStr">
        <is>
          <t>P0</t>
        </is>
      </c>
      <c r="G237" s="419" t="inlineStr">
        <is>
          <t>Claude (Opus 4.8)</t>
        </is>
      </c>
      <c r="H237" s="419" t="inlineStr">
        <is>
          <t>Done</t>
        </is>
      </c>
      <c r="I237" s="420" t="n">
        <v>1</v>
      </c>
      <c r="J237" s="419" t="inlineStr">
        <is>
          <t>R-004</t>
        </is>
      </c>
      <c r="K237" s="419" t="inlineStr">
        <is>
          <t>Founder Stage 0</t>
        </is>
      </c>
      <c r="L237" s="419" t="inlineStr">
        <is>
          <t>Implementation ad5e4ddf5918ddf3e4005c21a07c21601faf2ee6; task verify passed with 115 agent-engine tests (17 new IR tests); validated, versioned, framework-neutral Application IR with lossless serialization; cloud_calls=0.</t>
        </is>
      </c>
      <c r="M237" s="419" t="inlineStr">
        <is>
          <t>Reconstructed with founder approval to begin the actual product per Brief Sections 2, 9, 24, 47, 77, 91, and 92.</t>
        </is>
      </c>
    </row>
    <row r="238">
      <c r="A238" s="419" t="inlineStr">
        <is>
          <t>R-224</t>
        </is>
      </c>
      <c r="B238" s="419" t="inlineStr">
        <is>
          <t>MVP</t>
        </is>
      </c>
      <c r="C238" s="419" t="inlineStr">
        <is>
          <t>Console</t>
        </is>
      </c>
      <c r="D238" s="419" t="inlineStr">
        <is>
          <t>Next.js console upgrade</t>
        </is>
      </c>
      <c r="E238" s="419" t="inlineStr">
        <is>
          <t>Upgrade the static console to a real Next.js (App Router, TypeScript) app, preserving the overview.json data contract and design, with security headers and a production build.</t>
        </is>
      </c>
      <c r="F238" s="419" t="inlineStr">
        <is>
          <t>P1</t>
        </is>
      </c>
      <c r="G238" s="419" t="inlineStr">
        <is>
          <t>Claude (Opus 4.8)</t>
        </is>
      </c>
      <c r="H238" s="419" t="inlineStr">
        <is>
          <t>Deferred</t>
        </is>
      </c>
      <c r="I238" s="420" t="n">
        <v>0</v>
      </c>
      <c r="J238" s="419" t="inlineStr">
        <is>
          <t>R-222</t>
        </is>
      </c>
      <c r="K238" s="419" t="inlineStr">
        <is>
          <t>Founder Stage 0</t>
        </is>
      </c>
      <c r="L238" s="419" t="inlineStr">
        <is>
          <t>Deferred: Next.js SWC binary install times out in this sandbox (attempted 3x, incl. standalone with 10-min timeout). Static console (R-222) remains the working slice; resume plan recorded in .ai/tasks/R-224.md. No code committed; cloud_calls=0.</t>
        </is>
      </c>
      <c r="M238" s="419" t="inlineStr">
        <is>
          <t>Reconstructed with founder approval; DEFERRED because the Next.js SWC binary install times out in this sandbox (attempted 3x). Static console (R-222) remains the working slice.</t>
        </is>
      </c>
    </row>
    <row r="239">
      <c r="A239" s="419" t="inlineStr">
        <is>
          <t>R-223</t>
        </is>
      </c>
      <c r="B239" s="419" t="inlineStr">
        <is>
          <t>MVP</t>
        </is>
      </c>
      <c r="C239" s="419" t="inlineStr">
        <is>
          <t>Models</t>
        </is>
      </c>
      <c r="D239" s="419" t="inlineStr">
        <is>
          <t>Env-driven fallback &amp; circuit-breaker wiring</t>
        </is>
      </c>
      <c r="E239" s="419" t="inlineStr">
        <is>
          <t>Configure the R-221 fallback chain and circuit breaker from the environment via build_gateway_from_env (OMNISTACKAI_FALLBACK_PROVIDERS + breaker threshold/cooldown); the console overview surfaces the resilience settings. Default single-provider behavior unchanged.</t>
        </is>
      </c>
      <c r="F239" s="419" t="inlineStr">
        <is>
          <t>P1</t>
        </is>
      </c>
      <c r="G239" s="419" t="inlineStr">
        <is>
          <t>Claude (Opus 4.8)</t>
        </is>
      </c>
      <c r="H239" s="419" t="inlineStr">
        <is>
          <t>Done</t>
        </is>
      </c>
      <c r="I239" s="420" t="n">
        <v>1</v>
      </c>
      <c r="J239" s="419" t="inlineStr">
        <is>
          <t>R-221</t>
        </is>
      </c>
      <c r="K239" s="419" t="inlineStr">
        <is>
          <t>Founder Stage 0</t>
        </is>
      </c>
      <c r="L239" s="419" t="inlineStr">
        <is>
          <t>Implementation 9ec809149ab91ebaa13b88ff0a15ebd382d7a728; task verify passed with 98 agent-engine tests (6 new); env-driven fallback chain + circuit breaker; default single-provider unchanged; cloud_calls=0.</t>
        </is>
      </c>
      <c r="M239" s="419" t="inlineStr">
        <is>
          <t>Reconstructed with founder approval (complete remaining items one by one) from Brief Sections 18.3, 84, 87, 89, 91, and 92.</t>
        </is>
      </c>
    </row>
    <row r="240">
      <c r="A240" s="419" t="inlineStr">
        <is>
          <t>R-222</t>
        </is>
      </c>
      <c r="B240" s="419" t="inlineStr">
        <is>
          <t>MVP</t>
        </is>
      </c>
      <c r="C240" s="419" t="inlineStr">
        <is>
          <t>Console</t>
        </is>
      </c>
      <c r="D240" s="419" t="inlineStr">
        <is>
          <t>Platform console slice (model &amp; cost overview)</t>
        </is>
      </c>
      <c r="E240" s="419" t="inlineStr">
        <is>
          <t>First visual console under apps/console-web: renders providers (local + all supported cloud, with active key-state), the Balanced routing ladder, the price book, and the usage/cost dashboard from a metadata-only snapshot. Dependency-free static slice; Next.js upgrade deferred until the build environment can install the toolchain.</t>
        </is>
      </c>
      <c r="F240" s="419" t="inlineStr">
        <is>
          <t>P0</t>
        </is>
      </c>
      <c r="G240" s="419" t="inlineStr">
        <is>
          <t>Claude (Opus 4.8)</t>
        </is>
      </c>
      <c r="H240" s="419" t="inlineStr">
        <is>
          <t>Done</t>
        </is>
      </c>
      <c r="I240" s="420" t="n">
        <v>1</v>
      </c>
      <c r="J240" s="419" t="inlineStr">
        <is>
          <t>R-221</t>
        </is>
      </c>
      <c r="K240" s="419" t="inlineStr">
        <is>
          <t>Founder Stage 0</t>
        </is>
      </c>
      <c r="L240" s="419" t="inlineStr">
        <is>
          <t>Implementation c07bbcb1b9b8c010c6d64e3a0e09ac0c855102c8; task verify passed with 92 agent-engine tests (6 new overview tests); static console serves over HTTP (assets 200, 6 providers/5 prices/5 ladder), app.js node --check ok, no secret in snapshot; cloud_calls=0; Compose unchanged.</t>
        </is>
      </c>
      <c r="M240" s="419" t="inlineStr">
        <is>
          <t>Reconstructed with founder approval (advanced, smooth, secure platform) from Brief Sections 8, 15.2, 40, 41, 77, 90, 91, and 92.</t>
        </is>
      </c>
    </row>
    <row r="241">
      <c r="A241" s="419" t="inlineStr">
        <is>
          <t>R-221</t>
        </is>
      </c>
      <c r="B241" s="419" t="inlineStr">
        <is>
          <t>MVP</t>
        </is>
      </c>
      <c r="C241" s="419" t="inlineStr">
        <is>
          <t>Models</t>
        </is>
      </c>
      <c r="D241" s="419" t="inlineStr">
        <is>
          <t>Cross-provider fallback and circuit breaking</t>
        </is>
      </c>
      <c r="E241" s="419" t="inlineStr">
        <is>
          <t>Add explicit allowlist-driven cross-provider fallback and per-provider circuit breaking to the gateway: on a retriable failure advance to the next allowed, registered, circuit-closed candidate; a per-provider breaker opens after repeated failures and recovers after a cooldown.</t>
        </is>
      </c>
      <c r="F241" s="419" t="inlineStr">
        <is>
          <t>P0</t>
        </is>
      </c>
      <c r="G241" s="419" t="inlineStr">
        <is>
          <t>Claude (Opus 4.8)</t>
        </is>
      </c>
      <c r="H241" s="419" t="inlineStr">
        <is>
          <t>Done</t>
        </is>
      </c>
      <c r="I241" s="420" t="n">
        <v>1</v>
      </c>
      <c r="J241" s="419" t="inlineStr">
        <is>
          <t>R-220</t>
        </is>
      </c>
      <c r="K241" s="419" t="inlineStr">
        <is>
          <t>Founder Stage 0</t>
        </is>
      </c>
      <c r="L241" s="419" t="inlineStr">
        <is>
          <t>Implementation d0ee9f75b0d124fe60f1121b7f2a70d3b73040de; task verify passed with 86 agent-engine tests (8 new fallback/circuit-breaker tests); explicit allowlist fail-over + per-provider breaker; cloud_calls=0; Compose unchanged (postgres, control-plane).</t>
        </is>
      </c>
      <c r="M241" s="419" t="inlineStr">
        <is>
          <t>Reconstructed with founder approval (complete both required items one by one) from Brief Sections 18, 18.3, 84, 89, 90, 91, and 92.</t>
        </is>
      </c>
    </row>
    <row r="242">
      <c r="A242" s="419" t="inlineStr">
        <is>
          <t>R-220</t>
        </is>
      </c>
      <c r="B242" s="419" t="inlineStr">
        <is>
          <t>MVP</t>
        </is>
      </c>
      <c r="C242" s="419" t="inlineStr">
        <is>
          <t>Models</t>
        </is>
      </c>
      <c r="D242" s="419" t="inlineStr">
        <is>
          <t>Cloud streaming (Server-Sent Events)</t>
        </is>
      </c>
      <c r="E242" s="419" t="inlineStr">
        <is>
          <t>Replace the single-event cloud stream wrapper with true incremental SSE streaming for OpenAI-compatible, Anthropic, and Gemini adapters; ordered delta events plus a final event with measured usage, reusing the HTTP-safety bounds.</t>
        </is>
      </c>
      <c r="F242" s="419" t="inlineStr">
        <is>
          <t>P0</t>
        </is>
      </c>
      <c r="G242" s="419" t="inlineStr">
        <is>
          <t>Claude (Opus 4.8)</t>
        </is>
      </c>
      <c r="H242" s="419" t="inlineStr">
        <is>
          <t>Done</t>
        </is>
      </c>
      <c r="I242" s="420" t="n">
        <v>1</v>
      </c>
      <c r="J242" s="419" t="inlineStr">
        <is>
          <t>R-009</t>
        </is>
      </c>
      <c r="K242" s="419" t="inlineStr">
        <is>
          <t>Founder Stage 0</t>
        </is>
      </c>
      <c r="L242" s="419" t="inlineStr">
        <is>
          <t>Implementation 4e31841e730a6466da55843ff352f7144dd763e9; task verify passed with 78 agent-engine tests (5 new SSE streaming tests); true incremental streaming for OpenAI/Anthropic/Gemini; cloud_calls=0; Compose unchanged (postgres, control-plane).</t>
        </is>
      </c>
      <c r="M242" s="419" t="inlineStr">
        <is>
          <t>Reconstructed with founder approval (complete both required items one by one) from Brief Sections 18, 57, 84, 85, 90, 91, and 92.</t>
        </is>
      </c>
    </row>
    <row r="243">
      <c r="A243" s="419" t="inlineStr">
        <is>
          <t>R-009</t>
        </is>
      </c>
      <c r="B243" s="419" t="inlineStr">
        <is>
          <t>MVP</t>
        </is>
      </c>
      <c r="C243" s="419" t="inlineStr">
        <is>
          <t>Models</t>
        </is>
      </c>
      <c r="D243" s="419" t="inlineStr">
        <is>
          <t>Usage and cost accounting</t>
        </is>
      </c>
      <c r="E243" s="419" t="inlineStr">
        <is>
          <t>Record every gateway dispatch as an immutable metadata-only usage record and compute estimated cost from a configurable price book (local Ollama = zero); aggregate totals, per-provider/model breakdowns, latency percentiles, and cost per successful call. No prompt content or secret is stored.</t>
        </is>
      </c>
      <c r="F243" s="419" t="inlineStr">
        <is>
          <t>P0</t>
        </is>
      </c>
      <c r="G243" s="419" t="inlineStr">
        <is>
          <t>Claude (Opus 4.8)</t>
        </is>
      </c>
      <c r="H243" s="419" t="inlineStr">
        <is>
          <t>Done</t>
        </is>
      </c>
      <c r="I243" s="420" t="n">
        <v>1</v>
      </c>
      <c r="J243" s="419" t="inlineStr">
        <is>
          <t>R-008</t>
        </is>
      </c>
      <c r="K243" s="419" t="inlineStr">
        <is>
          <t>Founder Stage 0</t>
        </is>
      </c>
      <c r="L243" s="419" t="inlineStr">
        <is>
          <t>Implementation f2fc8654c6a5717e292adcdc2abb5da2fd7409c2; task verify passed with 74 agent-engine tests (13 new accounting tests); deterministic accounting, metadata-only records, local_calls=0, cloud_calls=0; live gateway prints cost summary; Compose unchanged (postgres, control-plane).</t>
        </is>
      </c>
      <c r="M243" s="419" t="inlineStr">
        <is>
          <t>Reconstructed with founder approval (best-in-class usage/cost accounting) from Brief Sections 18.4, 23, 68, 84, 85, 90, 91, and 92.</t>
        </is>
      </c>
    </row>
    <row r="244">
      <c r="A244" s="419" t="inlineStr">
        <is>
          <t>R-008</t>
        </is>
      </c>
      <c r="B244" s="419" t="inlineStr">
        <is>
          <t>MVP</t>
        </is>
      </c>
      <c r="C244" s="419" t="inlineStr">
        <is>
          <t>Models</t>
        </is>
      </c>
      <c r="D244" s="419" t="inlineStr">
        <is>
          <t>Cloud API-key provider adapters</t>
        </is>
      </c>
      <c r="E244" s="419" t="inlineStr">
        <is>
          <t>Add key-activated cloud ModelProvider adapters (Anthropic, OpenAI, Gemini, OpenRouter, Groq) behind the shared boundary with an env bootstrap; each works when its API key is set, with an overridable default model. Local Ollama stays default and no key means no cloud call.</t>
        </is>
      </c>
      <c r="F244" s="419" t="inlineStr">
        <is>
          <t>P0</t>
        </is>
      </c>
      <c r="G244" s="419" t="inlineStr">
        <is>
          <t>Claude (Opus 4.8)</t>
        </is>
      </c>
      <c r="H244" s="419" t="inlineStr">
        <is>
          <t>Done</t>
        </is>
      </c>
      <c r="I244" s="420" t="n">
        <v>1</v>
      </c>
      <c r="J244" s="419" t="inlineStr">
        <is>
          <t>R-007</t>
        </is>
      </c>
      <c r="K244" s="419" t="inlineStr">
        <is>
          <t>Founder Stage 0</t>
        </is>
      </c>
      <c r="L244" s="419" t="inlineStr">
        <is>
          <t>Implementation eeade72e84c7f1ebd71dfc8c0f7c2f4db0f79677; task verify passed with 61 agent-engine tests (19 new cloud/bootstrap tests); no cloud key configured so cloud_calls=0; local gateway run works on qwen2.5-coder:14b and qwen3.5:9b; Compose unchanged (postgres, control-plane).</t>
        </is>
      </c>
      <c r="M244" s="419" t="inlineStr">
        <is>
          <t>Reconstructed with founder approval (configure each provider; run locally on Ollama until keys are added) from Brief Sections 18, 18.3, 84, 85, 87, 90, 91, and 92.</t>
        </is>
      </c>
    </row>
    <row r="245">
      <c r="A245" s="419" t="inlineStr">
        <is>
          <t>R-007</t>
        </is>
      </c>
      <c r="B245" s="419" t="inlineStr">
        <is>
          <t>MVP</t>
        </is>
      </c>
      <c r="C245" s="419" t="inlineStr">
        <is>
          <t>Models</t>
        </is>
      </c>
      <c r="D245" s="419" t="inlineStr">
        <is>
          <t>Balanced Model Gateway router</t>
        </is>
      </c>
      <c r="E245" s="419" t="inlineStr">
        <is>
          <t>Route model work under Balanced policy: reject L0 deterministic work, send sub-L3 work to the local Ollama provider, escalate L3/L4 to a cloud provider only when one is registered, guard the context budget, and never silently fall back to cloud.</t>
        </is>
      </c>
      <c r="F245" s="419" t="inlineStr">
        <is>
          <t>P0</t>
        </is>
      </c>
      <c r="G245" s="419" t="inlineStr">
        <is>
          <t>Claude (Opus 4.8)</t>
        </is>
      </c>
      <c r="H245" s="419" t="inlineStr">
        <is>
          <t>Done</t>
        </is>
      </c>
      <c r="I245" s="420" t="n">
        <v>1</v>
      </c>
      <c r="J245" s="419" t="inlineStr">
        <is>
          <t>R-006</t>
        </is>
      </c>
      <c r="K245" s="419" t="inlineStr">
        <is>
          <t>Founder Stage 0</t>
        </is>
      </c>
      <c r="L245" s="419" t="inlineStr">
        <is>
          <t>Implementation 9faacd23dc22c6773f9a51dc58087d557c0be391; task verify passed with 42 agent-engine tests (14 new gateway tests); task agent-engine:gateway:run passed live on qwen2.5-coder:14b and qwen3.5:9b (L1/L2 to ollama-local, L0/L3/L4 refused); local_calls=4, cloud_calls=0; Compose unchanged (postgres, control-plane).</t>
        </is>
      </c>
      <c r="M245" s="419" t="inlineStr">
        <is>
          <t>Reconstructed with founder approval from Brief Sections 18, 18.1, 18.2, 18.3, 84, 85, 91, and 92; founder intent to support both cloud API-key and local providers one at a time.</t>
        </is>
      </c>
    </row>
    <row r="246">
      <c r="A246" s="419" t="inlineStr">
        <is>
          <t>R-006</t>
        </is>
      </c>
      <c r="B246" s="419" t="inlineStr">
        <is>
          <t>MVP</t>
        </is>
      </c>
      <c r="C246" s="419" t="inlineStr">
        <is>
          <t>Models</t>
        </is>
      </c>
      <c r="D246" s="419" t="inlineStr">
        <is>
          <t>Loopback Ollama provider adapter</t>
        </is>
      </c>
      <c r="E246" s="419" t="inlineStr">
        <is>
          <t>Implement bounded health, discovery, chat generation, and NDJSON streaming against the accepted ModelProvider contract.</t>
        </is>
      </c>
      <c r="F246" s="419" t="inlineStr">
        <is>
          <t>P0</t>
        </is>
      </c>
      <c r="G246" s="419" t="inlineStr">
        <is>
          <t>Codex</t>
        </is>
      </c>
      <c r="H246" s="419" t="inlineStr">
        <is>
          <t>Done</t>
        </is>
      </c>
      <c r="I246" s="420" t="n">
        <v>1</v>
      </c>
      <c r="J246" s="419" t="inlineStr">
        <is>
          <t>R-005</t>
        </is>
      </c>
      <c r="K246" s="419" t="inlineStr">
        <is>
          <t>Founder Stage 0</t>
        </is>
      </c>
      <c r="L246" s="419" t="inlineStr">
        <is>
          <t>Implementation 8061ca3b129539ada4b0838d7d70c8acd3df1ea3; task verify, adapter tests, and live loopback conformance passed; local_calls=3, cloud_calls=0</t>
        </is>
      </c>
      <c r="M246" s="419" t="inlineStr">
        <is>
          <t>Reconstructed with founder approval from Brief Sections 18.3, 75, 84, 85, 91, and 92.</t>
        </is>
      </c>
    </row>
    <row r="247">
      <c r="A247" s="419" t="inlineStr">
        <is>
          <t>R-005</t>
        </is>
      </c>
      <c r="B247" s="419" t="inlineStr">
        <is>
          <t>MVP</t>
        </is>
      </c>
      <c r="C247" s="419" t="inlineStr">
        <is>
          <t>Models</t>
        </is>
      </c>
      <c r="D247" s="419" t="inlineStr">
        <is>
          <t>ModelProvider contract and registry</t>
        </is>
      </c>
      <c r="E247" s="419" t="inlineStr">
        <is>
          <t>Define the vendor-neutral Python provider protocol, typed model-call records, and deterministic registry before any adapter exists.</t>
        </is>
      </c>
      <c r="F247" s="419" t="inlineStr">
        <is>
          <t>P0</t>
        </is>
      </c>
      <c r="G247" s="419" t="inlineStr">
        <is>
          <t>Codex</t>
        </is>
      </c>
      <c r="H247" s="419" t="inlineStr">
        <is>
          <t>Done</t>
        </is>
      </c>
      <c r="I247" s="420" t="n">
        <v>1</v>
      </c>
      <c r="J247" s="419" t="inlineStr">
        <is>
          <t>R-004</t>
        </is>
      </c>
      <c r="K247" s="419" t="inlineStr">
        <is>
          <t>Founder Stage 0</t>
        </is>
      </c>
      <c r="L247" s="419" t="inlineStr">
        <is>
          <t>Implementation afdc4ba9c14b231dece9533dbdd39e1e79e9ace3; task verify and 13 contract tests passed; local_calls=2 inconclusive, cloud_calls=0</t>
        </is>
      </c>
      <c r="M247" s="419" t="inlineStr">
        <is>
          <t>Reconstructed with founder approval from Brief Sections 18.3, 75, 83, 84, and 91.</t>
        </is>
      </c>
    </row>
    <row r="248">
      <c r="A248" s="419" t="inlineStr">
        <is>
          <t>R-004</t>
        </is>
      </c>
      <c r="B248" s="419" t="inlineStr">
        <is>
          <t>MVP</t>
        </is>
      </c>
      <c r="C248" s="419" t="inlineStr">
        <is>
          <t>Backend</t>
        </is>
      </c>
      <c r="D248" s="419" t="inlineStr">
        <is>
          <t>Go control-plane foundation</t>
        </is>
      </c>
      <c r="E248" s="419" t="inlineStr">
        <is>
          <t>Add the minimal Go modular-monolith service with typed configuration, liveness, PostgreSQL readiness, and graceful shutdown.</t>
        </is>
      </c>
      <c r="F248" s="419" t="inlineStr">
        <is>
          <t>P0</t>
        </is>
      </c>
      <c r="G248" s="419" t="inlineStr">
        <is>
          <t>Codex</t>
        </is>
      </c>
      <c r="H248" s="419" t="inlineStr">
        <is>
          <t>Done</t>
        </is>
      </c>
      <c r="I248" s="420" t="n">
        <v>1</v>
      </c>
      <c r="J248" s="419" t="inlineStr">
        <is>
          <t>R-003</t>
        </is>
      </c>
      <c r="K248" s="419" t="inlineStr">
        <is>
          <t>Founder Stage 0</t>
        </is>
      </c>
      <c r="L248" s="419" t="inlineStr">
        <is>
          <t>Implementation c44fd8d013e3ec1497ccb4ab55f1433df042aeb5; task verify, race tests, and live health/readiness passed; local_calls=1, cloud_calls=0</t>
        </is>
      </c>
      <c r="M248" s="419" t="inlineStr">
        <is>
          <t>Reconstructed with founder approval from Brief Sections 33, 74, and 84.1.</t>
        </is>
      </c>
    </row>
    <row r="249">
      <c r="A249" s="419" t="inlineStr">
        <is>
          <t>R-003</t>
        </is>
      </c>
      <c r="B249" s="419" t="inlineStr">
        <is>
          <t>MVP</t>
        </is>
      </c>
      <c r="C249" s="419" t="inlineStr">
        <is>
          <t>Models</t>
        </is>
      </c>
      <c r="D249" s="419" t="inlineStr">
        <is>
          <t>Local Ollama Stage 0 bootstrap</t>
        </is>
      </c>
      <c r="E249" s="419" t="inlineStr">
        <is>
          <t>Validate a loopback-only Ollama runtime, discover the configured local coder, and run a deterministic inference smoke test.</t>
        </is>
      </c>
      <c r="F249" s="419" t="inlineStr">
        <is>
          <t>P0</t>
        </is>
      </c>
      <c r="G249" s="419" t="inlineStr">
        <is>
          <t>Codex</t>
        </is>
      </c>
      <c r="H249" s="419" t="inlineStr">
        <is>
          <t>Done</t>
        </is>
      </c>
      <c r="I249" s="420" t="n">
        <v>1</v>
      </c>
      <c r="J249" s="419" t="inlineStr">
        <is>
          <t>R-002</t>
        </is>
      </c>
      <c r="K249" s="419" t="inlineStr">
        <is>
          <t>Founder Stage 0</t>
        </is>
      </c>
      <c r="L249" s="419" t="inlineStr">
        <is>
          <t>task verify: PASS; task ollama:verify: qwen2.5-coder:14b generated 6 tokens, cloud calls 0; implementation commit 822db27aa9c9e6ab836c28abba10f41dc27918d7</t>
        </is>
      </c>
      <c r="M249" s="419" t="inlineStr">
        <is>
          <t>Reconstructed with founder approval from Brief Sections 79 and 84.1.</t>
        </is>
      </c>
    </row>
    <row r="250">
      <c r="A250" s="419" t="inlineStr">
        <is>
          <t>R-002</t>
        </is>
      </c>
      <c r="B250" s="419" t="inlineStr">
        <is>
          <t>MVP</t>
        </is>
      </c>
      <c r="C250" s="419" t="inlineStr">
        <is>
          <t>Data</t>
        </is>
      </c>
      <c r="D250" s="419" t="inlineStr">
        <is>
          <t>PostgreSQL + pgvector local bootstrap</t>
        </is>
      </c>
      <c r="E250" s="419" t="inlineStr">
        <is>
          <t>Add local Docker Compose PostgreSQL with pgvector and a versioned initial migration.</t>
        </is>
      </c>
      <c r="F250" s="419" t="inlineStr">
        <is>
          <t>P0</t>
        </is>
      </c>
      <c r="G250" s="419" t="inlineStr">
        <is>
          <t>Codex</t>
        </is>
      </c>
      <c r="H250" s="419" t="inlineStr">
        <is>
          <t>Done</t>
        </is>
      </c>
      <c r="I250" s="420" t="n">
        <v>1</v>
      </c>
      <c r="J250" s="419" t="inlineStr">
        <is>
          <t>R-001</t>
        </is>
      </c>
      <c r="K250" s="419" t="inlineStr">
        <is>
          <t>Founder Stage 0</t>
        </is>
      </c>
      <c r="L250" s="419" t="inlineStr">
        <is>
          <t>task verify: PASS; task db:verify: PostgreSQL healthy, pgvector 0.8.6, migration 1; implementation commit 56bf4b0dea5486f8d6dcde0c7b1054249ebbb064</t>
        </is>
      </c>
      <c r="M250" s="419" t="inlineStr">
        <is>
          <t>Reconstructed with founder approval from the kickoff kit's canonical R-002 example.</t>
        </is>
      </c>
    </row>
    <row r="251">
      <c r="A251" s="419" t="inlineStr">
        <is>
          <t>R-001</t>
        </is>
      </c>
      <c r="B251" s="419" t="inlineStr">
        <is>
          <t>MVP</t>
        </is>
      </c>
      <c r="C251" s="419" t="inlineStr">
        <is>
          <t>Foundation</t>
        </is>
      </c>
      <c r="D251" s="419" t="inlineStr">
        <is>
          <t>Platform monorepo bootstrap</t>
        </is>
      </c>
      <c r="E251" s="419" t="inlineStr">
        <is>
          <t>Bootstrap the Section 74 skeleton and Stage 0 portable onboarding, verification, state, and handoff contract without implementing services or infrastructure.</t>
        </is>
      </c>
      <c r="F251" s="419" t="inlineStr">
        <is>
          <t>P0</t>
        </is>
      </c>
      <c r="G251" s="419" t="inlineStr">
        <is>
          <t>Codex</t>
        </is>
      </c>
      <c r="H251" s="419" t="inlineStr">
        <is>
          <t>Done</t>
        </is>
      </c>
      <c r="I251" s="420" t="n">
        <v>1</v>
      </c>
      <c r="J251" s="419" t="inlineStr">
        <is>
          <t>None</t>
        </is>
      </c>
      <c r="K251" s="419" t="inlineStr">
        <is>
          <t>Founder Stage 0</t>
        </is>
      </c>
      <c r="L251" s="419" t="inlineStr">
        <is>
          <t>task verify: PASS; implementation commit 655f01fa0425e8df9022ce6bb1d2040f56b1cb73</t>
        </is>
      </c>
      <c r="M251" s="419" t="inlineStr">
        <is>
          <t>Reconstructed with founder approval because R-001 through R-009 were absent from the supplied workbook.</t>
        </is>
      </c>
    </row>
    <row r="252">
      <c r="A252" s="419" t="inlineStr">
        <is>
          <t>R-010</t>
        </is>
      </c>
      <c r="B252" s="419" t="inlineStr">
        <is>
          <t>MVP</t>
        </is>
      </c>
      <c r="C252" s="419" t="inlineStr">
        <is>
          <t>Agents</t>
        </is>
      </c>
      <c r="D252" s="419" t="inlineStr">
        <is>
          <t>Native iOS Agent</t>
        </is>
      </c>
      <c r="E252" s="419" t="inlineStr">
        <is>
          <t>Activated only for native iOS targets or native modules; generates Swift + SwiftUI using project conventions.</t>
        </is>
      </c>
      <c r="F252" s="419" t="inlineStr">
        <is>
          <t>P0</t>
        </is>
      </c>
      <c r="G252" s="419" t="n"/>
      <c r="H252" s="419" t="inlineStr">
        <is>
          <t>Not Started</t>
        </is>
      </c>
      <c r="I252" s="420" t="n">
        <v>0</v>
      </c>
      <c r="J252" s="419" t="n"/>
      <c r="K252" s="419" t="n"/>
      <c r="L252" s="419" t="n"/>
      <c r="M252" s="419" t="n"/>
    </row>
    <row r="253">
      <c r="A253" s="419" t="inlineStr">
        <is>
          <t>R-011</t>
        </is>
      </c>
      <c r="B253" s="419" t="inlineStr">
        <is>
          <t>MVP</t>
        </is>
      </c>
      <c r="C253" s="419" t="inlineStr">
        <is>
          <t>Agents</t>
        </is>
      </c>
      <c r="D253" s="419" t="inlineStr">
        <is>
          <t>Web/Admin Agent</t>
        </is>
      </c>
      <c r="E253" s="419" t="inlineStr">
        <is>
          <t>Generate/modify React/Next.js TypeScript.</t>
        </is>
      </c>
      <c r="F253" s="419" t="inlineStr">
        <is>
          <t>P0</t>
        </is>
      </c>
      <c r="G253" s="419" t="n"/>
      <c r="H253" s="419" t="inlineStr">
        <is>
          <t>Not Started</t>
        </is>
      </c>
      <c r="I253" s="420" t="n">
        <v>0</v>
      </c>
      <c r="J253" s="419" t="n"/>
      <c r="K253" s="419" t="n"/>
      <c r="L253" s="419" t="n"/>
      <c r="M253" s="419" t="n"/>
    </row>
    <row r="254">
      <c r="A254" s="419" t="inlineStr">
        <is>
          <t>R-012</t>
        </is>
      </c>
      <c r="B254" s="419" t="inlineStr">
        <is>
          <t>MVP</t>
        </is>
      </c>
      <c r="C254" s="419" t="inlineStr">
        <is>
          <t>Agents</t>
        </is>
      </c>
      <c r="D254" s="419" t="inlineStr">
        <is>
          <t>Backend Agent</t>
        </is>
      </c>
      <c r="E254" s="419" t="inlineStr">
        <is>
          <t>Generate/modify backend services; platform default Go/Python, generated app backend selectable.</t>
        </is>
      </c>
      <c r="F254" s="419" t="inlineStr">
        <is>
          <t>P0</t>
        </is>
      </c>
      <c r="G254" s="419" t="n"/>
      <c r="H254" s="419" t="inlineStr">
        <is>
          <t>Not Started</t>
        </is>
      </c>
      <c r="I254" s="420" t="n">
        <v>0</v>
      </c>
      <c r="J254" s="419" t="n"/>
      <c r="K254" s="419" t="n"/>
      <c r="L254" s="419" t="n"/>
      <c r="M254" s="419" t="n"/>
    </row>
    <row r="255">
      <c r="A255" s="419" t="inlineStr">
        <is>
          <t>R-013</t>
        </is>
      </c>
      <c r="B255" s="419" t="inlineStr">
        <is>
          <t>MVP</t>
        </is>
      </c>
      <c r="C255" s="419" t="inlineStr">
        <is>
          <t>Agents</t>
        </is>
      </c>
      <c r="D255" s="419" t="inlineStr">
        <is>
          <t>Database Agent</t>
        </is>
      </c>
      <c r="E255" s="419" t="inlineStr">
        <is>
          <t>Schema, indexes, migrations, rollback strategy and query checks.</t>
        </is>
      </c>
      <c r="F255" s="419" t="inlineStr">
        <is>
          <t>P0</t>
        </is>
      </c>
      <c r="G255" s="419" t="n"/>
      <c r="H255" s="419" t="inlineStr">
        <is>
          <t>Not Started</t>
        </is>
      </c>
      <c r="I255" s="420" t="n">
        <v>0</v>
      </c>
      <c r="J255" s="419" t="n"/>
      <c r="K255" s="419" t="n"/>
      <c r="L255" s="419" t="n"/>
      <c r="M255" s="419" t="n"/>
    </row>
    <row r="256">
      <c r="A256" s="419" t="inlineStr">
        <is>
          <t>R-014</t>
        </is>
      </c>
      <c r="B256" s="419" t="inlineStr">
        <is>
          <t>MVP</t>
        </is>
      </c>
      <c r="C256" s="419" t="inlineStr">
        <is>
          <t>Agents</t>
        </is>
      </c>
      <c r="D256" s="419" t="inlineStr">
        <is>
          <t>QA Agent</t>
        </is>
      </c>
      <c r="E256" s="419" t="inlineStr">
        <is>
          <t>Select tests from impact graph and add tests for new behavior.</t>
        </is>
      </c>
      <c r="F256" s="419" t="inlineStr">
        <is>
          <t>P0</t>
        </is>
      </c>
      <c r="G256" s="419" t="n"/>
      <c r="H256" s="419" t="inlineStr">
        <is>
          <t>Not Started</t>
        </is>
      </c>
      <c r="I256" s="420" t="n">
        <v>0</v>
      </c>
      <c r="J256" s="419" t="n"/>
      <c r="K256" s="419" t="n"/>
      <c r="L256" s="419" t="n"/>
      <c r="M256" s="419" t="n"/>
    </row>
    <row r="257">
      <c r="A257" s="419" t="inlineStr">
        <is>
          <t>R-015</t>
        </is>
      </c>
      <c r="B257" s="419" t="inlineStr">
        <is>
          <t>MVP</t>
        </is>
      </c>
      <c r="C257" s="419" t="inlineStr">
        <is>
          <t>Agents</t>
        </is>
      </c>
      <c r="D257" s="419" t="inlineStr">
        <is>
          <t>Security Review Agent</t>
        </is>
      </c>
      <c r="E257" s="419" t="inlineStr">
        <is>
          <t>Scan change for auth, secrets, input validation and dependency risk.</t>
        </is>
      </c>
      <c r="F257" s="419" t="inlineStr">
        <is>
          <t>P0</t>
        </is>
      </c>
      <c r="G257" s="419" t="n"/>
      <c r="H257" s="419" t="inlineStr">
        <is>
          <t>Not Started</t>
        </is>
      </c>
      <c r="I257" s="420" t="n">
        <v>0</v>
      </c>
      <c r="J257" s="419" t="n"/>
      <c r="K257" s="419" t="n"/>
      <c r="L257" s="419" t="n"/>
      <c r="M257" s="419" t="n"/>
    </row>
    <row r="258">
      <c r="A258" s="419" t="inlineStr">
        <is>
          <t>R-016</t>
        </is>
      </c>
      <c r="B258" s="419" t="inlineStr">
        <is>
          <t>MVP</t>
        </is>
      </c>
      <c r="C258" s="419" t="inlineStr">
        <is>
          <t>Change Safety</t>
        </is>
      </c>
      <c r="D258" s="419" t="inlineStr">
        <is>
          <t>Change Impact Engine v1</t>
        </is>
      </c>
      <c r="E258" s="419" t="inlineStr">
        <is>
          <t>Identify affected modules/APIs/schema/tests before edits.</t>
        </is>
      </c>
      <c r="F258" s="419" t="inlineStr">
        <is>
          <t>P0</t>
        </is>
      </c>
      <c r="G258" s="419" t="n"/>
      <c r="H258" s="419" t="inlineStr">
        <is>
          <t>Not Started</t>
        </is>
      </c>
      <c r="I258" s="420" t="n">
        <v>0</v>
      </c>
      <c r="J258" s="419" t="n"/>
      <c r="K258" s="419" t="n"/>
      <c r="L258" s="419" t="n"/>
      <c r="M258" s="419" t="n"/>
    </row>
    <row r="259">
      <c r="A259" s="419" t="inlineStr">
        <is>
          <t>R-017</t>
        </is>
      </c>
      <c r="B259" s="419" t="inlineStr">
        <is>
          <t>MVP</t>
        </is>
      </c>
      <c r="C259" s="419" t="inlineStr">
        <is>
          <t>Change Safety</t>
        </is>
      </c>
      <c r="D259" s="419" t="inlineStr">
        <is>
          <t>Blast-radius policy</t>
        </is>
      </c>
      <c r="E259" s="419" t="inlineStr">
        <is>
          <t>Reject or require review when changed files exceed expected scope.</t>
        </is>
      </c>
      <c r="F259" s="419" t="inlineStr">
        <is>
          <t>P0</t>
        </is>
      </c>
      <c r="G259" s="419" t="n"/>
      <c r="H259" s="419" t="inlineStr">
        <is>
          <t>Not Started</t>
        </is>
      </c>
      <c r="I259" s="420" t="n">
        <v>0</v>
      </c>
      <c r="J259" s="419" t="n"/>
      <c r="K259" s="419" t="n"/>
      <c r="L259" s="419" t="n"/>
      <c r="M259" s="419" t="n"/>
    </row>
    <row r="260">
      <c r="A260" s="419" t="inlineStr">
        <is>
          <t>R-018</t>
        </is>
      </c>
      <c r="B260" s="419" t="inlineStr">
        <is>
          <t>MVP</t>
        </is>
      </c>
      <c r="C260" s="419" t="inlineStr">
        <is>
          <t>Code Intelligence</t>
        </is>
      </c>
      <c r="D260" s="419" t="inlineStr">
        <is>
          <t>Repository index</t>
        </is>
      </c>
      <c r="E260" s="419" t="inlineStr">
        <is>
          <t>Symbols, imports, routes, schemas and dependencies indexed per commit.</t>
        </is>
      </c>
      <c r="F260" s="419" t="inlineStr">
        <is>
          <t>P0</t>
        </is>
      </c>
      <c r="G260" s="419" t="n"/>
      <c r="H260" s="419" t="inlineStr">
        <is>
          <t>Not Started</t>
        </is>
      </c>
      <c r="I260" s="420" t="n">
        <v>0</v>
      </c>
      <c r="J260" s="419" t="n"/>
      <c r="K260" s="419" t="n"/>
      <c r="L260" s="419" t="n"/>
      <c r="M260" s="419" t="n"/>
    </row>
    <row r="261">
      <c r="A261" s="419" t="inlineStr">
        <is>
          <t>R-019</t>
        </is>
      </c>
      <c r="B261" s="419" t="inlineStr">
        <is>
          <t>MVP</t>
        </is>
      </c>
      <c r="C261" s="419" t="inlineStr">
        <is>
          <t>Code Intelligence</t>
        </is>
      </c>
      <c r="D261" s="419" t="inlineStr">
        <is>
          <t>Semantic context retrieval</t>
        </is>
      </c>
      <c r="E261" s="419" t="inlineStr">
        <is>
          <t>Send only relevant code/context to models.</t>
        </is>
      </c>
      <c r="F261" s="419" t="inlineStr">
        <is>
          <t>P0</t>
        </is>
      </c>
      <c r="G261" s="419" t="n"/>
      <c r="H261" s="419" t="inlineStr">
        <is>
          <t>Not Started</t>
        </is>
      </c>
      <c r="I261" s="420" t="n">
        <v>0</v>
      </c>
      <c r="J261" s="419" t="n"/>
      <c r="K261" s="419" t="n"/>
      <c r="L261" s="419" t="n"/>
      <c r="M261" s="419" t="n"/>
    </row>
    <row r="262">
      <c r="A262" s="419" t="inlineStr">
        <is>
          <t>R-020</t>
        </is>
      </c>
      <c r="B262" s="419" t="inlineStr">
        <is>
          <t>MVP</t>
        </is>
      </c>
      <c r="C262" s="419" t="inlineStr">
        <is>
          <t>Code Editing</t>
        </is>
      </c>
      <c r="D262" s="419" t="inlineStr">
        <is>
          <t>Structured patch engine</t>
        </is>
      </c>
      <c r="E262" s="419" t="inlineStr">
        <is>
          <t>Prefer symbol/AST-aware targeted patches over full-file rewrites.</t>
        </is>
      </c>
      <c r="F262" s="419" t="inlineStr">
        <is>
          <t>P0</t>
        </is>
      </c>
      <c r="G262" s="419" t="n"/>
      <c r="H262" s="419" t="inlineStr">
        <is>
          <t>Not Started</t>
        </is>
      </c>
      <c r="I262" s="420" t="n">
        <v>0</v>
      </c>
      <c r="J262" s="419" t="n"/>
      <c r="K262" s="419" t="n"/>
      <c r="L262" s="419" t="n"/>
      <c r="M262" s="419" t="n"/>
    </row>
    <row r="263">
      <c r="A263" s="419" t="inlineStr">
        <is>
          <t>R-021</t>
        </is>
      </c>
      <c r="B263" s="419" t="inlineStr">
        <is>
          <t>MVP</t>
        </is>
      </c>
      <c r="C263" s="419" t="inlineStr">
        <is>
          <t>Git</t>
        </is>
      </c>
      <c r="D263" s="419" t="inlineStr">
        <is>
          <t>Branch per task</t>
        </is>
      </c>
      <c r="E263" s="419" t="inlineStr">
        <is>
          <t>Every AI task runs on its own branch/checkpoint.</t>
        </is>
      </c>
      <c r="F263" s="419" t="inlineStr">
        <is>
          <t>P0</t>
        </is>
      </c>
      <c r="G263" s="419" t="n"/>
      <c r="H263" s="419" t="inlineStr">
        <is>
          <t>Not Started</t>
        </is>
      </c>
      <c r="I263" s="420" t="n">
        <v>0</v>
      </c>
      <c r="J263" s="419" t="n"/>
      <c r="K263" s="419" t="n"/>
      <c r="L263" s="419" t="n"/>
      <c r="M263" s="419" t="n"/>
    </row>
    <row r="264">
      <c r="A264" s="419" t="inlineStr">
        <is>
          <t>R-022</t>
        </is>
      </c>
      <c r="B264" s="419" t="inlineStr">
        <is>
          <t>MVP</t>
        </is>
      </c>
      <c r="C264" s="419" t="inlineStr">
        <is>
          <t>Git</t>
        </is>
      </c>
      <c r="D264" s="419" t="inlineStr">
        <is>
          <t>Non-destructive rollback</t>
        </is>
      </c>
      <c r="E264" s="419" t="inlineStr">
        <is>
          <t>Use Git revert/cherry-pick; never destroy later work as the only rollback method.</t>
        </is>
      </c>
      <c r="F264" s="419" t="inlineStr">
        <is>
          <t>P0</t>
        </is>
      </c>
      <c r="G264" s="419" t="n"/>
      <c r="H264" s="419" t="inlineStr">
        <is>
          <t>Not Started</t>
        </is>
      </c>
      <c r="I264" s="420" t="n">
        <v>0</v>
      </c>
      <c r="J264" s="419" t="n"/>
      <c r="K264" s="419" t="n"/>
      <c r="L264" s="419" t="n"/>
      <c r="M264" s="419" t="n"/>
    </row>
    <row r="265">
      <c r="A265" s="419" t="inlineStr">
        <is>
          <t>R-023</t>
        </is>
      </c>
      <c r="B265" s="419" t="inlineStr">
        <is>
          <t>MVP</t>
        </is>
      </c>
      <c r="C265" s="419" t="inlineStr">
        <is>
          <t>Models</t>
        </is>
      </c>
      <c r="D265" s="419" t="inlineStr">
        <is>
          <t>Model gateway</t>
        </is>
      </c>
      <c r="E265" s="419" t="inlineStr">
        <is>
          <t>One internal API for OpenAI/Anthropic/Gemini and future models.</t>
        </is>
      </c>
      <c r="F265" s="419" t="inlineStr">
        <is>
          <t>P0</t>
        </is>
      </c>
      <c r="G265" s="419" t="n"/>
      <c r="H265" s="419" t="inlineStr">
        <is>
          <t>Not Started</t>
        </is>
      </c>
      <c r="I265" s="420" t="n">
        <v>0</v>
      </c>
      <c r="J265" s="419" t="n"/>
      <c r="K265" s="419" t="n"/>
      <c r="L265" s="419" t="n"/>
      <c r="M265" s="419" t="n"/>
    </row>
    <row r="266">
      <c r="A266" s="419" t="inlineStr">
        <is>
          <t>R-024</t>
        </is>
      </c>
      <c r="B266" s="419" t="inlineStr">
        <is>
          <t>MVP</t>
        </is>
      </c>
      <c r="C266" s="419" t="inlineStr">
        <is>
          <t>Models</t>
        </is>
      </c>
      <c r="D266" s="419" t="inlineStr">
        <is>
          <t>Routing + fallback</t>
        </is>
      </c>
      <c r="E266" s="419" t="inlineStr">
        <is>
          <t>Route by task quality/cost/latency; retry on another approved model after provider failure.</t>
        </is>
      </c>
      <c r="F266" s="419" t="inlineStr">
        <is>
          <t>P0</t>
        </is>
      </c>
      <c r="G266" s="419" t="n"/>
      <c r="H266" s="419" t="inlineStr">
        <is>
          <t>Not Started</t>
        </is>
      </c>
      <c r="I266" s="420" t="n">
        <v>0</v>
      </c>
      <c r="J266" s="419" t="n"/>
      <c r="K266" s="419" t="n"/>
      <c r="L266" s="419" t="n"/>
      <c r="M266" s="419" t="n"/>
    </row>
    <row r="267">
      <c r="A267" s="419" t="inlineStr">
        <is>
          <t>R-025</t>
        </is>
      </c>
      <c r="B267" s="419" t="inlineStr">
        <is>
          <t>MVP</t>
        </is>
      </c>
      <c r="C267" s="419" t="inlineStr">
        <is>
          <t>Models</t>
        </is>
      </c>
      <c r="D267" s="419" t="inlineStr">
        <is>
          <t>Per-task budgets</t>
        </is>
      </c>
      <c r="E267" s="419" t="inlineStr">
        <is>
          <t>Token/tool/time/retry limits prevent runaway loops.</t>
        </is>
      </c>
      <c r="F267" s="419" t="inlineStr">
        <is>
          <t>P0</t>
        </is>
      </c>
      <c r="G267" s="419" t="n"/>
      <c r="H267" s="419" t="inlineStr">
        <is>
          <t>Not Started</t>
        </is>
      </c>
      <c r="I267" s="420" t="n">
        <v>0</v>
      </c>
      <c r="J267" s="419" t="n"/>
      <c r="K267" s="419" t="n"/>
      <c r="L267" s="419" t="n"/>
      <c r="M267" s="419" t="n"/>
    </row>
    <row r="268">
      <c r="A268" s="419" t="inlineStr">
        <is>
          <t>R-026</t>
        </is>
      </c>
      <c r="B268" s="419" t="inlineStr">
        <is>
          <t>MVP</t>
        </is>
      </c>
      <c r="C268" s="419" t="inlineStr">
        <is>
          <t>Data</t>
        </is>
      </c>
      <c r="D268" s="419" t="inlineStr">
        <is>
          <t>PostgreSQL</t>
        </is>
      </c>
      <c r="E268" s="419" t="inlineStr">
        <is>
          <t>Platform metadata, users, projects, billing, IR and audit records.</t>
        </is>
      </c>
      <c r="F268" s="419" t="inlineStr">
        <is>
          <t>P0</t>
        </is>
      </c>
      <c r="G268" s="419" t="n"/>
      <c r="H268" s="419" t="inlineStr">
        <is>
          <t>Not Started</t>
        </is>
      </c>
      <c r="I268" s="420" t="n">
        <v>0</v>
      </c>
      <c r="J268" s="419" t="n"/>
      <c r="K268" s="419" t="n"/>
      <c r="L268" s="419" t="n"/>
      <c r="M268" s="419" t="n"/>
    </row>
    <row r="269">
      <c r="A269" s="419" t="inlineStr">
        <is>
          <t>R-027</t>
        </is>
      </c>
      <c r="B269" s="419" t="inlineStr">
        <is>
          <t>MVP</t>
        </is>
      </c>
      <c r="C269" s="419" t="inlineStr">
        <is>
          <t>Data</t>
        </is>
      </c>
      <c r="D269" s="419" t="inlineStr">
        <is>
          <t>pgvector initially</t>
        </is>
      </c>
      <c r="E269" s="419" t="inlineStr">
        <is>
          <t>Project/code embeddings in PostgreSQL to avoid operating a separate vector DB too early.</t>
        </is>
      </c>
      <c r="F269" s="419" t="inlineStr">
        <is>
          <t>P0</t>
        </is>
      </c>
      <c r="G269" s="419" t="n"/>
      <c r="H269" s="419" t="inlineStr">
        <is>
          <t>Not Started</t>
        </is>
      </c>
      <c r="I269" s="420" t="n">
        <v>0</v>
      </c>
      <c r="J269" s="419" t="n"/>
      <c r="K269" s="419" t="n"/>
      <c r="L269" s="419" t="n"/>
      <c r="M269" s="419" t="n"/>
    </row>
    <row r="270">
      <c r="A270" s="419" t="inlineStr">
        <is>
          <t>R-028</t>
        </is>
      </c>
      <c r="B270" s="419" t="inlineStr">
        <is>
          <t>MVP</t>
        </is>
      </c>
      <c r="C270" s="419" t="inlineStr">
        <is>
          <t>Data</t>
        </is>
      </c>
      <c r="D270" s="419" t="inlineStr">
        <is>
          <t>Redis</t>
        </is>
      </c>
      <c r="E270" s="419" t="inlineStr">
        <is>
          <t>Cache, short-lived agent state, rate limits and queues where appropriate.</t>
        </is>
      </c>
      <c r="F270" s="419" t="inlineStr">
        <is>
          <t>P0</t>
        </is>
      </c>
      <c r="G270" s="419" t="n"/>
      <c r="H270" s="419" t="inlineStr">
        <is>
          <t>Not Started</t>
        </is>
      </c>
      <c r="I270" s="420" t="n">
        <v>0</v>
      </c>
      <c r="J270" s="419" t="n"/>
      <c r="K270" s="419" t="n"/>
      <c r="L270" s="419" t="n"/>
      <c r="M270" s="419" t="n"/>
    </row>
    <row r="271">
      <c r="A271" s="419" t="inlineStr">
        <is>
          <t>R-029</t>
        </is>
      </c>
      <c r="B271" s="419" t="inlineStr">
        <is>
          <t>MVP</t>
        </is>
      </c>
      <c r="C271" s="419" t="inlineStr">
        <is>
          <t>Data</t>
        </is>
      </c>
      <c r="D271" s="419" t="inlineStr">
        <is>
          <t>NATS / managed queue</t>
        </is>
      </c>
      <c r="E271" s="419" t="inlineStr">
        <is>
          <t>Agent/build events with simpler operations than Kafka for MVP.</t>
        </is>
      </c>
      <c r="F271" s="419" t="inlineStr">
        <is>
          <t>P0</t>
        </is>
      </c>
      <c r="G271" s="419" t="n"/>
      <c r="H271" s="419" t="inlineStr">
        <is>
          <t>Not Started</t>
        </is>
      </c>
      <c r="I271" s="420" t="n">
        <v>0</v>
      </c>
      <c r="J271" s="419" t="n"/>
      <c r="K271" s="419" t="n"/>
      <c r="L271" s="419" t="n"/>
      <c r="M271" s="419" t="n"/>
    </row>
    <row r="272">
      <c r="A272" s="419" t="inlineStr">
        <is>
          <t>R-030</t>
        </is>
      </c>
      <c r="B272" s="419" t="inlineStr">
        <is>
          <t>MVP</t>
        </is>
      </c>
      <c r="C272" s="419" t="inlineStr">
        <is>
          <t>Data</t>
        </is>
      </c>
      <c r="D272" s="419" t="inlineStr">
        <is>
          <t>S3-compatible object storage</t>
        </is>
      </c>
      <c r="E272" s="419" t="inlineStr">
        <is>
          <t>Builds, screenshots, archives, test artifacts and logs.</t>
        </is>
      </c>
      <c r="F272" s="419" t="inlineStr">
        <is>
          <t>P0</t>
        </is>
      </c>
      <c r="G272" s="419" t="n"/>
      <c r="H272" s="419" t="inlineStr">
        <is>
          <t>Not Started</t>
        </is>
      </c>
      <c r="I272" s="420" t="n">
        <v>0</v>
      </c>
      <c r="J272" s="419" t="n"/>
      <c r="K272" s="419" t="n"/>
      <c r="L272" s="419" t="n"/>
      <c r="M272" s="419" t="n"/>
    </row>
    <row r="273">
      <c r="A273" s="419" t="inlineStr">
        <is>
          <t>R-031</t>
        </is>
      </c>
      <c r="B273" s="419" t="inlineStr">
        <is>
          <t>MVP</t>
        </is>
      </c>
      <c r="C273" s="419" t="inlineStr">
        <is>
          <t>Sandbox</t>
        </is>
      </c>
      <c r="D273" s="419" t="inlineStr">
        <is>
          <t>Ephemeral Linux sandbox</t>
        </is>
      </c>
      <c r="E273" s="419" t="inlineStr">
        <is>
          <t>Isolated build/run environment with CPU/RAM/disk/network limits.</t>
        </is>
      </c>
      <c r="F273" s="419" t="inlineStr">
        <is>
          <t>P0</t>
        </is>
      </c>
      <c r="G273" s="419" t="n"/>
      <c r="H273" s="419" t="inlineStr">
        <is>
          <t>Not Started</t>
        </is>
      </c>
      <c r="I273" s="420" t="n">
        <v>0</v>
      </c>
      <c r="J273" s="419" t="n"/>
      <c r="K273" s="419" t="n"/>
      <c r="L273" s="419" t="n"/>
      <c r="M273" s="419" t="n"/>
    </row>
    <row r="274">
      <c r="A274" s="419" t="inlineStr">
        <is>
          <t>R-032</t>
        </is>
      </c>
      <c r="B274" s="419" t="inlineStr">
        <is>
          <t>MVP</t>
        </is>
      </c>
      <c r="C274" s="419" t="inlineStr">
        <is>
          <t>Sandbox</t>
        </is>
      </c>
      <c r="D274" s="419" t="inlineStr">
        <is>
          <t>Secret broker</t>
        </is>
      </c>
      <c r="E274" s="419" t="inlineStr">
        <is>
          <t>Give tasks short-lived scoped credentials, never raw master secrets.</t>
        </is>
      </c>
      <c r="F274" s="419" t="inlineStr">
        <is>
          <t>P0</t>
        </is>
      </c>
      <c r="G274" s="419" t="n"/>
      <c r="H274" s="419" t="inlineStr">
        <is>
          <t>Not Started</t>
        </is>
      </c>
      <c r="I274" s="420" t="n">
        <v>0</v>
      </c>
      <c r="J274" s="419" t="n"/>
      <c r="K274" s="419" t="n"/>
      <c r="L274" s="419" t="n"/>
      <c r="M274" s="419" t="n"/>
    </row>
    <row r="275">
      <c r="A275" s="419" t="inlineStr">
        <is>
          <t>R-033</t>
        </is>
      </c>
      <c r="B275" s="419" t="inlineStr">
        <is>
          <t>MVP</t>
        </is>
      </c>
      <c r="C275" s="419" t="inlineStr">
        <is>
          <t>Preview</t>
        </is>
      </c>
      <c r="D275" s="419" t="inlineStr">
        <is>
          <t>Application-IR browser preview</t>
        </is>
      </c>
      <c r="E275" s="419" t="inlineStr">
        <is>
          <t>Fast Android/iOS-like UI preview from same canonical IR.</t>
        </is>
      </c>
      <c r="F275" s="419" t="inlineStr">
        <is>
          <t>P0</t>
        </is>
      </c>
      <c r="G275" s="419" t="n"/>
      <c r="H275" s="419" t="inlineStr">
        <is>
          <t>Not Started</t>
        </is>
      </c>
      <c r="I275" s="420" t="n">
        <v>0</v>
      </c>
      <c r="J275" s="419" t="n"/>
      <c r="K275" s="419" t="n"/>
      <c r="L275" s="419" t="n"/>
      <c r="M275" s="419" t="n"/>
    </row>
    <row r="276">
      <c r="A276" s="419" t="inlineStr">
        <is>
          <t>R-034</t>
        </is>
      </c>
      <c r="B276" s="419" t="inlineStr">
        <is>
          <t>MVP</t>
        </is>
      </c>
      <c r="C276" s="419" t="inlineStr">
        <is>
          <t>Preview</t>
        </is>
      </c>
      <c r="D276" s="419" t="inlineStr">
        <is>
          <t>Web/Admin live preview</t>
        </is>
      </c>
      <c r="E276" s="419" t="inlineStr">
        <is>
          <t>Run generated web apps in isolated preview containers.</t>
        </is>
      </c>
      <c r="F276" s="419" t="inlineStr">
        <is>
          <t>P0</t>
        </is>
      </c>
      <c r="G276" s="419" t="n"/>
      <c r="H276" s="419" t="inlineStr">
        <is>
          <t>Not Started</t>
        </is>
      </c>
      <c r="I276" s="420" t="n">
        <v>0</v>
      </c>
      <c r="J276" s="419" t="n"/>
      <c r="K276" s="419" t="n"/>
      <c r="L276" s="419" t="n"/>
      <c r="M276" s="419" t="n"/>
    </row>
    <row r="277">
      <c r="A277" s="419" t="inlineStr">
        <is>
          <t>R-035</t>
        </is>
      </c>
      <c r="B277" s="419" t="inlineStr">
        <is>
          <t>MVP</t>
        </is>
      </c>
      <c r="C277" s="419" t="inlineStr">
        <is>
          <t>Android</t>
        </is>
      </c>
      <c r="D277" s="419" t="inlineStr">
        <is>
          <t>Android build verification</t>
        </is>
      </c>
      <c r="E277" s="419" t="inlineStr">
        <is>
          <t>Compile generated Kotlin/Compose on Linux workers.</t>
        </is>
      </c>
      <c r="F277" s="419" t="inlineStr">
        <is>
          <t>P0</t>
        </is>
      </c>
      <c r="G277" s="419" t="n"/>
      <c r="H277" s="419" t="inlineStr">
        <is>
          <t>Not Started</t>
        </is>
      </c>
      <c r="I277" s="420" t="n">
        <v>0</v>
      </c>
      <c r="J277" s="419" t="n"/>
      <c r="K277" s="419" t="n"/>
      <c r="L277" s="419" t="n"/>
      <c r="M277" s="419" t="n"/>
    </row>
    <row r="278">
      <c r="A278" s="419" t="inlineStr">
        <is>
          <t>R-036</t>
        </is>
      </c>
      <c r="B278" s="419" t="inlineStr">
        <is>
          <t>MVP</t>
        </is>
      </c>
      <c r="C278" s="419" t="inlineStr">
        <is>
          <t>iOS</t>
        </is>
      </c>
      <c r="D278" s="419" t="inlineStr">
        <is>
          <t>Cloud macOS compile verification</t>
        </is>
      </c>
      <c r="E278" s="419" t="inlineStr">
        <is>
          <t>Compile Swift/SwiftUI on a Mac pool when needed; user OS irrelevant.</t>
        </is>
      </c>
      <c r="F278" s="419" t="inlineStr">
        <is>
          <t>P0</t>
        </is>
      </c>
      <c r="G278" s="419" t="n"/>
      <c r="H278" s="419" t="inlineStr">
        <is>
          <t>Not Started</t>
        </is>
      </c>
      <c r="I278" s="420" t="n">
        <v>0</v>
      </c>
      <c r="J278" s="419" t="n"/>
      <c r="K278" s="419" t="n"/>
      <c r="L278" s="419" t="n"/>
      <c r="M278" s="419" t="n"/>
    </row>
    <row r="279">
      <c r="A279" s="419" t="inlineStr">
        <is>
          <t>R-037</t>
        </is>
      </c>
      <c r="B279" s="419" t="inlineStr">
        <is>
          <t>MVP</t>
        </is>
      </c>
      <c r="C279" s="419" t="inlineStr">
        <is>
          <t>Testing</t>
        </is>
      </c>
      <c r="D279" s="419" t="inlineStr">
        <is>
          <t>Unit + integration baseline</t>
        </is>
      </c>
      <c r="E279" s="419" t="inlineStr">
        <is>
          <t>Generated changes require relevant tests.</t>
        </is>
      </c>
      <c r="F279" s="419" t="inlineStr">
        <is>
          <t>P0</t>
        </is>
      </c>
      <c r="G279" s="419" t="n"/>
      <c r="H279" s="419" t="inlineStr">
        <is>
          <t>Not Started</t>
        </is>
      </c>
      <c r="I279" s="420" t="n">
        <v>0</v>
      </c>
      <c r="J279" s="419" t="n"/>
      <c r="K279" s="419" t="n"/>
      <c r="L279" s="419" t="n"/>
      <c r="M279" s="419" t="n"/>
    </row>
    <row r="280">
      <c r="A280" s="419" t="inlineStr">
        <is>
          <t>R-038</t>
        </is>
      </c>
      <c r="B280" s="419" t="inlineStr">
        <is>
          <t>MVP</t>
        </is>
      </c>
      <c r="C280" s="419" t="inlineStr">
        <is>
          <t>Testing</t>
        </is>
      </c>
      <c r="D280" s="419" t="inlineStr">
        <is>
          <t>Regression gate</t>
        </is>
      </c>
      <c r="E280" s="419" t="inlineStr">
        <is>
          <t>Existing passing tests must stay passing before merge.</t>
        </is>
      </c>
      <c r="F280" s="419" t="inlineStr">
        <is>
          <t>P0</t>
        </is>
      </c>
      <c r="G280" s="419" t="n"/>
      <c r="H280" s="419" t="inlineStr">
        <is>
          <t>Not Started</t>
        </is>
      </c>
      <c r="I280" s="420" t="n">
        <v>0</v>
      </c>
      <c r="J280" s="419" t="n"/>
      <c r="K280" s="419" t="n"/>
      <c r="L280" s="419" t="n"/>
      <c r="M280" s="419" t="n"/>
    </row>
    <row r="281">
      <c r="A281" s="419" t="inlineStr">
        <is>
          <t>R-039</t>
        </is>
      </c>
      <c r="B281" s="419" t="inlineStr">
        <is>
          <t>MVP</t>
        </is>
      </c>
      <c r="C281" s="419" t="inlineStr">
        <is>
          <t>Testing</t>
        </is>
      </c>
      <c r="D281" s="419" t="inlineStr">
        <is>
          <t>API contract tests</t>
        </is>
      </c>
      <c r="E281" s="419" t="inlineStr">
        <is>
          <t>Catch backend/mobile/web contract drift.</t>
        </is>
      </c>
      <c r="F281" s="419" t="inlineStr">
        <is>
          <t>P0</t>
        </is>
      </c>
      <c r="G281" s="419" t="n"/>
      <c r="H281" s="419" t="inlineStr">
        <is>
          <t>Not Started</t>
        </is>
      </c>
      <c r="I281" s="420" t="n">
        <v>0</v>
      </c>
      <c r="J281" s="419" t="n"/>
      <c r="K281" s="419" t="n"/>
      <c r="L281" s="419" t="n"/>
      <c r="M281" s="419" t="n"/>
    </row>
    <row r="282">
      <c r="A282" s="419" t="inlineStr">
        <is>
          <t>R-040</t>
        </is>
      </c>
      <c r="B282" s="419" t="inlineStr">
        <is>
          <t>MVP</t>
        </is>
      </c>
      <c r="C282" s="419" t="inlineStr">
        <is>
          <t>Testing</t>
        </is>
      </c>
      <c r="D282" s="419" t="inlineStr">
        <is>
          <t>Migration safety checks</t>
        </is>
      </c>
      <c r="E282" s="419" t="inlineStr">
        <is>
          <t>Detect destructive schema changes and require explicit migration plan.</t>
        </is>
      </c>
      <c r="F282" s="419" t="inlineStr">
        <is>
          <t>P0</t>
        </is>
      </c>
      <c r="G282" s="419" t="n"/>
      <c r="H282" s="419" t="inlineStr">
        <is>
          <t>Not Started</t>
        </is>
      </c>
      <c r="I282" s="420" t="n">
        <v>0</v>
      </c>
      <c r="J282" s="419" t="n"/>
      <c r="K282" s="419" t="n"/>
      <c r="L282" s="419" t="n"/>
      <c r="M282" s="419" t="n"/>
    </row>
    <row r="283">
      <c r="A283" s="419" t="inlineStr">
        <is>
          <t>R-041</t>
        </is>
      </c>
      <c r="B283" s="419" t="inlineStr">
        <is>
          <t>MVP</t>
        </is>
      </c>
      <c r="C283" s="419" t="inlineStr">
        <is>
          <t>Security</t>
        </is>
      </c>
      <c r="D283" s="419" t="inlineStr">
        <is>
          <t>SAST + dependency scanning</t>
        </is>
      </c>
      <c r="E283" s="419" t="inlineStr">
        <is>
          <t>Scan generated and modified code before deploy.</t>
        </is>
      </c>
      <c r="F283" s="419" t="inlineStr">
        <is>
          <t>P0</t>
        </is>
      </c>
      <c r="G283" s="419" t="n"/>
      <c r="H283" s="419" t="inlineStr">
        <is>
          <t>Not Started</t>
        </is>
      </c>
      <c r="I283" s="420" t="n">
        <v>0</v>
      </c>
      <c r="J283" s="419" t="n"/>
      <c r="K283" s="419" t="n"/>
      <c r="L283" s="419" t="n"/>
      <c r="M283" s="419" t="n"/>
    </row>
    <row r="284">
      <c r="A284" s="419" t="inlineStr">
        <is>
          <t>R-042</t>
        </is>
      </c>
      <c r="B284" s="419" t="inlineStr">
        <is>
          <t>MVP</t>
        </is>
      </c>
      <c r="C284" s="419" t="inlineStr">
        <is>
          <t>Security</t>
        </is>
      </c>
      <c r="D284" s="419" t="inlineStr">
        <is>
          <t>Prompt/tool policy</t>
        </is>
      </c>
      <c r="E284" s="419" t="inlineStr">
        <is>
          <t>Repo content cannot silently override system policy or exfiltrate secrets.</t>
        </is>
      </c>
      <c r="F284" s="419" t="inlineStr">
        <is>
          <t>P0</t>
        </is>
      </c>
      <c r="G284" s="419" t="n"/>
      <c r="H284" s="419" t="inlineStr">
        <is>
          <t>Not Started</t>
        </is>
      </c>
      <c r="I284" s="420" t="n">
        <v>0</v>
      </c>
      <c r="J284" s="419" t="n"/>
      <c r="K284" s="419" t="n"/>
      <c r="L284" s="419" t="n"/>
      <c r="M284" s="419" t="n"/>
    </row>
    <row r="285">
      <c r="A285" s="419" t="inlineStr">
        <is>
          <t>R-043</t>
        </is>
      </c>
      <c r="B285" s="419" t="inlineStr">
        <is>
          <t>MVP</t>
        </is>
      </c>
      <c r="C285" s="419" t="inlineStr">
        <is>
          <t>Observability</t>
        </is>
      </c>
      <c r="D285" s="419" t="inlineStr">
        <is>
          <t>Task trace</t>
        </is>
      </c>
      <c r="E285" s="419" t="inlineStr">
        <is>
          <t>Trace prompt -&gt; plan -&gt; tools -&gt; patches -&gt; tests -&gt; cost -&gt; result.</t>
        </is>
      </c>
      <c r="F285" s="419" t="inlineStr">
        <is>
          <t>P0</t>
        </is>
      </c>
      <c r="G285" s="419" t="n"/>
      <c r="H285" s="419" t="inlineStr">
        <is>
          <t>Not Started</t>
        </is>
      </c>
      <c r="I285" s="420" t="n">
        <v>0</v>
      </c>
      <c r="J285" s="419" t="n"/>
      <c r="K285" s="419" t="n"/>
      <c r="L285" s="419" t="n"/>
      <c r="M285" s="419" t="n"/>
    </row>
    <row r="286">
      <c r="A286" s="419" t="inlineStr">
        <is>
          <t>R-044</t>
        </is>
      </c>
      <c r="B286" s="419" t="inlineStr">
        <is>
          <t>MVP</t>
        </is>
      </c>
      <c r="C286" s="419" t="inlineStr">
        <is>
          <t>Observability</t>
        </is>
      </c>
      <c r="D286" s="419" t="inlineStr">
        <is>
          <t>Platform logs/metrics</t>
        </is>
      </c>
      <c r="E286" s="419" t="inlineStr">
        <is>
          <t>OpenTelemetry plus central logs and core service metrics.</t>
        </is>
      </c>
      <c r="F286" s="419" t="inlineStr">
        <is>
          <t>P0</t>
        </is>
      </c>
      <c r="G286" s="419" t="n"/>
      <c r="H286" s="419" t="inlineStr">
        <is>
          <t>Not Started</t>
        </is>
      </c>
      <c r="I286" s="420" t="n">
        <v>0</v>
      </c>
      <c r="J286" s="419" t="n"/>
      <c r="K286" s="419" t="n"/>
      <c r="L286" s="419" t="n"/>
      <c r="M286" s="419" t="n"/>
    </row>
    <row r="287">
      <c r="A287" s="419" t="inlineStr">
        <is>
          <t>R-045</t>
        </is>
      </c>
      <c r="B287" s="419" t="inlineStr">
        <is>
          <t>MVP</t>
        </is>
      </c>
      <c r="C287" s="419" t="inlineStr">
        <is>
          <t>Billing</t>
        </is>
      </c>
      <c r="D287" s="419" t="inlineStr">
        <is>
          <t>Usage ledger</t>
        </is>
      </c>
      <c r="E287" s="419" t="inlineStr">
        <is>
          <t>Track model tokens, build minutes, storage and Mac minutes per task/project.</t>
        </is>
      </c>
      <c r="F287" s="419" t="inlineStr">
        <is>
          <t>P0</t>
        </is>
      </c>
      <c r="G287" s="419" t="n"/>
      <c r="H287" s="419" t="inlineStr">
        <is>
          <t>Not Started</t>
        </is>
      </c>
      <c r="I287" s="420" t="n">
        <v>0</v>
      </c>
      <c r="J287" s="419" t="n"/>
      <c r="K287" s="419" t="n"/>
      <c r="L287" s="419" t="n"/>
      <c r="M287" s="419" t="n"/>
    </row>
    <row r="288">
      <c r="A288" s="419" t="inlineStr">
        <is>
          <t>R-046</t>
        </is>
      </c>
      <c r="B288" s="419" t="inlineStr">
        <is>
          <t>MVP</t>
        </is>
      </c>
      <c r="C288" s="419" t="inlineStr">
        <is>
          <t>Billing</t>
        </is>
      </c>
      <c r="D288" s="419" t="inlineStr">
        <is>
          <t>Pre-task estimate</t>
        </is>
      </c>
      <c r="E288" s="419" t="inlineStr">
        <is>
          <t>Show estimated credit range before expensive tasks/native sessions.</t>
        </is>
      </c>
      <c r="F288" s="419" t="inlineStr">
        <is>
          <t>P0</t>
        </is>
      </c>
      <c r="G288" s="419" t="n"/>
      <c r="H288" s="419" t="inlineStr">
        <is>
          <t>Not Started</t>
        </is>
      </c>
      <c r="I288" s="420" t="n">
        <v>0</v>
      </c>
      <c r="J288" s="419" t="n"/>
      <c r="K288" s="419" t="n"/>
      <c r="L288" s="419" t="n"/>
      <c r="M288" s="419" t="n"/>
    </row>
    <row r="289">
      <c r="A289" s="419" t="inlineStr">
        <is>
          <t>R-047</t>
        </is>
      </c>
      <c r="B289" s="419" t="inlineStr">
        <is>
          <t>MVP</t>
        </is>
      </c>
      <c r="C289" s="419" t="inlineStr">
        <is>
          <t>Billing</t>
        </is>
      </c>
      <c r="D289" s="419" t="inlineStr">
        <is>
          <t>No charge for internal failed retries</t>
        </is>
      </c>
      <c r="E289" s="419" t="inlineStr">
        <is>
          <t>Customer pays intended task budget, not repeated agent mistakes within policy.</t>
        </is>
      </c>
      <c r="F289" s="419" t="inlineStr">
        <is>
          <t>P0</t>
        </is>
      </c>
      <c r="G289" s="419" t="n"/>
      <c r="H289" s="419" t="inlineStr">
        <is>
          <t>Not Started</t>
        </is>
      </c>
      <c r="I289" s="420" t="n">
        <v>0</v>
      </c>
      <c r="J289" s="419" t="n"/>
      <c r="K289" s="419" t="n"/>
      <c r="L289" s="419" t="n"/>
      <c r="M289" s="419" t="n"/>
    </row>
    <row r="290">
      <c r="A290" s="419" t="inlineStr">
        <is>
          <t>R-048</t>
        </is>
      </c>
      <c r="B290" s="419" t="inlineStr">
        <is>
          <t>MVP</t>
        </is>
      </c>
      <c r="C290" s="419" t="inlineStr">
        <is>
          <t>Deployment</t>
        </is>
      </c>
      <c r="D290" s="419" t="inlineStr">
        <is>
          <t>Web/backend deployment</t>
        </is>
      </c>
      <c r="E290" s="419" t="inlineStr">
        <is>
          <t>Immutable versioned deployments with health checks and rollback.</t>
        </is>
      </c>
      <c r="F290" s="419" t="inlineStr">
        <is>
          <t>P0</t>
        </is>
      </c>
      <c r="G290" s="419" t="n"/>
      <c r="H290" s="419" t="inlineStr">
        <is>
          <t>Not Started</t>
        </is>
      </c>
      <c r="I290" s="420" t="n">
        <v>0</v>
      </c>
      <c r="J290" s="419" t="n"/>
      <c r="K290" s="419" t="n"/>
      <c r="L290" s="419" t="n"/>
      <c r="M290" s="419" t="n"/>
    </row>
    <row r="291">
      <c r="A291" s="419" t="inlineStr">
        <is>
          <t>R-049</t>
        </is>
      </c>
      <c r="B291" s="419" t="inlineStr">
        <is>
          <t>MVP</t>
        </is>
      </c>
      <c r="C291" s="419" t="inlineStr">
        <is>
          <t>Deployment</t>
        </is>
      </c>
      <c r="D291" s="419" t="inlineStr">
        <is>
          <t>Android APK/AAB build</t>
        </is>
      </c>
      <c r="E291" s="419" t="inlineStr">
        <is>
          <t>Generate signed artifacts using customer-owned signing configuration.</t>
        </is>
      </c>
      <c r="F291" s="419" t="inlineStr">
        <is>
          <t>P0</t>
        </is>
      </c>
      <c r="G291" s="419" t="n"/>
      <c r="H291" s="419" t="inlineStr">
        <is>
          <t>Not Started</t>
        </is>
      </c>
      <c r="I291" s="420" t="n">
        <v>0</v>
      </c>
      <c r="J291" s="419" t="n"/>
      <c r="K291" s="419" t="n"/>
      <c r="L291" s="419" t="n"/>
      <c r="M291" s="419" t="n"/>
    </row>
    <row r="292">
      <c r="A292" s="419" t="inlineStr">
        <is>
          <t>R-050</t>
        </is>
      </c>
      <c r="B292" s="419" t="inlineStr">
        <is>
          <t>MVP</t>
        </is>
      </c>
      <c r="C292" s="419" t="inlineStr">
        <is>
          <t>Deployment</t>
        </is>
      </c>
      <c r="D292" s="419" t="inlineStr">
        <is>
          <t>iOS IPA build pipeline</t>
        </is>
      </c>
      <c r="E292" s="419" t="inlineStr">
        <is>
          <t>Secure Mac signing worker; certificate/profile stored in vault.</t>
        </is>
      </c>
      <c r="F292" s="419" t="inlineStr">
        <is>
          <t>P0</t>
        </is>
      </c>
      <c r="G292" s="419" t="n"/>
      <c r="H292" s="419" t="inlineStr">
        <is>
          <t>Not Started</t>
        </is>
      </c>
      <c r="I292" s="420" t="n">
        <v>0</v>
      </c>
      <c r="J292" s="419" t="n"/>
      <c r="K292" s="419" t="n"/>
      <c r="L292" s="419" t="n"/>
      <c r="M292" s="419" t="n"/>
    </row>
    <row r="293">
      <c r="A293" s="419" t="inlineStr">
        <is>
          <t>R-051</t>
        </is>
      </c>
      <c r="B293" s="419" t="inlineStr">
        <is>
          <t>MVP</t>
        </is>
      </c>
      <c r="C293" s="419" t="inlineStr">
        <is>
          <t>Analytics</t>
        </is>
      </c>
      <c r="D293" s="419" t="inlineStr">
        <is>
          <t>Core product KPIs</t>
        </is>
      </c>
      <c r="E293" s="419" t="inlineStr">
        <is>
          <t>Track build success, regression, deployment, cost/task and user success.</t>
        </is>
      </c>
      <c r="F293" s="419" t="inlineStr">
        <is>
          <t>P0</t>
        </is>
      </c>
      <c r="G293" s="419" t="n"/>
      <c r="H293" s="419" t="inlineStr">
        <is>
          <t>Not Started</t>
        </is>
      </c>
      <c r="I293" s="420" t="n">
        <v>0</v>
      </c>
      <c r="J293" s="419" t="n"/>
      <c r="K293" s="419" t="n"/>
      <c r="L293" s="419" t="n"/>
      <c r="M293" s="419" t="n"/>
    </row>
    <row r="294">
      <c r="A294" s="419" t="inlineStr">
        <is>
          <t>R-052</t>
        </is>
      </c>
      <c r="B294" s="419" t="inlineStr">
        <is>
          <t>MID</t>
        </is>
      </c>
      <c r="C294" s="419" t="inlineStr">
        <is>
          <t>Preview</t>
        </is>
      </c>
      <c r="D294" s="419" t="inlineStr">
        <is>
          <t>Interactive Android emulator streaming</t>
        </is>
      </c>
      <c r="E294" s="419" t="inlineStr">
        <is>
          <t>Real Android runtime streamed into browser.</t>
        </is>
      </c>
      <c r="F294" s="419" t="inlineStr">
        <is>
          <t>P1</t>
        </is>
      </c>
      <c r="G294" s="419" t="n"/>
      <c r="H294" s="419" t="inlineStr">
        <is>
          <t>Not Started</t>
        </is>
      </c>
      <c r="I294" s="420" t="n">
        <v>0</v>
      </c>
      <c r="J294" s="419" t="n"/>
      <c r="K294" s="419" t="n"/>
      <c r="L294" s="419" t="n"/>
      <c r="M294" s="419" t="n"/>
    </row>
    <row r="295">
      <c r="A295" s="419" t="inlineStr">
        <is>
          <t>R-053</t>
        </is>
      </c>
      <c r="B295" s="419" t="inlineStr">
        <is>
          <t>MID</t>
        </is>
      </c>
      <c r="C295" s="419" t="inlineStr">
        <is>
          <t>Preview</t>
        </is>
      </c>
      <c r="D295" s="419" t="inlineStr">
        <is>
          <t>Interactive iOS simulator streaming</t>
        </is>
      </c>
      <c r="E295" s="419" t="inlineStr">
        <is>
          <t>Remote Mac+iOS Simulator streamed through browser; metered credits.</t>
        </is>
      </c>
      <c r="F295" s="419" t="inlineStr">
        <is>
          <t>P1</t>
        </is>
      </c>
      <c r="G295" s="419" t="n"/>
      <c r="H295" s="419" t="inlineStr">
        <is>
          <t>Not Started</t>
        </is>
      </c>
      <c r="I295" s="420" t="n">
        <v>0</v>
      </c>
      <c r="J295" s="419" t="n"/>
      <c r="K295" s="419" t="n"/>
      <c r="L295" s="419" t="n"/>
      <c r="M295" s="419" t="n"/>
    </row>
    <row r="296">
      <c r="A296" s="419" t="inlineStr">
        <is>
          <t>R-054</t>
        </is>
      </c>
      <c r="B296" s="419" t="inlineStr">
        <is>
          <t>MID</t>
        </is>
      </c>
      <c r="C296" s="419" t="inlineStr">
        <is>
          <t>iOS</t>
        </is>
      </c>
      <c r="D296" s="419" t="inlineStr">
        <is>
          <t>Local Mac Agent</t>
        </is>
      </c>
      <c r="E296" s="419" t="inlineStr">
        <is>
          <t>Opt-in desktop helper uses customer Mac/Xcode instead of cloud Mac.</t>
        </is>
      </c>
      <c r="F296" s="419" t="inlineStr">
        <is>
          <t>P1</t>
        </is>
      </c>
      <c r="G296" s="419" t="n"/>
      <c r="H296" s="419" t="inlineStr">
        <is>
          <t>Not Started</t>
        </is>
      </c>
      <c r="I296" s="420" t="n">
        <v>0</v>
      </c>
      <c r="J296" s="419" t="n"/>
      <c r="K296" s="419" t="n"/>
      <c r="L296" s="419" t="n"/>
      <c r="M296" s="419" t="n"/>
    </row>
    <row r="297">
      <c r="A297" s="419" t="inlineStr">
        <is>
          <t>R-055</t>
        </is>
      </c>
      <c r="B297" s="419" t="inlineStr">
        <is>
          <t>MID</t>
        </is>
      </c>
      <c r="C297" s="419" t="inlineStr">
        <is>
          <t>Integrations</t>
        </is>
      </c>
      <c r="D297" s="419" t="inlineStr">
        <is>
          <t>Verified integration catalog</t>
        </is>
      </c>
      <c r="E297" s="419" t="inlineStr">
        <is>
          <t>Tested templates for payments, maps, auth, messaging, analytics and storage.</t>
        </is>
      </c>
      <c r="F297" s="419" t="inlineStr">
        <is>
          <t>P1</t>
        </is>
      </c>
      <c r="G297" s="419" t="n"/>
      <c r="H297" s="419" t="inlineStr">
        <is>
          <t>Not Started</t>
        </is>
      </c>
      <c r="I297" s="420" t="n">
        <v>0</v>
      </c>
      <c r="J297" s="419" t="n"/>
      <c r="K297" s="419" t="n"/>
      <c r="L297" s="419" t="n"/>
      <c r="M297" s="419" t="n"/>
    </row>
    <row r="298">
      <c r="A298" s="419" t="inlineStr">
        <is>
          <t>R-056</t>
        </is>
      </c>
      <c r="B298" s="419" t="inlineStr">
        <is>
          <t>MID</t>
        </is>
      </c>
      <c r="C298" s="419" t="inlineStr">
        <is>
          <t>Integrations</t>
        </is>
      </c>
      <c r="D298" s="419" t="inlineStr">
        <is>
          <t>Integration health tests</t>
        </is>
      </c>
      <c r="E298" s="419" t="inlineStr">
        <is>
          <t>Credentials/scopes/webhooks verified automatically.</t>
        </is>
      </c>
      <c r="F298" s="419" t="inlineStr">
        <is>
          <t>P1</t>
        </is>
      </c>
      <c r="G298" s="419" t="n"/>
      <c r="H298" s="419" t="inlineStr">
        <is>
          <t>Not Started</t>
        </is>
      </c>
      <c r="I298" s="420" t="n">
        <v>0</v>
      </c>
      <c r="J298" s="419" t="n"/>
      <c r="K298" s="419" t="n"/>
      <c r="L298" s="419" t="n"/>
      <c r="M298" s="419" t="n"/>
    </row>
    <row r="299">
      <c r="A299" s="419" t="inlineStr">
        <is>
          <t>R-057</t>
        </is>
      </c>
      <c r="B299" s="419" t="inlineStr">
        <is>
          <t>MID</t>
        </is>
      </c>
      <c r="C299" s="419" t="inlineStr">
        <is>
          <t>Context</t>
        </is>
      </c>
      <c r="D299" s="419" t="inlineStr">
        <is>
          <t>Long-project memory compaction</t>
        </is>
      </c>
      <c r="E299" s="419" t="inlineStr">
        <is>
          <t>Summaries + graph + ADRs replace dependence on raw chat history.</t>
        </is>
      </c>
      <c r="F299" s="419" t="inlineStr">
        <is>
          <t>P1</t>
        </is>
      </c>
      <c r="G299" s="419" t="n"/>
      <c r="H299" s="419" t="inlineStr">
        <is>
          <t>Not Started</t>
        </is>
      </c>
      <c r="I299" s="420" t="n">
        <v>0</v>
      </c>
      <c r="J299" s="419" t="n"/>
      <c r="K299" s="419" t="n"/>
      <c r="L299" s="419" t="n"/>
      <c r="M299" s="419" t="n"/>
    </row>
    <row r="300">
      <c r="A300" s="419" t="inlineStr">
        <is>
          <t>R-058</t>
        </is>
      </c>
      <c r="B300" s="419" t="inlineStr">
        <is>
          <t>MID</t>
        </is>
      </c>
      <c r="C300" s="419" t="inlineStr">
        <is>
          <t>Code Editing</t>
        </is>
      </c>
      <c r="D300" s="419" t="inlineStr">
        <is>
          <t>Language-specific structured editors</t>
        </is>
      </c>
      <c r="E300" s="419" t="inlineStr">
        <is>
          <t>SwiftSyntax, Kotlin PSI/tree-sitter, TS compiler APIs, Python LibCST, Go AST.</t>
        </is>
      </c>
      <c r="F300" s="419" t="inlineStr">
        <is>
          <t>P1</t>
        </is>
      </c>
      <c r="G300" s="419" t="n"/>
      <c r="H300" s="419" t="inlineStr">
        <is>
          <t>Not Started</t>
        </is>
      </c>
      <c r="I300" s="420" t="n">
        <v>0</v>
      </c>
      <c r="J300" s="419" t="n"/>
      <c r="K300" s="419" t="n"/>
      <c r="L300" s="419" t="n"/>
      <c r="M300" s="419" t="n"/>
    </row>
    <row r="301">
      <c r="A301" s="419" t="inlineStr">
        <is>
          <t>R-059</t>
        </is>
      </c>
      <c r="B301" s="419" t="inlineStr">
        <is>
          <t>MID</t>
        </is>
      </c>
      <c r="C301" s="419" t="inlineStr">
        <is>
          <t>Quality</t>
        </is>
      </c>
      <c r="D301" s="419" t="inlineStr">
        <is>
          <t>Visual regression</t>
        </is>
      </c>
      <c r="E301" s="419" t="inlineStr">
        <is>
          <t>Screenshot comparison with approved baselines.</t>
        </is>
      </c>
      <c r="F301" s="419" t="inlineStr">
        <is>
          <t>P1</t>
        </is>
      </c>
      <c r="G301" s="419" t="n"/>
      <c r="H301" s="419" t="inlineStr">
        <is>
          <t>Not Started</t>
        </is>
      </c>
      <c r="I301" s="420" t="n">
        <v>0</v>
      </c>
      <c r="J301" s="419" t="n"/>
      <c r="K301" s="419" t="n"/>
      <c r="L301" s="419" t="n"/>
      <c r="M301" s="419" t="n"/>
    </row>
    <row r="302">
      <c r="A302" s="419" t="inlineStr">
        <is>
          <t>R-060</t>
        </is>
      </c>
      <c r="B302" s="419" t="inlineStr">
        <is>
          <t>MID</t>
        </is>
      </c>
      <c r="C302" s="419" t="inlineStr">
        <is>
          <t>Quality</t>
        </is>
      </c>
      <c r="D302" s="419" t="inlineStr">
        <is>
          <t>Performance budgets</t>
        </is>
      </c>
      <c r="E302" s="419" t="inlineStr">
        <is>
          <t>Build size, API latency, query, memory and frontend performance gates.</t>
        </is>
      </c>
      <c r="F302" s="419" t="inlineStr">
        <is>
          <t>P1</t>
        </is>
      </c>
      <c r="G302" s="419" t="n"/>
      <c r="H302" s="419" t="inlineStr">
        <is>
          <t>Not Started</t>
        </is>
      </c>
      <c r="I302" s="420" t="n">
        <v>0</v>
      </c>
      <c r="J302" s="419" t="n"/>
      <c r="K302" s="419" t="n"/>
      <c r="L302" s="419" t="n"/>
      <c r="M302" s="419" t="n"/>
    </row>
    <row r="303">
      <c r="A303" s="419" t="inlineStr">
        <is>
          <t>R-061</t>
        </is>
      </c>
      <c r="B303" s="419" t="inlineStr">
        <is>
          <t>MID</t>
        </is>
      </c>
      <c r="C303" s="419" t="inlineStr">
        <is>
          <t>Deployment</t>
        </is>
      </c>
      <c r="D303" s="419" t="inlineStr">
        <is>
          <t>Environment parity</t>
        </is>
      </c>
      <c r="E303" s="419" t="inlineStr">
        <is>
          <t>Preview/staging/production share same container and config contract.</t>
        </is>
      </c>
      <c r="F303" s="419" t="inlineStr">
        <is>
          <t>P1</t>
        </is>
      </c>
      <c r="G303" s="419" t="n"/>
      <c r="H303" s="419" t="inlineStr">
        <is>
          <t>Not Started</t>
        </is>
      </c>
      <c r="I303" s="420" t="n">
        <v>0</v>
      </c>
      <c r="J303" s="419" t="n"/>
      <c r="K303" s="419" t="n"/>
      <c r="L303" s="419" t="n"/>
      <c r="M303" s="419" t="n"/>
    </row>
    <row r="304">
      <c r="A304" s="419" t="inlineStr">
        <is>
          <t>R-062</t>
        </is>
      </c>
      <c r="B304" s="419" t="inlineStr">
        <is>
          <t>MID</t>
        </is>
      </c>
      <c r="C304" s="419" t="inlineStr">
        <is>
          <t>Deployment</t>
        </is>
      </c>
      <c r="D304" s="419" t="inlineStr">
        <is>
          <t>App Store / TestFlight automation</t>
        </is>
      </c>
      <c r="E304" s="419" t="inlineStr">
        <is>
          <t>Prepare/upload builds with explicit user approval.</t>
        </is>
      </c>
      <c r="F304" s="419" t="inlineStr">
        <is>
          <t>P1</t>
        </is>
      </c>
      <c r="G304" s="419" t="n"/>
      <c r="H304" s="419" t="inlineStr">
        <is>
          <t>Not Started</t>
        </is>
      </c>
      <c r="I304" s="420" t="n">
        <v>0</v>
      </c>
      <c r="J304" s="419" t="n"/>
      <c r="K304" s="419" t="n"/>
      <c r="L304" s="419" t="n"/>
      <c r="M304" s="419" t="n"/>
    </row>
    <row r="305">
      <c r="A305" s="419" t="inlineStr">
        <is>
          <t>R-063</t>
        </is>
      </c>
      <c r="B305" s="419" t="inlineStr">
        <is>
          <t>MID</t>
        </is>
      </c>
      <c r="C305" s="419" t="inlineStr">
        <is>
          <t>Deployment</t>
        </is>
      </c>
      <c r="D305" s="419" t="inlineStr">
        <is>
          <t>Play Store automation</t>
        </is>
      </c>
      <c r="E305" s="419" t="inlineStr">
        <is>
          <t>Prepare/upload AAB with explicit user approval.</t>
        </is>
      </c>
      <c r="F305" s="419" t="inlineStr">
        <is>
          <t>P1</t>
        </is>
      </c>
      <c r="G305" s="419" t="n"/>
      <c r="H305" s="419" t="inlineStr">
        <is>
          <t>Not Started</t>
        </is>
      </c>
      <c r="I305" s="420" t="n">
        <v>0</v>
      </c>
      <c r="J305" s="419" t="n"/>
      <c r="K305" s="419" t="n"/>
      <c r="L305" s="419" t="n"/>
      <c r="M305" s="419" t="n"/>
    </row>
    <row r="306">
      <c r="A306" s="419" t="inlineStr">
        <is>
          <t>R-064</t>
        </is>
      </c>
      <c r="B306" s="419" t="inlineStr">
        <is>
          <t>MID</t>
        </is>
      </c>
      <c r="C306" s="419" t="inlineStr">
        <is>
          <t>Collaboration</t>
        </is>
      </c>
      <c r="D306" s="419" t="inlineStr">
        <is>
          <t>RBAC + approvals</t>
        </is>
      </c>
      <c r="E306" s="419" t="inlineStr">
        <is>
          <t>Owners can require code/security/deploy approvals.</t>
        </is>
      </c>
      <c r="F306" s="419" t="inlineStr">
        <is>
          <t>P1</t>
        </is>
      </c>
      <c r="G306" s="419" t="n"/>
      <c r="H306" s="419" t="inlineStr">
        <is>
          <t>Not Started</t>
        </is>
      </c>
      <c r="I306" s="420" t="n">
        <v>0</v>
      </c>
      <c r="J306" s="419" t="n"/>
      <c r="K306" s="419" t="n"/>
      <c r="L306" s="419" t="n"/>
      <c r="M306" s="419" t="n"/>
    </row>
    <row r="307">
      <c r="A307" s="419" t="inlineStr">
        <is>
          <t>R-065</t>
        </is>
      </c>
      <c r="B307" s="419" t="inlineStr">
        <is>
          <t>MID</t>
        </is>
      </c>
      <c r="C307" s="419" t="inlineStr">
        <is>
          <t>Collaboration</t>
        </is>
      </c>
      <c r="D307" s="419" t="inlineStr">
        <is>
          <t>Comments/review workflow</t>
        </is>
      </c>
      <c r="E307" s="419" t="inlineStr">
        <is>
          <t>Human review on AI plan and diff.</t>
        </is>
      </c>
      <c r="F307" s="419" t="inlineStr">
        <is>
          <t>P1</t>
        </is>
      </c>
      <c r="G307" s="419" t="n"/>
      <c r="H307" s="419" t="inlineStr">
        <is>
          <t>Not Started</t>
        </is>
      </c>
      <c r="I307" s="420" t="n">
        <v>0</v>
      </c>
      <c r="J307" s="419" t="n"/>
      <c r="K307" s="419" t="n"/>
      <c r="L307" s="419" t="n"/>
      <c r="M307" s="419" t="n"/>
    </row>
    <row r="308">
      <c r="A308" s="419" t="inlineStr">
        <is>
          <t>R-066</t>
        </is>
      </c>
      <c r="B308" s="419" t="inlineStr">
        <is>
          <t>MID</t>
        </is>
      </c>
      <c r="C308" s="419" t="inlineStr">
        <is>
          <t>Billing</t>
        </is>
      </c>
      <c r="D308" s="419" t="inlineStr">
        <is>
          <t>BYOK</t>
        </is>
      </c>
      <c r="E308" s="419" t="inlineStr">
        <is>
          <t>Customer can use approved provider API keys with clear cost ownership.</t>
        </is>
      </c>
      <c r="F308" s="419" t="inlineStr">
        <is>
          <t>P1</t>
        </is>
      </c>
      <c r="G308" s="419" t="n"/>
      <c r="H308" s="419" t="inlineStr">
        <is>
          <t>Not Started</t>
        </is>
      </c>
      <c r="I308" s="420" t="n">
        <v>0</v>
      </c>
      <c r="J308" s="419" t="n"/>
      <c r="K308" s="419" t="n"/>
      <c r="L308" s="419" t="n"/>
      <c r="M308" s="419" t="n"/>
    </row>
    <row r="309">
      <c r="A309" s="419" t="inlineStr">
        <is>
          <t>R-067</t>
        </is>
      </c>
      <c r="B309" s="419" t="inlineStr">
        <is>
          <t>MID</t>
        </is>
      </c>
      <c r="C309" s="419" t="inlineStr">
        <is>
          <t>Recovery</t>
        </is>
      </c>
      <c r="D309" s="419" t="inlineStr">
        <is>
          <t>Auto-recovery agent</t>
        </is>
      </c>
      <c r="E309" s="419" t="inlineStr">
        <is>
          <t>Diagnose failed build/test and retry within strict bounded policy.</t>
        </is>
      </c>
      <c r="F309" s="419" t="inlineStr">
        <is>
          <t>P1</t>
        </is>
      </c>
      <c r="G309" s="419" t="n"/>
      <c r="H309" s="419" t="inlineStr">
        <is>
          <t>Not Started</t>
        </is>
      </c>
      <c r="I309" s="420" t="n">
        <v>0</v>
      </c>
      <c r="J309" s="419" t="n"/>
      <c r="K309" s="419" t="n"/>
      <c r="L309" s="419" t="n"/>
      <c r="M309" s="419" t="n"/>
    </row>
    <row r="310">
      <c r="A310" s="419" t="inlineStr">
        <is>
          <t>R-068</t>
        </is>
      </c>
      <c r="B310" s="419" t="inlineStr">
        <is>
          <t>MID</t>
        </is>
      </c>
      <c r="C310" s="419" t="inlineStr">
        <is>
          <t>Analytics</t>
        </is>
      </c>
      <c r="D310" s="419" t="inlineStr">
        <is>
          <t>Project health score</t>
        </is>
      </c>
      <c r="E310" s="419" t="inlineStr">
        <is>
          <t>Derived from measurable checks, with drill-down evidence.</t>
        </is>
      </c>
      <c r="F310" s="419" t="inlineStr">
        <is>
          <t>P1</t>
        </is>
      </c>
      <c r="G310" s="419" t="n"/>
      <c r="H310" s="419" t="inlineStr">
        <is>
          <t>Not Started</t>
        </is>
      </c>
      <c r="I310" s="420" t="n">
        <v>0</v>
      </c>
      <c r="J310" s="419" t="n"/>
      <c r="K310" s="419" t="n"/>
      <c r="L310" s="419" t="n"/>
      <c r="M310" s="419" t="n"/>
    </row>
    <row r="311">
      <c r="A311" s="419" t="inlineStr">
        <is>
          <t>R-069</t>
        </is>
      </c>
      <c r="B311" s="419" t="inlineStr">
        <is>
          <t>MID</t>
        </is>
      </c>
      <c r="C311" s="419" t="inlineStr">
        <is>
          <t>Security</t>
        </is>
      </c>
      <c r="D311" s="419" t="inlineStr">
        <is>
          <t>DAST</t>
        </is>
      </c>
      <c r="E311" s="419" t="inlineStr">
        <is>
          <t>Run dynamic scans against staging/preview.</t>
        </is>
      </c>
      <c r="F311" s="419" t="inlineStr">
        <is>
          <t>P1</t>
        </is>
      </c>
      <c r="G311" s="419" t="n"/>
      <c r="H311" s="419" t="inlineStr">
        <is>
          <t>Not Started</t>
        </is>
      </c>
      <c r="I311" s="420" t="n">
        <v>0</v>
      </c>
      <c r="J311" s="419" t="n"/>
      <c r="K311" s="419" t="n"/>
      <c r="L311" s="419" t="n"/>
      <c r="M311" s="419" t="n"/>
    </row>
    <row r="312">
      <c r="A312" s="419" t="inlineStr">
        <is>
          <t>R-070</t>
        </is>
      </c>
      <c r="B312" s="419" t="inlineStr">
        <is>
          <t>MID</t>
        </is>
      </c>
      <c r="C312" s="419" t="inlineStr">
        <is>
          <t>Security</t>
        </is>
      </c>
      <c r="D312" s="419" t="inlineStr">
        <is>
          <t>SBOM + license policy</t>
        </is>
      </c>
      <c r="E312" s="419" t="inlineStr">
        <is>
          <t>Software bill of materials and restricted-license checks.</t>
        </is>
      </c>
      <c r="F312" s="419" t="inlineStr">
        <is>
          <t>P1</t>
        </is>
      </c>
      <c r="G312" s="419" t="n"/>
      <c r="H312" s="419" t="inlineStr">
        <is>
          <t>Not Started</t>
        </is>
      </c>
      <c r="I312" s="420" t="n">
        <v>0</v>
      </c>
      <c r="J312" s="419" t="n"/>
      <c r="K312" s="419" t="n"/>
      <c r="L312" s="419" t="n"/>
      <c r="M312" s="419" t="n"/>
    </row>
    <row r="313">
      <c r="A313" s="419" t="inlineStr">
        <is>
          <t>R-071</t>
        </is>
      </c>
      <c r="B313" s="419" t="inlineStr">
        <is>
          <t>MID</t>
        </is>
      </c>
      <c r="C313" s="419" t="inlineStr">
        <is>
          <t>Security</t>
        </is>
      </c>
      <c r="D313" s="419" t="inlineStr">
        <is>
          <t>Egress policy</t>
        </is>
      </c>
      <c r="E313" s="419" t="inlineStr">
        <is>
          <t>Sandbox network allowlist/denylist and per-integration scopes.</t>
        </is>
      </c>
      <c r="F313" s="419" t="inlineStr">
        <is>
          <t>P1</t>
        </is>
      </c>
      <c r="G313" s="419" t="n"/>
      <c r="H313" s="419" t="inlineStr">
        <is>
          <t>Not Started</t>
        </is>
      </c>
      <c r="I313" s="420" t="n">
        <v>0</v>
      </c>
      <c r="J313" s="419" t="n"/>
      <c r="K313" s="419" t="n"/>
      <c r="L313" s="419" t="n"/>
      <c r="M313" s="419" t="n"/>
    </row>
    <row r="314">
      <c r="A314" s="419" t="inlineStr">
        <is>
          <t>R-072</t>
        </is>
      </c>
      <c r="B314" s="419" t="inlineStr">
        <is>
          <t>MID</t>
        </is>
      </c>
      <c r="C314" s="419" t="inlineStr">
        <is>
          <t>Reliability</t>
        </is>
      </c>
      <c r="D314" s="419" t="inlineStr">
        <is>
          <t>Build artifact caching</t>
        </is>
      </c>
      <c r="E314" s="419" t="inlineStr">
        <is>
          <t>Cache dependencies and unchanged build outputs.</t>
        </is>
      </c>
      <c r="F314" s="419" t="inlineStr">
        <is>
          <t>P1</t>
        </is>
      </c>
      <c r="G314" s="419" t="n"/>
      <c r="H314" s="419" t="inlineStr">
        <is>
          <t>Not Started</t>
        </is>
      </c>
      <c r="I314" s="420" t="n">
        <v>0</v>
      </c>
      <c r="J314" s="419" t="n"/>
      <c r="K314" s="419" t="n"/>
      <c r="L314" s="419" t="n"/>
      <c r="M314" s="419" t="n"/>
    </row>
    <row r="315">
      <c r="A315" s="419" t="inlineStr">
        <is>
          <t>R-073</t>
        </is>
      </c>
      <c r="B315" s="419" t="inlineStr">
        <is>
          <t>MID</t>
        </is>
      </c>
      <c r="C315" s="419" t="inlineStr">
        <is>
          <t>Reliability</t>
        </is>
      </c>
      <c r="D315" s="419" t="inlineStr">
        <is>
          <t>Incremental test selection</t>
        </is>
      </c>
      <c r="E315" s="419" t="inlineStr">
        <is>
          <t>Impact graph selects relevant tests, while periodic full regression remains mandatory.</t>
        </is>
      </c>
      <c r="F315" s="419" t="inlineStr">
        <is>
          <t>P1</t>
        </is>
      </c>
      <c r="G315" s="419" t="n"/>
      <c r="H315" s="419" t="inlineStr">
        <is>
          <t>Not Started</t>
        </is>
      </c>
      <c r="I315" s="420" t="n">
        <v>0</v>
      </c>
      <c r="J315" s="419" t="n"/>
      <c r="K315" s="419" t="n"/>
      <c r="L315" s="419" t="n"/>
      <c r="M315" s="419" t="n"/>
    </row>
    <row r="316">
      <c r="A316" s="419" t="inlineStr">
        <is>
          <t>R-074</t>
        </is>
      </c>
      <c r="B316" s="419" t="inlineStr">
        <is>
          <t>MID</t>
        </is>
      </c>
      <c r="C316" s="419" t="inlineStr">
        <is>
          <t>Multi-stack</t>
        </is>
      </c>
      <c r="D316" s="419" t="inlineStr">
        <is>
          <t>Backend stack profiles</t>
        </is>
      </c>
      <c r="E316" s="419" t="inlineStr">
        <is>
          <t>Offer Go, Python/FastAPI and optional Node/NestJS project templates.</t>
        </is>
      </c>
      <c r="F316" s="419" t="inlineStr">
        <is>
          <t>P1</t>
        </is>
      </c>
      <c r="G316" s="419" t="n"/>
      <c r="H316" s="419" t="inlineStr">
        <is>
          <t>Not Started</t>
        </is>
      </c>
      <c r="I316" s="420" t="n">
        <v>0</v>
      </c>
      <c r="J316" s="419" t="n"/>
      <c r="K316" s="419" t="n"/>
      <c r="L316" s="419" t="n"/>
      <c r="M316" s="419" t="n"/>
    </row>
    <row r="317">
      <c r="A317" s="419" t="inlineStr">
        <is>
          <t>R-075</t>
        </is>
      </c>
      <c r="B317" s="419" t="inlineStr">
        <is>
          <t>MID</t>
        </is>
      </c>
      <c r="C317" s="419" t="inlineStr">
        <is>
          <t>Data</t>
        </is>
      </c>
      <c r="D317" s="419" t="inlineStr">
        <is>
          <t>Database profiles</t>
        </is>
      </c>
      <c r="E317" s="419" t="inlineStr">
        <is>
          <t>PostgreSQL default; optional MySQL, MongoDB, Supabase/Firebase connectors.</t>
        </is>
      </c>
      <c r="F317" s="419" t="inlineStr">
        <is>
          <t>P1</t>
        </is>
      </c>
      <c r="G317" s="419" t="n"/>
      <c r="H317" s="419" t="inlineStr">
        <is>
          <t>Not Started</t>
        </is>
      </c>
      <c r="I317" s="420" t="n">
        <v>0</v>
      </c>
      <c r="J317" s="419" t="n"/>
      <c r="K317" s="419" t="n"/>
      <c r="L317" s="419" t="n"/>
      <c r="M317" s="419" t="n"/>
    </row>
    <row r="318">
      <c r="A318" s="419" t="inlineStr">
        <is>
          <t>R-076</t>
        </is>
      </c>
      <c r="B318" s="419" t="inlineStr">
        <is>
          <t>MID</t>
        </is>
      </c>
      <c r="C318" s="419" t="inlineStr">
        <is>
          <t>Developer UX</t>
        </is>
      </c>
      <c r="D318" s="419" t="inlineStr">
        <is>
          <t>Existing repo import</t>
        </is>
      </c>
      <c r="E318" s="419" t="inlineStr">
        <is>
          <t>Understand and modify non-generated projects safely.</t>
        </is>
      </c>
      <c r="F318" s="419" t="inlineStr">
        <is>
          <t>P1</t>
        </is>
      </c>
      <c r="G318" s="419" t="n"/>
      <c r="H318" s="419" t="inlineStr">
        <is>
          <t>Not Started</t>
        </is>
      </c>
      <c r="I318" s="420" t="n">
        <v>0</v>
      </c>
      <c r="J318" s="419" t="n"/>
      <c r="K318" s="419" t="n"/>
      <c r="L318" s="419" t="n"/>
      <c r="M318" s="419" t="n"/>
    </row>
    <row r="319">
      <c r="A319" s="419" t="inlineStr">
        <is>
          <t>R-077</t>
        </is>
      </c>
      <c r="B319" s="419" t="inlineStr">
        <is>
          <t>MVP</t>
        </is>
      </c>
      <c r="C319" s="419" t="inlineStr">
        <is>
          <t>Mobile</t>
        </is>
      </c>
      <c r="D319" s="419" t="inlineStr">
        <is>
          <t>Flutter target (GA baseline)</t>
        </is>
      </c>
      <c r="E319" s="419" t="inlineStr">
        <is>
          <t>Generate one Dart codebase for Android/iOS; optional Flutter Web only when project profile fits.</t>
        </is>
      </c>
      <c r="F319" s="419" t="inlineStr">
        <is>
          <t>P0</t>
        </is>
      </c>
      <c r="G319" s="419" t="n"/>
      <c r="H319" s="419" t="inlineStr">
        <is>
          <t>Not Started</t>
        </is>
      </c>
      <c r="I319" s="420" t="n">
        <v>0</v>
      </c>
      <c r="J319" s="419" t="n"/>
      <c r="K319" s="419" t="n"/>
      <c r="L319" s="419" t="n"/>
      <c r="M319" s="419" t="n"/>
    </row>
    <row r="320">
      <c r="A320" s="419" t="inlineStr">
        <is>
          <t>R-078</t>
        </is>
      </c>
      <c r="B320" s="419" t="inlineStr">
        <is>
          <t>MVP</t>
        </is>
      </c>
      <c r="C320" s="419" t="inlineStr">
        <is>
          <t>Mobile</t>
        </is>
      </c>
      <c r="D320" s="419" t="inlineStr">
        <is>
          <t>React Native target (GA/beta by team capacity)</t>
        </is>
      </c>
      <c r="E320" s="419" t="inlineStr">
        <is>
          <t>Generate one TypeScript/React Native codebase for Android/iOS; Expo optional; share TS logic/components with web where safe.</t>
        </is>
      </c>
      <c r="F320" s="419" t="inlineStr">
        <is>
          <t>P1</t>
        </is>
      </c>
      <c r="G320" s="419" t="n"/>
      <c r="H320" s="419" t="inlineStr">
        <is>
          <t>Not Started</t>
        </is>
      </c>
      <c r="I320" s="420" t="n">
        <v>0</v>
      </c>
      <c r="J320" s="419" t="n"/>
      <c r="K320" s="419" t="n"/>
      <c r="L320" s="419" t="n"/>
      <c r="M320" s="419" t="n"/>
    </row>
    <row r="321">
      <c r="A321" s="419" t="inlineStr">
        <is>
          <t>R-079</t>
        </is>
      </c>
      <c r="B321" s="419" t="inlineStr">
        <is>
          <t>ADVANCED</t>
        </is>
      </c>
      <c r="C321" s="419" t="inlineStr">
        <is>
          <t>Models</t>
        </is>
      </c>
      <c r="D321" s="419" t="inlineStr">
        <is>
          <t>Model benchmark service</t>
        </is>
      </c>
      <c r="E321" s="419" t="inlineStr">
        <is>
          <t>Continuously score models on internal coding/repair/security tasks.</t>
        </is>
      </c>
      <c r="F321" s="419" t="inlineStr">
        <is>
          <t>P2</t>
        </is>
      </c>
      <c r="G321" s="419" t="n"/>
      <c r="H321" s="419" t="inlineStr">
        <is>
          <t>Not Started</t>
        </is>
      </c>
      <c r="I321" s="420" t="n">
        <v>0</v>
      </c>
      <c r="J321" s="419" t="n"/>
      <c r="K321" s="419" t="n"/>
      <c r="L321" s="419" t="n"/>
      <c r="M321" s="419" t="n"/>
    </row>
    <row r="322">
      <c r="A322" s="419" t="inlineStr">
        <is>
          <t>R-080</t>
        </is>
      </c>
      <c r="B322" s="419" t="inlineStr">
        <is>
          <t>ADVANCED</t>
        </is>
      </c>
      <c r="C322" s="419" t="inlineStr">
        <is>
          <t>Models</t>
        </is>
      </c>
      <c r="D322" s="419" t="inlineStr">
        <is>
          <t>Self-hosted/local models</t>
        </is>
      </c>
      <c r="E322" s="419" t="inlineStr">
        <is>
          <t>Private model endpoints for enterprise or low-cost tasks.</t>
        </is>
      </c>
      <c r="F322" s="419" t="inlineStr">
        <is>
          <t>P2</t>
        </is>
      </c>
      <c r="G322" s="419" t="n"/>
      <c r="H322" s="419" t="inlineStr">
        <is>
          <t>Not Started</t>
        </is>
      </c>
      <c r="I322" s="420" t="n">
        <v>0</v>
      </c>
      <c r="J322" s="419" t="n"/>
      <c r="K322" s="419" t="n"/>
      <c r="L322" s="419" t="n"/>
      <c r="M322" s="419" t="n"/>
    </row>
    <row r="323">
      <c r="A323" s="419" t="inlineStr">
        <is>
          <t>R-081</t>
        </is>
      </c>
      <c r="B323" s="419" t="inlineStr">
        <is>
          <t>ADVANCED</t>
        </is>
      </c>
      <c r="C323" s="419" t="inlineStr">
        <is>
          <t>Agents</t>
        </is>
      </c>
      <c r="D323" s="419" t="inlineStr">
        <is>
          <t>Specialist agent marketplace</t>
        </is>
      </c>
      <c r="E323" s="419" t="inlineStr">
        <is>
          <t>Versioned approved agents with capability and permission manifests.</t>
        </is>
      </c>
      <c r="F323" s="419" t="inlineStr">
        <is>
          <t>P2</t>
        </is>
      </c>
      <c r="G323" s="419" t="n"/>
      <c r="H323" s="419" t="inlineStr">
        <is>
          <t>Not Started</t>
        </is>
      </c>
      <c r="I323" s="420" t="n">
        <v>0</v>
      </c>
      <c r="J323" s="419" t="n"/>
      <c r="K323" s="419" t="n"/>
      <c r="L323" s="419" t="n"/>
      <c r="M323" s="419" t="n"/>
    </row>
    <row r="324">
      <c r="A324" s="419" t="inlineStr">
        <is>
          <t>R-082</t>
        </is>
      </c>
      <c r="B324" s="419" t="inlineStr">
        <is>
          <t>ADVANCED</t>
        </is>
      </c>
      <c r="C324" s="419" t="inlineStr">
        <is>
          <t>Testing</t>
        </is>
      </c>
      <c r="D324" s="419" t="inlineStr">
        <is>
          <t>Physical device cloud</t>
        </is>
      </c>
      <c r="E324" s="419" t="inlineStr">
        <is>
          <t>Run selected flows on real iPhones/Android devices.</t>
        </is>
      </c>
      <c r="F324" s="419" t="inlineStr">
        <is>
          <t>P2</t>
        </is>
      </c>
      <c r="G324" s="419" t="n"/>
      <c r="H324" s="419" t="inlineStr">
        <is>
          <t>Not Started</t>
        </is>
      </c>
      <c r="I324" s="420" t="n">
        <v>0</v>
      </c>
      <c r="J324" s="419" t="n"/>
      <c r="K324" s="419" t="n"/>
      <c r="L324" s="419" t="n"/>
      <c r="M324" s="419" t="n"/>
    </row>
    <row r="325">
      <c r="A325" s="419" t="inlineStr">
        <is>
          <t>R-083</t>
        </is>
      </c>
      <c r="B325" s="419" t="inlineStr">
        <is>
          <t>ADVANCED</t>
        </is>
      </c>
      <c r="C325" s="419" t="inlineStr">
        <is>
          <t>Infrastructure</t>
        </is>
      </c>
      <c r="D325" s="419" t="inlineStr">
        <is>
          <t>MicroVM sandbox</t>
        </is>
      </c>
      <c r="E325" s="419" t="inlineStr">
        <is>
          <t>Firecracker/Kata/gVisor isolation for higher-risk arbitrary code execution.</t>
        </is>
      </c>
      <c r="F325" s="419" t="inlineStr">
        <is>
          <t>P2</t>
        </is>
      </c>
      <c r="G325" s="419" t="n"/>
      <c r="H325" s="419" t="inlineStr">
        <is>
          <t>Not Started</t>
        </is>
      </c>
      <c r="I325" s="420" t="n">
        <v>0</v>
      </c>
      <c r="J325" s="419" t="n"/>
      <c r="K325" s="419" t="n"/>
      <c r="L325" s="419" t="n"/>
      <c r="M325" s="419" t="n"/>
    </row>
    <row r="326">
      <c r="A326" s="419" t="inlineStr">
        <is>
          <t>R-084</t>
        </is>
      </c>
      <c r="B326" s="419" t="inlineStr">
        <is>
          <t>ADVANCED</t>
        </is>
      </c>
      <c r="C326" s="419" t="inlineStr">
        <is>
          <t>Infrastructure</t>
        </is>
      </c>
      <c r="D326" s="419" t="inlineStr">
        <is>
          <t>Multi-region build/control plane</t>
        </is>
      </c>
      <c r="E326" s="419" t="inlineStr">
        <is>
          <t>Regional workload placement and disaster recovery.</t>
        </is>
      </c>
      <c r="F326" s="419" t="inlineStr">
        <is>
          <t>P2</t>
        </is>
      </c>
      <c r="G326" s="419" t="n"/>
      <c r="H326" s="419" t="inlineStr">
        <is>
          <t>Not Started</t>
        </is>
      </c>
      <c r="I326" s="420" t="n">
        <v>0</v>
      </c>
      <c r="J326" s="419" t="n"/>
      <c r="K326" s="419" t="n"/>
      <c r="L326" s="419" t="n"/>
      <c r="M326" s="419" t="n"/>
    </row>
    <row r="327">
      <c r="A327" s="419" t="inlineStr">
        <is>
          <t>R-085</t>
        </is>
      </c>
      <c r="B327" s="419" t="inlineStr">
        <is>
          <t>ADVANCED</t>
        </is>
      </c>
      <c r="C327" s="419" t="inlineStr">
        <is>
          <t>Enterprise</t>
        </is>
      </c>
      <c r="D327" s="419" t="inlineStr">
        <is>
          <t>BYOC</t>
        </is>
      </c>
      <c r="E327" s="419" t="inlineStr">
        <is>
          <t>Deploy sandboxes/build workers into customer cloud/VPC.</t>
        </is>
      </c>
      <c r="F327" s="419" t="inlineStr">
        <is>
          <t>P2</t>
        </is>
      </c>
      <c r="G327" s="419" t="n"/>
      <c r="H327" s="419" t="inlineStr">
        <is>
          <t>Not Started</t>
        </is>
      </c>
      <c r="I327" s="420" t="n">
        <v>0</v>
      </c>
      <c r="J327" s="419" t="n"/>
      <c r="K327" s="419" t="n"/>
      <c r="L327" s="419" t="n"/>
      <c r="M327" s="419" t="n"/>
    </row>
    <row r="328">
      <c r="A328" s="419" t="inlineStr">
        <is>
          <t>R-086</t>
        </is>
      </c>
      <c r="B328" s="419" t="inlineStr">
        <is>
          <t>ADVANCED</t>
        </is>
      </c>
      <c r="C328" s="419" t="inlineStr">
        <is>
          <t>Enterprise</t>
        </is>
      </c>
      <c r="D328" s="419" t="inlineStr">
        <is>
          <t>Data residency controls</t>
        </is>
      </c>
      <c r="E328" s="419" t="inlineStr">
        <is>
          <t>Pin project data/logs/builds to approved regions.</t>
        </is>
      </c>
      <c r="F328" s="419" t="inlineStr">
        <is>
          <t>P2</t>
        </is>
      </c>
      <c r="G328" s="419" t="n"/>
      <c r="H328" s="419" t="inlineStr">
        <is>
          <t>Not Started</t>
        </is>
      </c>
      <c r="I328" s="420" t="n">
        <v>0</v>
      </c>
      <c r="J328" s="419" t="n"/>
      <c r="K328" s="419" t="n"/>
      <c r="L328" s="419" t="n"/>
      <c r="M328" s="419" t="n"/>
    </row>
    <row r="329">
      <c r="A329" s="419" t="inlineStr">
        <is>
          <t>R-087</t>
        </is>
      </c>
      <c r="B329" s="419" t="inlineStr">
        <is>
          <t>ADVANCED</t>
        </is>
      </c>
      <c r="C329" s="419" t="inlineStr">
        <is>
          <t>Enterprise</t>
        </is>
      </c>
      <c r="D329" s="419" t="inlineStr">
        <is>
          <t>Policy-as-code</t>
        </is>
      </c>
      <c r="E329" s="419" t="inlineStr">
        <is>
          <t>Organization rules for models, packages, deployment, approvals and secrets.</t>
        </is>
      </c>
      <c r="F329" s="419" t="inlineStr">
        <is>
          <t>P2</t>
        </is>
      </c>
      <c r="G329" s="419" t="n"/>
      <c r="H329" s="419" t="inlineStr">
        <is>
          <t>Not Started</t>
        </is>
      </c>
      <c r="I329" s="420" t="n">
        <v>0</v>
      </c>
      <c r="J329" s="419" t="n"/>
      <c r="K329" s="419" t="n"/>
      <c r="L329" s="419" t="n"/>
      <c r="M329" s="419" t="n"/>
    </row>
    <row r="330">
      <c r="A330" s="419" t="inlineStr">
        <is>
          <t>R-088</t>
        </is>
      </c>
      <c r="B330" s="419" t="inlineStr">
        <is>
          <t>ADVANCED</t>
        </is>
      </c>
      <c r="C330" s="419" t="inlineStr">
        <is>
          <t>Architecture</t>
        </is>
      </c>
      <c r="D330" s="419" t="inlineStr">
        <is>
          <t>Cross-platform consistency checker</t>
        </is>
      </c>
      <c r="E330" s="419" t="inlineStr">
        <is>
          <t>Ensure feature behavior/API semantics stay aligned across Android/iOS/web.</t>
        </is>
      </c>
      <c r="F330" s="419" t="inlineStr">
        <is>
          <t>P2</t>
        </is>
      </c>
      <c r="G330" s="419" t="n"/>
      <c r="H330" s="419" t="inlineStr">
        <is>
          <t>Not Started</t>
        </is>
      </c>
      <c r="I330" s="420" t="n">
        <v>0</v>
      </c>
      <c r="J330" s="419" t="n"/>
      <c r="K330" s="419" t="n"/>
      <c r="L330" s="419" t="n"/>
      <c r="M330" s="419" t="n"/>
    </row>
    <row r="331">
      <c r="A331" s="419" t="inlineStr">
        <is>
          <t>R-089</t>
        </is>
      </c>
      <c r="B331" s="419" t="inlineStr">
        <is>
          <t>ADVANCED</t>
        </is>
      </c>
      <c r="C331" s="419" t="inlineStr">
        <is>
          <t>Architecture</t>
        </is>
      </c>
      <c r="D331" s="419" t="inlineStr">
        <is>
          <t>Automated refactoring planner</t>
        </is>
      </c>
      <c r="E331" s="419" t="inlineStr">
        <is>
          <t>Detect debt and create safe incremental refactor plans.</t>
        </is>
      </c>
      <c r="F331" s="419" t="inlineStr">
        <is>
          <t>P2</t>
        </is>
      </c>
      <c r="G331" s="419" t="n"/>
      <c r="H331" s="419" t="inlineStr">
        <is>
          <t>Not Started</t>
        </is>
      </c>
      <c r="I331" s="420" t="n">
        <v>0</v>
      </c>
      <c r="J331" s="419" t="n"/>
      <c r="K331" s="419" t="n"/>
      <c r="L331" s="419" t="n"/>
      <c r="M331" s="419" t="n"/>
    </row>
    <row r="332">
      <c r="A332" s="419" t="inlineStr">
        <is>
          <t>R-090</t>
        </is>
      </c>
      <c r="B332" s="419" t="inlineStr">
        <is>
          <t>ADVANCED</t>
        </is>
      </c>
      <c r="C332" s="419" t="inlineStr">
        <is>
          <t>Quality</t>
        </is>
      </c>
      <c r="D332" s="419" t="inlineStr">
        <is>
          <t>Mutation/fuzz testing</t>
        </is>
      </c>
      <c r="E332" s="419" t="inlineStr">
        <is>
          <t>Higher assurance for critical services and parsers.</t>
        </is>
      </c>
      <c r="F332" s="419" t="inlineStr">
        <is>
          <t>P2</t>
        </is>
      </c>
      <c r="G332" s="419" t="n"/>
      <c r="H332" s="419" t="inlineStr">
        <is>
          <t>Not Started</t>
        </is>
      </c>
      <c r="I332" s="420" t="n">
        <v>0</v>
      </c>
      <c r="J332" s="419" t="n"/>
      <c r="K332" s="419" t="n"/>
      <c r="L332" s="419" t="n"/>
      <c r="M332" s="419" t="n"/>
    </row>
    <row r="333">
      <c r="A333" s="419" t="inlineStr">
        <is>
          <t>R-091</t>
        </is>
      </c>
      <c r="B333" s="419" t="inlineStr">
        <is>
          <t>ADVANCED</t>
        </is>
      </c>
      <c r="C333" s="419" t="inlineStr">
        <is>
          <t>Cost</t>
        </is>
      </c>
      <c r="D333" s="419" t="inlineStr">
        <is>
          <t>Predictive capacity scheduler</t>
        </is>
      </c>
      <c r="E333" s="419" t="inlineStr">
        <is>
          <t>Prewarm Mac/Linux workers using demand forecasts.</t>
        </is>
      </c>
      <c r="F333" s="419" t="inlineStr">
        <is>
          <t>P2</t>
        </is>
      </c>
      <c r="G333" s="419" t="n"/>
      <c r="H333" s="419" t="inlineStr">
        <is>
          <t>Not Started</t>
        </is>
      </c>
      <c r="I333" s="420" t="n">
        <v>0</v>
      </c>
      <c r="J333" s="419" t="n"/>
      <c r="K333" s="419" t="n"/>
      <c r="L333" s="419" t="n"/>
      <c r="M333" s="419" t="n"/>
    </row>
    <row r="334">
      <c r="A334" s="419" t="inlineStr">
        <is>
          <t>R-092</t>
        </is>
      </c>
      <c r="B334" s="419" t="inlineStr">
        <is>
          <t>ADVANCED</t>
        </is>
      </c>
      <c r="C334" s="419" t="inlineStr">
        <is>
          <t>Cost</t>
        </is>
      </c>
      <c r="D334" s="419" t="inlineStr">
        <is>
          <t>Spot/preemptible optimization</t>
        </is>
      </c>
      <c r="E334" s="419" t="inlineStr">
        <is>
          <t>Use interruptible compute for safe non-release workloads.</t>
        </is>
      </c>
      <c r="F334" s="419" t="inlineStr">
        <is>
          <t>P2</t>
        </is>
      </c>
      <c r="G334" s="419" t="n"/>
      <c r="H334" s="419" t="inlineStr">
        <is>
          <t>Not Started</t>
        </is>
      </c>
      <c r="I334" s="420" t="n">
        <v>0</v>
      </c>
      <c r="J334" s="419" t="n"/>
      <c r="K334" s="419" t="n"/>
      <c r="L334" s="419" t="n"/>
      <c r="M334" s="419" t="n"/>
    </row>
    <row r="335">
      <c r="A335" s="419" t="inlineStr">
        <is>
          <t>R-093</t>
        </is>
      </c>
      <c r="B335" s="419" t="inlineStr">
        <is>
          <t>ADVANCED</t>
        </is>
      </c>
      <c r="C335" s="419" t="inlineStr">
        <is>
          <t>Analytics</t>
        </is>
      </c>
      <c r="D335" s="419" t="inlineStr">
        <is>
          <t>Quality trend analytics</t>
        </is>
      </c>
      <c r="E335" s="419" t="inlineStr">
        <is>
          <t>Track regression, debt and agent success by model/version/framework.</t>
        </is>
      </c>
      <c r="F335" s="419" t="inlineStr">
        <is>
          <t>P2</t>
        </is>
      </c>
      <c r="G335" s="419" t="n"/>
      <c r="H335" s="419" t="inlineStr">
        <is>
          <t>Not Started</t>
        </is>
      </c>
      <c r="I335" s="420" t="n">
        <v>0</v>
      </c>
      <c r="J335" s="419" t="n"/>
      <c r="K335" s="419" t="n"/>
      <c r="L335" s="419" t="n"/>
      <c r="M335" s="419" t="n"/>
    </row>
    <row r="336">
      <c r="A336" s="419" t="inlineStr">
        <is>
          <t>R-094</t>
        </is>
      </c>
      <c r="B336" s="419" t="inlineStr">
        <is>
          <t>PRODUCTION</t>
        </is>
      </c>
      <c r="C336" s="419" t="inlineStr">
        <is>
          <t>Reliability</t>
        </is>
      </c>
      <c r="D336" s="419" t="inlineStr">
        <is>
          <t>SLO/SLA framework</t>
        </is>
      </c>
      <c r="E336" s="419" t="inlineStr">
        <is>
          <t>Define availability, task success, build latency and recovery objectives.</t>
        </is>
      </c>
      <c r="F336" s="419" t="inlineStr">
        <is>
          <t>P0</t>
        </is>
      </c>
      <c r="G336" s="419" t="n"/>
      <c r="H336" s="419" t="inlineStr">
        <is>
          <t>Not Started</t>
        </is>
      </c>
      <c r="I336" s="420" t="n">
        <v>0</v>
      </c>
      <c r="J336" s="419" t="n"/>
      <c r="K336" s="419" t="n"/>
      <c r="L336" s="419" t="n"/>
      <c r="M336" s="419" t="n"/>
    </row>
    <row r="337">
      <c r="A337" s="419" t="inlineStr">
        <is>
          <t>R-095</t>
        </is>
      </c>
      <c r="B337" s="419" t="inlineStr">
        <is>
          <t>PRODUCTION</t>
        </is>
      </c>
      <c r="C337" s="419" t="inlineStr">
        <is>
          <t>Reliability</t>
        </is>
      </c>
      <c r="D337" s="419" t="inlineStr">
        <is>
          <t>HA control plane</t>
        </is>
      </c>
      <c r="E337" s="419" t="inlineStr">
        <is>
          <t>Remove single points of failure across API, queue, DB and model gateway.</t>
        </is>
      </c>
      <c r="F337" s="419" t="inlineStr">
        <is>
          <t>P0</t>
        </is>
      </c>
      <c r="G337" s="419" t="n"/>
      <c r="H337" s="419" t="inlineStr">
        <is>
          <t>Not Started</t>
        </is>
      </c>
      <c r="I337" s="420" t="n">
        <v>0</v>
      </c>
      <c r="J337" s="419" t="n"/>
      <c r="K337" s="419" t="n"/>
      <c r="L337" s="419" t="n"/>
      <c r="M337" s="419" t="n"/>
    </row>
    <row r="338">
      <c r="A338" s="419" t="inlineStr">
        <is>
          <t>R-096</t>
        </is>
      </c>
      <c r="B338" s="419" t="inlineStr">
        <is>
          <t>PRODUCTION</t>
        </is>
      </c>
      <c r="C338" s="419" t="inlineStr">
        <is>
          <t>Reliability</t>
        </is>
      </c>
      <c r="D338" s="419" t="inlineStr">
        <is>
          <t>Backup + restore drills</t>
        </is>
      </c>
      <c r="E338" s="419" t="inlineStr">
        <is>
          <t>Automated backups plus regularly tested restoration.</t>
        </is>
      </c>
      <c r="F338" s="419" t="inlineStr">
        <is>
          <t>P0</t>
        </is>
      </c>
      <c r="G338" s="419" t="n"/>
      <c r="H338" s="419" t="inlineStr">
        <is>
          <t>Not Started</t>
        </is>
      </c>
      <c r="I338" s="420" t="n">
        <v>0</v>
      </c>
      <c r="J338" s="419" t="n"/>
      <c r="K338" s="419" t="n"/>
      <c r="L338" s="419" t="n"/>
      <c r="M338" s="419" t="n"/>
    </row>
    <row r="339">
      <c r="A339" s="419" t="inlineStr">
        <is>
          <t>R-097</t>
        </is>
      </c>
      <c r="B339" s="419" t="inlineStr">
        <is>
          <t>PRODUCTION</t>
        </is>
      </c>
      <c r="C339" s="419" t="inlineStr">
        <is>
          <t>Reliability</t>
        </is>
      </c>
      <c r="D339" s="419" t="inlineStr">
        <is>
          <t>Disaster recovery</t>
        </is>
      </c>
      <c r="E339" s="419" t="inlineStr">
        <is>
          <t>Document and exercise regional recovery procedures.</t>
        </is>
      </c>
      <c r="F339" s="419" t="inlineStr">
        <is>
          <t>P0</t>
        </is>
      </c>
      <c r="G339" s="419" t="n"/>
      <c r="H339" s="419" t="inlineStr">
        <is>
          <t>Not Started</t>
        </is>
      </c>
      <c r="I339" s="420" t="n">
        <v>0</v>
      </c>
      <c r="J339" s="419" t="n"/>
      <c r="K339" s="419" t="n"/>
      <c r="L339" s="419" t="n"/>
      <c r="M339" s="419" t="n"/>
    </row>
    <row r="340">
      <c r="A340" s="419" t="inlineStr">
        <is>
          <t>R-098</t>
        </is>
      </c>
      <c r="B340" s="419" t="inlineStr">
        <is>
          <t>PRODUCTION</t>
        </is>
      </c>
      <c r="C340" s="419" t="inlineStr">
        <is>
          <t>Security</t>
        </is>
      </c>
      <c r="D340" s="419" t="inlineStr">
        <is>
          <t>Independent penetration test</t>
        </is>
      </c>
      <c r="E340" s="419" t="inlineStr">
        <is>
          <t>External security assessment before broad enterprise launch.</t>
        </is>
      </c>
      <c r="F340" s="419" t="inlineStr">
        <is>
          <t>P0</t>
        </is>
      </c>
      <c r="G340" s="419" t="n"/>
      <c r="H340" s="419" t="inlineStr">
        <is>
          <t>Not Started</t>
        </is>
      </c>
      <c r="I340" s="420" t="n">
        <v>0</v>
      </c>
      <c r="J340" s="419" t="n"/>
      <c r="K340" s="419" t="n"/>
      <c r="L340" s="419" t="n"/>
      <c r="M340" s="419" t="n"/>
    </row>
    <row r="341">
      <c r="A341" s="419" t="inlineStr">
        <is>
          <t>R-099</t>
        </is>
      </c>
      <c r="B341" s="419" t="inlineStr">
        <is>
          <t>PRODUCTION</t>
        </is>
      </c>
      <c r="C341" s="419" t="inlineStr">
        <is>
          <t>Security</t>
        </is>
      </c>
      <c r="D341" s="419" t="inlineStr">
        <is>
          <t>SOC 2 readiness controls</t>
        </is>
      </c>
      <c r="E341" s="419" t="inlineStr">
        <is>
          <t>Audit logging, access reviews, change management, incident response and evidence.</t>
        </is>
      </c>
      <c r="F341" s="419" t="inlineStr">
        <is>
          <t>P0</t>
        </is>
      </c>
      <c r="G341" s="419" t="n"/>
      <c r="H341" s="419" t="inlineStr">
        <is>
          <t>Not Started</t>
        </is>
      </c>
      <c r="I341" s="420" t="n">
        <v>0</v>
      </c>
      <c r="J341" s="419" t="n"/>
      <c r="K341" s="419" t="n"/>
      <c r="L341" s="419" t="n"/>
      <c r="M341" s="419" t="n"/>
    </row>
    <row r="342">
      <c r="A342" s="419" t="inlineStr">
        <is>
          <t>R-100</t>
        </is>
      </c>
      <c r="B342" s="419" t="inlineStr">
        <is>
          <t>PRODUCTION</t>
        </is>
      </c>
      <c r="C342" s="419" t="inlineStr">
        <is>
          <t>Security</t>
        </is>
      </c>
      <c r="D342" s="419" t="inlineStr">
        <is>
          <t>Tenant isolation validation</t>
        </is>
      </c>
      <c r="E342" s="419" t="inlineStr">
        <is>
          <t>Automated tests prove data/secret/build isolation between tenants.</t>
        </is>
      </c>
      <c r="F342" s="419" t="inlineStr">
        <is>
          <t>P0</t>
        </is>
      </c>
      <c r="G342" s="419" t="n"/>
      <c r="H342" s="419" t="inlineStr">
        <is>
          <t>Not Started</t>
        </is>
      </c>
      <c r="I342" s="420" t="n">
        <v>0</v>
      </c>
      <c r="J342" s="419" t="n"/>
      <c r="K342" s="419" t="n"/>
      <c r="L342" s="419" t="n"/>
      <c r="M342" s="419" t="n"/>
    </row>
    <row r="343">
      <c r="A343" s="419" t="inlineStr">
        <is>
          <t>R-101</t>
        </is>
      </c>
      <c r="B343" s="419" t="inlineStr">
        <is>
          <t>PRODUCTION</t>
        </is>
      </c>
      <c r="C343" s="419" t="inlineStr">
        <is>
          <t>Security</t>
        </is>
      </c>
      <c r="D343" s="419" t="inlineStr">
        <is>
          <t>Signing-key hardening</t>
        </is>
      </c>
      <c r="E343" s="419" t="inlineStr">
        <is>
          <t>KMS/HSM-backed signing workflows and strict operator access.</t>
        </is>
      </c>
      <c r="F343" s="419" t="inlineStr">
        <is>
          <t>P0</t>
        </is>
      </c>
      <c r="G343" s="419" t="n"/>
      <c r="H343" s="419" t="inlineStr">
        <is>
          <t>Not Started</t>
        </is>
      </c>
      <c r="I343" s="420" t="n">
        <v>0</v>
      </c>
      <c r="J343" s="419" t="n"/>
      <c r="K343" s="419" t="n"/>
      <c r="L343" s="419" t="n"/>
      <c r="M343" s="419" t="n"/>
    </row>
    <row r="344">
      <c r="A344" s="419" t="inlineStr">
        <is>
          <t>R-102</t>
        </is>
      </c>
      <c r="B344" s="419" t="inlineStr">
        <is>
          <t>PRODUCTION</t>
        </is>
      </c>
      <c r="C344" s="419" t="inlineStr">
        <is>
          <t>Operations</t>
        </is>
      </c>
      <c r="D344" s="419" t="inlineStr">
        <is>
          <t>24x7 incident process</t>
        </is>
      </c>
      <c r="E344" s="419" t="inlineStr">
        <is>
          <t>On-call, severity levels, runbooks, status page and postmortems.</t>
        </is>
      </c>
      <c r="F344" s="419" t="inlineStr">
        <is>
          <t>P0</t>
        </is>
      </c>
      <c r="G344" s="419" t="n"/>
      <c r="H344" s="419" t="inlineStr">
        <is>
          <t>Not Started</t>
        </is>
      </c>
      <c r="I344" s="420" t="n">
        <v>0</v>
      </c>
      <c r="J344" s="419" t="n"/>
      <c r="K344" s="419" t="n"/>
      <c r="L344" s="419" t="n"/>
      <c r="M344" s="419" t="n"/>
    </row>
    <row r="345">
      <c r="A345" s="419" t="inlineStr">
        <is>
          <t>R-103</t>
        </is>
      </c>
      <c r="B345" s="419" t="inlineStr">
        <is>
          <t>PRODUCTION</t>
        </is>
      </c>
      <c r="C345" s="419" t="inlineStr">
        <is>
          <t>Operations</t>
        </is>
      </c>
      <c r="D345" s="419" t="inlineStr">
        <is>
          <t>Capacity/load tests</t>
        </is>
      </c>
      <c r="E345" s="419" t="inlineStr">
        <is>
          <t>Prove planned concurrency for AI, sandboxes, builds and previews.</t>
        </is>
      </c>
      <c r="F345" s="419" t="inlineStr">
        <is>
          <t>P0</t>
        </is>
      </c>
      <c r="G345" s="419" t="n"/>
      <c r="H345" s="419" t="inlineStr">
        <is>
          <t>Not Started</t>
        </is>
      </c>
      <c r="I345" s="420" t="n">
        <v>0</v>
      </c>
      <c r="J345" s="419" t="n"/>
      <c r="K345" s="419" t="n"/>
      <c r="L345" s="419" t="n"/>
      <c r="M345" s="419" t="n"/>
    </row>
    <row r="346">
      <c r="A346" s="419" t="inlineStr">
        <is>
          <t>R-104</t>
        </is>
      </c>
      <c r="B346" s="419" t="inlineStr">
        <is>
          <t>PRODUCTION</t>
        </is>
      </c>
      <c r="C346" s="419" t="inlineStr">
        <is>
          <t>Operations</t>
        </is>
      </c>
      <c r="D346" s="419" t="inlineStr">
        <is>
          <t>Cost guardrails</t>
        </is>
      </c>
      <c r="E346" s="419" t="inlineStr">
        <is>
          <t>Project/account spending caps, anomaly detection and kill switches.</t>
        </is>
      </c>
      <c r="F346" s="419" t="inlineStr">
        <is>
          <t>P0</t>
        </is>
      </c>
      <c r="G346" s="419" t="n"/>
      <c r="H346" s="419" t="inlineStr">
        <is>
          <t>Not Started</t>
        </is>
      </c>
      <c r="I346" s="420" t="n">
        <v>0</v>
      </c>
      <c r="J346" s="419" t="n"/>
      <c r="K346" s="419" t="n"/>
      <c r="L346" s="419" t="n"/>
      <c r="M346" s="419" t="n"/>
    </row>
    <row r="347">
      <c r="A347" s="423" t="inlineStr">
        <is>
          <t>R-105</t>
        </is>
      </c>
      <c r="B347" s="423" t="inlineStr">
        <is>
          <t>PRODUCTION</t>
        </is>
      </c>
      <c r="C347" s="423" t="inlineStr">
        <is>
          <t>Quality</t>
        </is>
      </c>
      <c r="D347" s="423" t="inlineStr">
        <is>
          <t>Release qualification suite</t>
        </is>
      </c>
      <c r="E347" s="423" t="inlineStr">
        <is>
          <t>Full regression across supported stack versions before platform releases.</t>
        </is>
      </c>
      <c r="F347" s="423" t="inlineStr">
        <is>
          <t>P0</t>
        </is>
      </c>
      <c r="G347" s="423" t="n"/>
      <c r="H347" s="423" t="inlineStr">
        <is>
          <t>Not Started</t>
        </is>
      </c>
      <c r="I347" s="424" t="n">
        <v>0</v>
      </c>
      <c r="J347" s="423" t="n"/>
      <c r="K347" s="423" t="n"/>
      <c r="L347" s="423" t="n"/>
      <c r="M347" s="423" t="n"/>
    </row>
    <row r="348">
      <c r="A348" s="422" t="inlineStr">
        <is>
          <t>R-106</t>
        </is>
      </c>
      <c r="B348" s="422" t="inlineStr">
        <is>
          <t>PRODUCTION</t>
        </is>
      </c>
      <c r="C348" s="422" t="inlineStr">
        <is>
          <t>Quality</t>
        </is>
      </c>
      <c r="D348" s="422" t="inlineStr">
        <is>
          <t>Canary platform releases</t>
        </is>
      </c>
      <c r="E348" s="422" t="inlineStr">
        <is>
          <t>Gradual rollout with automatic rollback on health regression.</t>
        </is>
      </c>
      <c r="F348" s="422" t="inlineStr">
        <is>
          <t>P0</t>
        </is>
      </c>
      <c r="G348" s="422" t="n"/>
      <c r="H348" s="422" t="inlineStr">
        <is>
          <t>Not Started</t>
        </is>
      </c>
      <c r="I348" s="425" t="n">
        <v>0</v>
      </c>
      <c r="J348" s="422" t="n"/>
      <c r="K348" s="422" t="n"/>
      <c r="L348" s="422" t="n"/>
      <c r="M348" s="422" t="n"/>
    </row>
    <row r="349">
      <c r="A349" s="423" t="inlineStr">
        <is>
          <t>R-107</t>
        </is>
      </c>
      <c r="B349" s="423" t="inlineStr">
        <is>
          <t>PRODUCTION</t>
        </is>
      </c>
      <c r="C349" s="423" t="inlineStr">
        <is>
          <t>Support</t>
        </is>
      </c>
      <c r="D349" s="423" t="inlineStr">
        <is>
          <t>Support tooling</t>
        </is>
      </c>
      <c r="E349" s="423" t="inlineStr">
        <is>
          <t>Project-safe diagnostic bundles with secrets redacted.</t>
        </is>
      </c>
      <c r="F349" s="423" t="inlineStr">
        <is>
          <t>P0</t>
        </is>
      </c>
      <c r="G349" s="423" t="n"/>
      <c r="H349" s="423" t="inlineStr">
        <is>
          <t>Not Started</t>
        </is>
      </c>
      <c r="I349" s="424" t="n">
        <v>0</v>
      </c>
      <c r="J349" s="423" t="n"/>
      <c r="K349" s="423" t="n"/>
      <c r="L349" s="423" t="n"/>
      <c r="M349" s="423" t="n"/>
    </row>
    <row r="350">
      <c r="A350" s="422" t="inlineStr">
        <is>
          <t>R-108</t>
        </is>
      </c>
      <c r="B350" s="422" t="inlineStr">
        <is>
          <t>PRODUCTION</t>
        </is>
      </c>
      <c r="C350" s="422" t="inlineStr">
        <is>
          <t>Legal/Privacy</t>
        </is>
      </c>
      <c r="D350" s="422" t="inlineStr">
        <is>
          <t>Privacy + retention controls</t>
        </is>
      </c>
      <c r="E350" s="422" t="inlineStr">
        <is>
          <t>Deletion, export, retention, DPA and subprocessors documented.</t>
        </is>
      </c>
      <c r="F350" s="422" t="inlineStr">
        <is>
          <t>P0</t>
        </is>
      </c>
      <c r="G350" s="422" t="n"/>
      <c r="H350" s="422" t="inlineStr">
        <is>
          <t>Not Started</t>
        </is>
      </c>
      <c r="I350" s="425" t="n">
        <v>0</v>
      </c>
      <c r="J350" s="422" t="n"/>
      <c r="K350" s="422" t="n"/>
      <c r="L350" s="422" t="n"/>
      <c r="M350" s="422" t="n"/>
    </row>
    <row r="351">
      <c r="A351" s="423" t="inlineStr">
        <is>
          <t>R-109</t>
        </is>
      </c>
      <c r="B351" s="423" t="inlineStr">
        <is>
          <t>PRODUCTION</t>
        </is>
      </c>
      <c r="C351" s="423" t="inlineStr">
        <is>
          <t>Business</t>
        </is>
      </c>
      <c r="D351" s="423" t="inlineStr">
        <is>
          <t>Plan entitlements</t>
        </is>
      </c>
      <c r="E351" s="423" t="inlineStr">
        <is>
          <t>Feature/compute/model limits enforced consistently across plans.</t>
        </is>
      </c>
      <c r="F351" s="423" t="inlineStr">
        <is>
          <t>P0</t>
        </is>
      </c>
      <c r="G351" s="423" t="n"/>
      <c r="H351" s="423" t="inlineStr">
        <is>
          <t>Not Started</t>
        </is>
      </c>
      <c r="I351" s="424" t="n">
        <v>0</v>
      </c>
      <c r="J351" s="423" t="n"/>
      <c r="K351" s="423" t="n"/>
      <c r="L351" s="423" t="n"/>
      <c r="M351" s="423" t="n"/>
    </row>
    <row r="352">
      <c r="A352" s="422" t="inlineStr">
        <is>
          <t>R-110</t>
        </is>
      </c>
      <c r="B352" s="422" t="inlineStr">
        <is>
          <t>PRODUCTION</t>
        </is>
      </c>
      <c r="C352" s="422" t="inlineStr">
        <is>
          <t>Business</t>
        </is>
      </c>
      <c r="D352" s="422" t="inlineStr">
        <is>
          <t>Unit economics dashboard</t>
        </is>
      </c>
      <c r="E352" s="422" t="inlineStr">
        <is>
          <t>Gross margin by plan, task type, model and compute class.</t>
        </is>
      </c>
      <c r="F352" s="422" t="inlineStr">
        <is>
          <t>P0</t>
        </is>
      </c>
      <c r="G352" s="422" t="n"/>
      <c r="H352" s="422" t="inlineStr">
        <is>
          <t>Not Started</t>
        </is>
      </c>
      <c r="I352" s="425" t="n">
        <v>0</v>
      </c>
      <c r="J352" s="422" t="n"/>
      <c r="K352" s="422" t="n"/>
      <c r="L352" s="422" t="n"/>
      <c r="M352" s="422" t="n"/>
    </row>
    <row r="353">
      <c r="A353" s="423" t="inlineStr">
        <is>
          <t>R-111</t>
        </is>
      </c>
      <c r="B353" s="423" t="inlineStr">
        <is>
          <t>MVP</t>
        </is>
      </c>
      <c r="C353" s="423" t="inlineStr">
        <is>
          <t>Framework Strategy</t>
        </is>
      </c>
      <c r="D353" s="423" t="inlineStr">
        <is>
          <t>Cross-platform Mobile Agent</t>
        </is>
      </c>
      <c r="E353" s="423" t="inlineStr">
        <is>
          <t>Generate/modify Flutter or React Native based on selected target adapter; activate only the chosen framework.</t>
        </is>
      </c>
      <c r="F353" s="423" t="inlineStr">
        <is>
          <t>P0</t>
        </is>
      </c>
      <c r="G353" s="423" t="n"/>
      <c r="H353" s="423" t="inlineStr">
        <is>
          <t>Not Started</t>
        </is>
      </c>
      <c r="I353" s="424" t="n">
        <v>0</v>
      </c>
      <c r="J353" s="423" t="inlineStr">
        <is>
          <t>Application IR v1</t>
        </is>
      </c>
      <c r="K353" s="423" t="n"/>
      <c r="L353" s="423" t="n"/>
      <c r="M353" s="423" t="n"/>
    </row>
    <row r="354">
      <c r="A354" s="422" t="inlineStr">
        <is>
          <t>R-112</t>
        </is>
      </c>
      <c r="B354" s="422" t="inlineStr">
        <is>
          <t>MVP</t>
        </is>
      </c>
      <c r="C354" s="422" t="inlineStr">
        <is>
          <t>Framework Strategy</t>
        </is>
      </c>
      <c r="D354" s="422" t="inlineStr">
        <is>
          <t>Framework recommendation engine</t>
        </is>
      </c>
      <c r="E354" s="422" t="inlineStr">
        <is>
          <t>Score project requirements and recommend Flutter, React Native, Native, or Web/PWA; do not decide only by industry label.</t>
        </is>
      </c>
      <c r="F354" s="422" t="inlineStr">
        <is>
          <t>P0</t>
        </is>
      </c>
      <c r="G354" s="422" t="n"/>
      <c r="H354" s="422" t="inlineStr">
        <is>
          <t>Not Started</t>
        </is>
      </c>
      <c r="I354" s="425" t="n">
        <v>0</v>
      </c>
      <c r="J354" s="422" t="inlineStr">
        <is>
          <t>Requirement specification step</t>
        </is>
      </c>
      <c r="K354" s="422" t="n"/>
      <c r="L354" s="422" t="n"/>
      <c r="M354" s="422" t="n"/>
    </row>
    <row r="355">
      <c r="A355" s="423" t="inlineStr">
        <is>
          <t>R-113</t>
        </is>
      </c>
      <c r="B355" s="423" t="inlineStr">
        <is>
          <t>MVP</t>
        </is>
      </c>
      <c r="C355" s="423" t="inlineStr">
        <is>
          <t>Framework Strategy</t>
        </is>
      </c>
      <c r="D355" s="423" t="inlineStr">
        <is>
          <t>Auto / Recommended project mode</t>
        </is>
      </c>
      <c r="E355" s="423" t="inlineStr">
        <is>
          <t>Default create-project option selects the cheapest safe architecture and explains why.</t>
        </is>
      </c>
      <c r="F355" s="423" t="inlineStr">
        <is>
          <t>P0</t>
        </is>
      </c>
      <c r="G355" s="423" t="n"/>
      <c r="H355" s="423" t="inlineStr">
        <is>
          <t>Not Started</t>
        </is>
      </c>
      <c r="I355" s="424" t="n">
        <v>0</v>
      </c>
      <c r="J355" s="423" t="inlineStr">
        <is>
          <t>Framework recommendation engine</t>
        </is>
      </c>
      <c r="K355" s="423" t="n"/>
      <c r="L355" s="423" t="n"/>
      <c r="M355" s="423" t="n"/>
    </row>
    <row r="356">
      <c r="A356" s="422" t="inlineStr">
        <is>
          <t>R-114</t>
        </is>
      </c>
      <c r="B356" s="422" t="inlineStr">
        <is>
          <t>MVP</t>
        </is>
      </c>
      <c r="C356" s="422" t="inlineStr">
        <is>
          <t>Framework Strategy</t>
        </is>
      </c>
      <c r="D356" s="422" t="inlineStr">
        <is>
          <t>Manual framework override</t>
        </is>
      </c>
      <c r="E356" s="422" t="inlineStr">
        <is>
          <t>User can choose Flutter, React Native or Native even when recommendation differs; show cost/risk warning.</t>
        </is>
      </c>
      <c r="F356" s="422" t="inlineStr">
        <is>
          <t>P1</t>
        </is>
      </c>
      <c r="G356" s="422" t="n"/>
      <c r="H356" s="422" t="inlineStr">
        <is>
          <t>Not Started</t>
        </is>
      </c>
      <c r="I356" s="425" t="n">
        <v>0</v>
      </c>
      <c r="J356" s="422" t="inlineStr">
        <is>
          <t>Framework recommendation engine</t>
        </is>
      </c>
      <c r="K356" s="422" t="n"/>
      <c r="L356" s="422" t="n"/>
      <c r="M356" s="422" t="n"/>
    </row>
    <row r="357">
      <c r="A357" s="423" t="inlineStr">
        <is>
          <t>R-115</t>
        </is>
      </c>
      <c r="B357" s="423" t="inlineStr">
        <is>
          <t>MVP</t>
        </is>
      </c>
      <c r="C357" s="423" t="inlineStr">
        <is>
          <t>Architecture</t>
        </is>
      </c>
      <c r="D357" s="423" t="inlineStr">
        <is>
          <t>Framework adapter contract</t>
        </is>
      </c>
      <c r="E357" s="423" t="inlineStr">
        <is>
          <t>Application IR feeds framework-specific generators through a stable adapter interface so new targets do not change product intent.</t>
        </is>
      </c>
      <c r="F357" s="423" t="inlineStr">
        <is>
          <t>P0</t>
        </is>
      </c>
      <c r="G357" s="423" t="n"/>
      <c r="H357" s="423" t="inlineStr">
        <is>
          <t>Not Started</t>
        </is>
      </c>
      <c r="I357" s="424" t="n">
        <v>0</v>
      </c>
      <c r="J357" s="423" t="inlineStr">
        <is>
          <t>Application IR v1</t>
        </is>
      </c>
      <c r="K357" s="423" t="n"/>
      <c r="L357" s="423" t="n"/>
      <c r="M357" s="423" t="n"/>
    </row>
    <row r="358">
      <c r="A358" s="422" t="inlineStr">
        <is>
          <t>R-116</t>
        </is>
      </c>
      <c r="B358" s="422" t="inlineStr">
        <is>
          <t>MVP</t>
        </is>
      </c>
      <c r="C358" s="422" t="inlineStr">
        <is>
          <t>Architecture</t>
        </is>
      </c>
      <c r="D358" s="422" t="inlineStr">
        <is>
          <t>Shared-code policy</t>
        </is>
      </c>
      <c r="E358" s="422" t="inlineStr">
        <is>
          <t>Share contracts, schemas, design tokens, validation and business rules first; share UI/runtime code only when framework safely supports it.</t>
        </is>
      </c>
      <c r="F358" s="422" t="inlineStr">
        <is>
          <t>P0</t>
        </is>
      </c>
      <c r="G358" s="422" t="n"/>
      <c r="H358" s="422" t="inlineStr">
        <is>
          <t>Not Started</t>
        </is>
      </c>
      <c r="I358" s="425" t="n">
        <v>0</v>
      </c>
      <c r="J358" s="422" t="inlineStr">
        <is>
          <t>Framework adapter contract</t>
        </is>
      </c>
      <c r="K358" s="422" t="n"/>
      <c r="L358" s="422" t="n"/>
      <c r="M358" s="422" t="n"/>
    </row>
    <row r="359">
      <c r="A359" s="423" t="inlineStr">
        <is>
          <t>R-117</t>
        </is>
      </c>
      <c r="B359" s="423" t="inlineStr">
        <is>
          <t>MVP</t>
        </is>
      </c>
      <c r="C359" s="423" t="inlineStr">
        <is>
          <t>Web/Admin</t>
        </is>
      </c>
      <c r="D359" s="423" t="inlineStr">
        <is>
          <t>Next.js web + admin default</t>
        </is>
      </c>
      <c r="E359" s="423" t="inlineStr">
        <is>
          <t>Use Next.js/TypeScript for customer web and admin by default for SEO, desktop UX, accessibility and maintainability.</t>
        </is>
      </c>
      <c r="F359" s="423" t="inlineStr">
        <is>
          <t>P0</t>
        </is>
      </c>
      <c r="G359" s="423" t="n"/>
      <c r="H359" s="423" t="inlineStr">
        <is>
          <t>Not Started</t>
        </is>
      </c>
      <c r="I359" s="424" t="n">
        <v>0</v>
      </c>
      <c r="J359" s="423" t="inlineStr">
        <is>
          <t>Web/Admin Agent</t>
        </is>
      </c>
      <c r="K359" s="423" t="n"/>
      <c r="L359" s="423" t="n"/>
      <c r="M359" s="423" t="n"/>
    </row>
    <row r="360">
      <c r="A360" s="422" t="inlineStr">
        <is>
          <t>R-118</t>
        </is>
      </c>
      <c r="B360" s="422" t="inlineStr">
        <is>
          <t>MID</t>
        </is>
      </c>
      <c r="C360" s="422" t="inlineStr">
        <is>
          <t>Web/Admin</t>
        </is>
      </c>
      <c r="D360" s="422" t="inlineStr">
        <is>
          <t>Flutter Web optional profile</t>
        </is>
      </c>
      <c r="E360" s="422" t="inlineStr">
        <is>
          <t>Allow Flutter Web for app-like browser experiences when SEO/desktop constraints are acceptable; never force admin panel onto Flutter.</t>
        </is>
      </c>
      <c r="F360" s="422" t="inlineStr">
        <is>
          <t>P1</t>
        </is>
      </c>
      <c r="G360" s="422" t="n"/>
      <c r="H360" s="422" t="inlineStr">
        <is>
          <t>Not Started</t>
        </is>
      </c>
      <c r="I360" s="425" t="n">
        <v>0</v>
      </c>
      <c r="J360" s="422" t="inlineStr">
        <is>
          <t>Flutter target (GA baseline)</t>
        </is>
      </c>
      <c r="K360" s="422" t="n"/>
      <c r="L360" s="422" t="n"/>
      <c r="M360" s="422" t="n"/>
    </row>
    <row r="361">
      <c r="A361" s="423" t="inlineStr">
        <is>
          <t>R-119</t>
        </is>
      </c>
      <c r="B361" s="423" t="inlineStr">
        <is>
          <t>MID</t>
        </is>
      </c>
      <c r="C361" s="423" t="inlineStr">
        <is>
          <t>Web/Admin</t>
        </is>
      </c>
      <c r="D361" s="423" t="inlineStr">
        <is>
          <t>React Native Web optional profile</t>
        </is>
      </c>
      <c r="E361" s="423" t="inlineStr">
        <is>
          <t>Allow Expo Web/React Native Web for high code-sharing projects; Next.js remains preferred for SEO-heavy public web and complex admin.</t>
        </is>
      </c>
      <c r="F361" s="423" t="inlineStr">
        <is>
          <t>P1</t>
        </is>
      </c>
      <c r="G361" s="423" t="n"/>
      <c r="H361" s="423" t="inlineStr">
        <is>
          <t>Not Started</t>
        </is>
      </c>
      <c r="I361" s="424" t="n">
        <v>0</v>
      </c>
      <c r="J361" s="423" t="inlineStr">
        <is>
          <t>React Native target (GA/beta by team capacity)</t>
        </is>
      </c>
      <c r="K361" s="423" t="n"/>
      <c r="L361" s="423" t="n"/>
      <c r="M361" s="423" t="n"/>
    </row>
    <row r="362">
      <c r="A362" s="422" t="inlineStr">
        <is>
          <t>R-120</t>
        </is>
      </c>
      <c r="B362" s="422" t="inlineStr">
        <is>
          <t>MVP</t>
        </is>
      </c>
      <c r="C362" s="422" t="inlineStr">
        <is>
          <t>Framework Strategy</t>
        </is>
      </c>
      <c r="D362" s="422" t="inlineStr">
        <is>
          <t>Native recommendation profile</t>
        </is>
      </c>
      <c r="E362" s="422" t="inlineStr">
        <is>
          <t>Recommend Kotlin + Swift when deep platform APIs, hardware, background execution, performance, platform UX or compliance needs justify extra cost.</t>
        </is>
      </c>
      <c r="F362" s="422" t="inlineStr">
        <is>
          <t>P0</t>
        </is>
      </c>
      <c r="G362" s="422" t="n"/>
      <c r="H362" s="422" t="inlineStr">
        <is>
          <t>Not Started</t>
        </is>
      </c>
      <c r="I362" s="425" t="n">
        <v>0</v>
      </c>
      <c r="J362" s="422" t="inlineStr">
        <is>
          <t>Framework recommendation engine</t>
        </is>
      </c>
      <c r="K362" s="422" t="n"/>
      <c r="L362" s="422" t="n"/>
      <c r="M362" s="422" t="n"/>
    </row>
    <row r="363">
      <c r="A363" s="423" t="inlineStr">
        <is>
          <t>R-121</t>
        </is>
      </c>
      <c r="B363" s="423" t="inlineStr">
        <is>
          <t>MVP</t>
        </is>
      </c>
      <c r="C363" s="423" t="inlineStr">
        <is>
          <t>Git/Repository</t>
        </is>
      </c>
      <c r="D363" s="423" t="inlineStr">
        <is>
          <t>Platform modular monorepo</t>
        </is>
      </c>
      <c r="E363" s="423" t="inlineStr">
        <is>
          <t>Start our own platform in one modular Git monorepo: console, Go services, Python AI services, workers, contracts, infra and docs.</t>
        </is>
      </c>
      <c r="F363" s="423" t="inlineStr">
        <is>
          <t>P0</t>
        </is>
      </c>
      <c r="G363" s="423" t="n"/>
      <c r="H363" s="423" t="inlineStr">
        <is>
          <t>Not Started</t>
        </is>
      </c>
      <c r="I363" s="424" t="n">
        <v>0</v>
      </c>
      <c r="J363" s="423" t="inlineStr">
        <is>
          <t>Project + workspace model</t>
        </is>
      </c>
      <c r="K363" s="423" t="n"/>
      <c r="L363" s="423" t="n"/>
      <c r="M363" s="423" t="n"/>
    </row>
    <row r="364">
      <c r="A364" s="422" t="inlineStr">
        <is>
          <t>R-122</t>
        </is>
      </c>
      <c r="B364" s="422" t="inlineStr">
        <is>
          <t>MVP</t>
        </is>
      </c>
      <c r="C364" s="422" t="inlineStr">
        <is>
          <t>Git/Repository</t>
        </is>
      </c>
      <c r="D364" s="422" t="inlineStr">
        <is>
          <t>One Git repo per customer project</t>
        </is>
      </c>
      <c r="E364" s="422" t="inlineStr">
        <is>
          <t>Never mix multiple customer apps in one source repo. Each generated project receives its own repository and access boundary.</t>
        </is>
      </c>
      <c r="F364" s="422" t="inlineStr">
        <is>
          <t>P0</t>
        </is>
      </c>
      <c r="G364" s="422" t="n"/>
      <c r="H364" s="422" t="inlineStr">
        <is>
          <t>Not Started</t>
        </is>
      </c>
      <c r="I364" s="425" t="n">
        <v>0</v>
      </c>
      <c r="J364" s="422" t="inlineStr">
        <is>
          <t>Project + workspace model</t>
        </is>
      </c>
      <c r="K364" s="422" t="n"/>
      <c r="L364" s="422" t="n"/>
      <c r="M364" s="422" t="n"/>
    </row>
    <row r="365">
      <c r="A365" s="423" t="inlineStr">
        <is>
          <t>R-123</t>
        </is>
      </c>
      <c r="B365" s="423" t="inlineStr">
        <is>
          <t>MVP</t>
        </is>
      </c>
      <c r="C365" s="423" t="inlineStr">
        <is>
          <t>Git/Repository</t>
        </is>
      </c>
      <c r="D365" s="423" t="inlineStr">
        <is>
          <t>Customer project monorepo default</t>
        </is>
      </c>
      <c r="E365" s="423" t="inlineStr">
        <is>
          <t>Keep mobile, web, admin, backend, database, contracts, infra and tests together so AI changes can be atomic across the product.</t>
        </is>
      </c>
      <c r="F365" s="423" t="inlineStr">
        <is>
          <t>P0</t>
        </is>
      </c>
      <c r="G365" s="423" t="n"/>
      <c r="H365" s="423" t="inlineStr">
        <is>
          <t>Not Started</t>
        </is>
      </c>
      <c r="I365" s="424" t="n">
        <v>0</v>
      </c>
      <c r="J365" s="423" t="inlineStr">
        <is>
          <t>One Git repo per customer project</t>
        </is>
      </c>
      <c r="K365" s="423" t="n"/>
      <c r="L365" s="423" t="n"/>
      <c r="M365" s="423" t="n"/>
    </row>
    <row r="366">
      <c r="A366" s="422" t="inlineStr">
        <is>
          <t>R-124</t>
        </is>
      </c>
      <c r="B366" s="422" t="inlineStr">
        <is>
          <t>MVP</t>
        </is>
      </c>
      <c r="C366" s="422" t="inlineStr">
        <is>
          <t>Git/Repository</t>
        </is>
      </c>
      <c r="D366" s="422" t="inlineStr">
        <is>
          <t>Repository naming convention</t>
        </is>
      </c>
      <c r="E366" s="422" t="inlineStr">
        <is>
          <t>Default repo name: project-&lt;project-slug&gt;; allow workspace prefix and customer-owned Git organization.</t>
        </is>
      </c>
      <c r="F366" s="422" t="inlineStr">
        <is>
          <t>P1</t>
        </is>
      </c>
      <c r="G366" s="422" t="n"/>
      <c r="H366" s="422" t="inlineStr">
        <is>
          <t>Not Started</t>
        </is>
      </c>
      <c r="I366" s="425" t="n">
        <v>0</v>
      </c>
      <c r="J366" s="422" t="inlineStr">
        <is>
          <t>One Git repo per customer project</t>
        </is>
      </c>
      <c r="K366" s="422" t="n"/>
      <c r="L366" s="422" t="n"/>
      <c r="M366" s="422" t="n"/>
    </row>
    <row r="367">
      <c r="A367" s="423" t="inlineStr">
        <is>
          <t>R-125</t>
        </is>
      </c>
      <c r="B367" s="423" t="inlineStr">
        <is>
          <t>MVP</t>
        </is>
      </c>
      <c r="C367" s="423" t="inlineStr">
        <is>
          <t>Git/Repository</t>
        </is>
      </c>
      <c r="D367" s="423" t="inlineStr">
        <is>
          <t>Branch + PR naming convention</t>
        </is>
      </c>
      <c r="E367" s="423" t="inlineStr">
        <is>
          <t>Use short-lived ai/&lt;task-id&gt;-&lt;slug&gt; branches, protected main, task-linked commits and one reviewable PR/change set per AI task.</t>
        </is>
      </c>
      <c r="F367" s="423" t="inlineStr">
        <is>
          <t>P0</t>
        </is>
      </c>
      <c r="G367" s="423" t="n"/>
      <c r="H367" s="423" t="inlineStr">
        <is>
          <t>Not Started</t>
        </is>
      </c>
      <c r="I367" s="424" t="n">
        <v>0</v>
      </c>
      <c r="J367" s="423" t="inlineStr">
        <is>
          <t>Branch per task</t>
        </is>
      </c>
      <c r="K367" s="423" t="n"/>
      <c r="L367" s="423" t="n"/>
      <c r="M367" s="423" t="n"/>
    </row>
    <row r="368">
      <c r="A368" s="422" t="inlineStr">
        <is>
          <t>R-126</t>
        </is>
      </c>
      <c r="B368" s="422" t="inlineStr">
        <is>
          <t>MVP</t>
        </is>
      </c>
      <c r="C368" s="422" t="inlineStr">
        <is>
          <t>Product Foundation</t>
        </is>
      </c>
      <c r="D368" s="422" t="inlineStr">
        <is>
          <t>Organization &gt; Workspace &gt; Project &gt; Environment model</t>
        </is>
      </c>
      <c r="E368" s="422" t="inlineStr">
        <is>
          <t>Canonical hierarchy for tenancy, billing, permissions, repositories, targets and deployments.</t>
        </is>
      </c>
      <c r="F368" s="422" t="inlineStr">
        <is>
          <t>P0</t>
        </is>
      </c>
      <c r="G368" s="422" t="n"/>
      <c r="H368" s="422" t="inlineStr">
        <is>
          <t>Not Started</t>
        </is>
      </c>
      <c r="I368" s="425" t="n">
        <v>0</v>
      </c>
      <c r="J368" s="422" t="inlineStr">
        <is>
          <t>Project + workspace model</t>
        </is>
      </c>
      <c r="K368" s="422" t="n"/>
      <c r="L368" s="422" t="n"/>
      <c r="M368" s="422" t="n"/>
    </row>
    <row r="369">
      <c r="A369" s="423" t="inlineStr">
        <is>
          <t>R-127</t>
        </is>
      </c>
      <c r="B369" s="423" t="inlineStr">
        <is>
          <t>MVP</t>
        </is>
      </c>
      <c r="C369" s="423" t="inlineStr">
        <is>
          <t>Architecture</t>
        </is>
      </c>
      <c r="D369" s="423" t="inlineStr">
        <is>
          <t>Shared contracts package</t>
        </is>
      </c>
      <c r="E369" s="423" t="inlineStr">
        <is>
          <t>Generate OpenAPI/AsyncAPI/schema contracts and typed clients for Flutter/Dart, TypeScript, Kotlin and Swift as needed.</t>
        </is>
      </c>
      <c r="F369" s="423" t="inlineStr">
        <is>
          <t>P0</t>
        </is>
      </c>
      <c r="G369" s="423" t="n"/>
      <c r="H369" s="423" t="inlineStr">
        <is>
          <t>Not Started</t>
        </is>
      </c>
      <c r="I369" s="424" t="n">
        <v>0</v>
      </c>
      <c r="J369" s="423" t="inlineStr">
        <is>
          <t>Application IR v1</t>
        </is>
      </c>
      <c r="K369" s="423" t="n"/>
      <c r="L369" s="423" t="n"/>
      <c r="M369" s="423" t="n"/>
    </row>
    <row r="370">
      <c r="A370" s="422" t="inlineStr">
        <is>
          <t>R-128</t>
        </is>
      </c>
      <c r="B370" s="422" t="inlineStr">
        <is>
          <t>MVP</t>
        </is>
      </c>
      <c r="C370" s="422" t="inlineStr">
        <is>
          <t>Git/Repository</t>
        </is>
      </c>
      <c r="D370" s="422" t="inlineStr">
        <is>
          <t>Cross-language monorepo orchestration</t>
        </is>
      </c>
      <c r="E370" s="422" t="inlineStr">
        <is>
          <t>Use root Taskfile/Make; pnpm/Turborepo for TypeScript, Go workspaces for Go and uv/Poetry for Python; avoid Bazel until scale demands it.</t>
        </is>
      </c>
      <c r="F370" s="422" t="inlineStr">
        <is>
          <t>P1</t>
        </is>
      </c>
      <c r="G370" s="422" t="n"/>
      <c r="H370" s="422" t="inlineStr">
        <is>
          <t>Not Started</t>
        </is>
      </c>
      <c r="I370" s="425" t="n">
        <v>0</v>
      </c>
      <c r="J370" s="422" t="inlineStr">
        <is>
          <t>Platform modular monorepo</t>
        </is>
      </c>
      <c r="K370" s="422" t="n"/>
      <c r="L370" s="422" t="n"/>
      <c r="M370" s="422" t="n"/>
    </row>
    <row r="371">
      <c r="A371" s="446" t="inlineStr">
        <is>
          <t>R-129</t>
        </is>
      </c>
      <c r="B371" s="446" t="inlineStr">
        <is>
          <t>MID</t>
        </is>
      </c>
      <c r="C371" s="446" t="inlineStr">
        <is>
          <t>Git/Repository</t>
        </is>
      </c>
      <c r="D371" s="446" t="inlineStr">
        <is>
          <t>Repository split decision policy</t>
        </is>
      </c>
      <c r="E371" s="446" t="inlineStr">
        <is>
          <t>Split a customer monorepo only for independent teams, compliance boundaries, release cadence, access control or measured build/repo scale.</t>
        </is>
      </c>
      <c r="F371" s="446" t="inlineStr">
        <is>
          <t>P1</t>
        </is>
      </c>
      <c r="G371" s="446" t="n"/>
      <c r="H371" s="446" t="inlineStr">
        <is>
          <t>Not Started</t>
        </is>
      </c>
      <c r="I371" s="451" t="n">
        <v>0</v>
      </c>
      <c r="J371" s="446" t="inlineStr">
        <is>
          <t>Customer project monorepo default</t>
        </is>
      </c>
      <c r="K371" s="446" t="n"/>
      <c r="L371" s="446" t="n"/>
      <c r="M371" s="446" t="n"/>
    </row>
    <row r="372">
      <c r="A372" s="445" t="inlineStr">
        <is>
          <t>R-130</t>
        </is>
      </c>
      <c r="B372" s="445" t="inlineStr">
        <is>
          <t>ADVANCED</t>
        </is>
      </c>
      <c r="C372" s="445" t="inlineStr">
        <is>
          <t>Git/Repository</t>
        </is>
      </c>
      <c r="D372" s="445" t="inlineStr">
        <is>
          <t>Enterprise multi-repo support</t>
        </is>
      </c>
      <c r="E372" s="445" t="inlineStr">
        <is>
          <t>Support service-per-repo or domain repos while preserving IR, contracts and cross-repo change orchestration.</t>
        </is>
      </c>
      <c r="F372" s="445" t="inlineStr">
        <is>
          <t>P2</t>
        </is>
      </c>
      <c r="G372" s="445" t="n"/>
      <c r="H372" s="445" t="inlineStr">
        <is>
          <t>Not Started</t>
        </is>
      </c>
      <c r="I372" s="450" t="n">
        <v>0</v>
      </c>
      <c r="J372" s="445" t="inlineStr">
        <is>
          <t>Repository split decision policy</t>
        </is>
      </c>
      <c r="K372" s="445" t="n"/>
      <c r="L372" s="445" t="n"/>
      <c r="M372" s="445" t="n"/>
    </row>
    <row r="373">
      <c r="A373" s="446" t="inlineStr">
        <is>
          <t>R-131</t>
        </is>
      </c>
      <c r="B373" s="446" t="inlineStr">
        <is>
          <t>MID</t>
        </is>
      </c>
      <c r="C373" s="446" t="inlineStr">
        <is>
          <t>Git/Repository</t>
        </is>
      </c>
      <c r="D373" s="446" t="inlineStr">
        <is>
          <t>CODEOWNERS + protected paths</t>
        </is>
      </c>
      <c r="E373" s="446" t="inlineStr">
        <is>
          <t>Require human/security ownership for sensitive modules, production infra, auth, billing and signing workflows.</t>
        </is>
      </c>
      <c r="F373" s="446" t="inlineStr">
        <is>
          <t>P1</t>
        </is>
      </c>
      <c r="G373" s="446" t="n"/>
      <c r="H373" s="446" t="inlineStr">
        <is>
          <t>Not Started</t>
        </is>
      </c>
      <c r="I373" s="451" t="n">
        <v>0</v>
      </c>
      <c r="J373" s="446" t="inlineStr">
        <is>
          <t>Branch + PR naming convention</t>
        </is>
      </c>
      <c r="K373" s="446" t="n"/>
      <c r="L373" s="446" t="n"/>
      <c r="M373" s="446" t="n"/>
    </row>
    <row r="374">
      <c r="A374" s="445" t="inlineStr">
        <is>
          <t>R-132</t>
        </is>
      </c>
      <c r="B374" s="445" t="inlineStr">
        <is>
          <t>MVP</t>
        </is>
      </c>
      <c r="C374" s="445" t="inlineStr">
        <is>
          <t>Git/Repository</t>
        </is>
      </c>
      <c r="D374" s="445" t="inlineStr">
        <is>
          <t>Framework-specific repo templates</t>
        </is>
      </c>
      <c r="E374" s="445" t="inlineStr">
        <is>
          <t>Provide Flutter, React Native and Native directory templates behind the same canonical project structure.</t>
        </is>
      </c>
      <c r="F374" s="445" t="inlineStr">
        <is>
          <t>P0</t>
        </is>
      </c>
      <c r="G374" s="445" t="n"/>
      <c r="H374" s="445" t="inlineStr">
        <is>
          <t>Not Started</t>
        </is>
      </c>
      <c r="I374" s="450" t="n">
        <v>0</v>
      </c>
      <c r="J374" s="445" t="inlineStr">
        <is>
          <t>Framework adapter contract</t>
        </is>
      </c>
      <c r="K374" s="445" t="n"/>
      <c r="L374" s="445" t="n"/>
      <c r="M374" s="445" t="n"/>
    </row>
    <row r="375">
      <c r="A375" s="446" t="inlineStr">
        <is>
          <t>R-133</t>
        </is>
      </c>
      <c r="B375" s="446" t="inlineStr">
        <is>
          <t>MVP</t>
        </is>
      </c>
      <c r="C375" s="446" t="inlineStr">
        <is>
          <t>Change Safety</t>
        </is>
      </c>
      <c r="D375" s="446" t="inlineStr">
        <is>
          <t>Atomic cross-platform change set</t>
        </is>
      </c>
      <c r="E375" s="446" t="inlineStr">
        <is>
          <t>One task can update mobile + web + backend + schema + tests in one branch; merge only if all required target gates pass.</t>
        </is>
      </c>
      <c r="F375" s="446" t="inlineStr">
        <is>
          <t>P0</t>
        </is>
      </c>
      <c r="G375" s="446" t="n"/>
      <c r="H375" s="446" t="inlineStr">
        <is>
          <t>Not Started</t>
        </is>
      </c>
      <c r="I375" s="451" t="n">
        <v>0</v>
      </c>
      <c r="J375" s="446" t="inlineStr">
        <is>
          <t>Customer project monorepo default</t>
        </is>
      </c>
      <c r="K375" s="446" t="n"/>
      <c r="L375" s="446" t="n"/>
      <c r="M375" s="446" t="n"/>
    </row>
    <row r="376">
      <c r="A376" s="445" t="inlineStr">
        <is>
          <t>R-134</t>
        </is>
      </c>
      <c r="B376" s="445" t="inlineStr">
        <is>
          <t>MID</t>
        </is>
      </c>
      <c r="C376" s="445" t="inlineStr">
        <is>
          <t>Analytics</t>
        </is>
      </c>
      <c r="D376" s="445" t="inlineStr">
        <is>
          <t>Repository/build health metrics</t>
        </is>
      </c>
      <c r="E376" s="445" t="inlineStr">
        <is>
          <t>Track repo size, dependency graph growth, build duration, cache hit rate and split-repo trigger thresholds.</t>
        </is>
      </c>
      <c r="F376" s="445" t="inlineStr">
        <is>
          <t>P1</t>
        </is>
      </c>
      <c r="G376" s="445" t="n"/>
      <c r="H376" s="445" t="inlineStr">
        <is>
          <t>Not Started</t>
        </is>
      </c>
      <c r="I376" s="450" t="n">
        <v>0</v>
      </c>
      <c r="J376" s="445" t="inlineStr">
        <is>
          <t>Build artifact caching</t>
        </is>
      </c>
      <c r="K376" s="445" t="n"/>
      <c r="L376" s="445" t="n"/>
      <c r="M376" s="445" t="n"/>
    </row>
    <row r="377">
      <c r="A377" s="446" t="inlineStr">
        <is>
          <t>R-135</t>
        </is>
      </c>
      <c r="B377" s="446" t="inlineStr">
        <is>
          <t>MVP</t>
        </is>
      </c>
      <c r="C377" s="446" t="inlineStr">
        <is>
          <t>Framework Strategy</t>
        </is>
      </c>
      <c r="D377" s="446" t="inlineStr">
        <is>
          <t>Stack selection wizard</t>
        </is>
      </c>
      <c r="E377" s="446" t="inlineStr">
        <is>
          <t>Before generation, show Auto / Flutter / React Native / Native / Web-only options with simple reasons, cost class and limitations.</t>
        </is>
      </c>
      <c r="F377" s="446" t="inlineStr">
        <is>
          <t>P0</t>
        </is>
      </c>
      <c r="G377" s="446" t="n"/>
      <c r="H377" s="446" t="inlineStr">
        <is>
          <t>Not Started</t>
        </is>
      </c>
      <c r="I377" s="451" t="n">
        <v>0</v>
      </c>
      <c r="J377" s="446" t="inlineStr">
        <is>
          <t>Framework recommendation engine</t>
        </is>
      </c>
      <c r="K377" s="446" t="n"/>
      <c r="L377" s="446" t="n"/>
      <c r="M377" s="446" t="inlineStr">
        <is>
          <t>V3</t>
        </is>
      </c>
    </row>
    <row r="378">
      <c r="A378" s="445" t="inlineStr">
        <is>
          <t>R-136</t>
        </is>
      </c>
      <c r="B378" s="445" t="inlineStr">
        <is>
          <t>MVP</t>
        </is>
      </c>
      <c r="C378" s="445" t="inlineStr">
        <is>
          <t>Framework Strategy</t>
        </is>
      </c>
      <c r="D378" s="445" t="inlineStr">
        <is>
          <t>Recommendation score model</t>
        </is>
      </c>
      <c r="E378" s="445" t="inlineStr">
        <is>
          <t>Score budget, team skills, web reuse, native APIs, background work, performance, hardware and platform UX. Store score/reasons in IR.</t>
        </is>
      </c>
      <c r="F378" s="445" t="inlineStr">
        <is>
          <t>P0</t>
        </is>
      </c>
      <c r="G378" s="445" t="n"/>
      <c r="H378" s="445" t="inlineStr">
        <is>
          <t>Not Started</t>
        </is>
      </c>
      <c r="I378" s="450" t="n">
        <v>0</v>
      </c>
      <c r="J378" s="445" t="inlineStr">
        <is>
          <t>Stack selection wizard</t>
        </is>
      </c>
      <c r="K378" s="445" t="n"/>
      <c r="L378" s="445" t="n"/>
      <c r="M378" s="445" t="inlineStr">
        <is>
          <t>Do not choose by industry label alone.</t>
        </is>
      </c>
    </row>
    <row r="379">
      <c r="A379" s="446" t="inlineStr">
        <is>
          <t>R-137</t>
        </is>
      </c>
      <c r="B379" s="446" t="inlineStr">
        <is>
          <t>MVP</t>
        </is>
      </c>
      <c r="C379" s="446" t="inlineStr">
        <is>
          <t>Architecture</t>
        </is>
      </c>
      <c r="D379" s="446" t="inlineStr">
        <is>
          <t>Code sharing policy</t>
        </is>
      </c>
      <c r="E379" s="446" t="inlineStr">
        <is>
          <t>Share IR, contracts, tokens, localization, analytics and compatible domain packages; never force 100% runtime sharing.</t>
        </is>
      </c>
      <c r="F379" s="446" t="inlineStr">
        <is>
          <t>P0</t>
        </is>
      </c>
      <c r="G379" s="446" t="n"/>
      <c r="H379" s="446" t="inlineStr">
        <is>
          <t>Not Started</t>
        </is>
      </c>
      <c r="I379" s="451" t="n">
        <v>0</v>
      </c>
      <c r="J379" s="446" t="inlineStr">
        <is>
          <t>Application IR v1</t>
        </is>
      </c>
      <c r="K379" s="446" t="n"/>
      <c r="L379" s="446" t="n"/>
      <c r="M379" s="446" t="inlineStr">
        <is>
          <t>Prevents bad Flutter/RN Web/admin decisions.</t>
        </is>
      </c>
    </row>
    <row r="380">
      <c r="A380" s="445" t="inlineStr">
        <is>
          <t>R-138</t>
        </is>
      </c>
      <c r="B380" s="445" t="inlineStr">
        <is>
          <t>MVP</t>
        </is>
      </c>
      <c r="C380" s="445" t="inlineStr">
        <is>
          <t>Architecture</t>
        </is>
      </c>
      <c r="D380" s="445" t="inlineStr">
        <is>
          <t>Canonical generated project root</t>
        </is>
      </c>
      <c r="E380" s="445" t="inlineStr">
        <is>
          <t>Standard root: .ai/, apps/, services/, packages/, database/, infra/, tests/, docs/, scripts/.</t>
        </is>
      </c>
      <c r="F380" s="445" t="inlineStr">
        <is>
          <t>P0</t>
        </is>
      </c>
      <c r="G380" s="445" t="n"/>
      <c r="H380" s="445" t="inlineStr">
        <is>
          <t>Not Started</t>
        </is>
      </c>
      <c r="I380" s="450" t="n">
        <v>0</v>
      </c>
      <c r="J380" s="445" t="inlineStr">
        <is>
          <t>Customer project monorepo default</t>
        </is>
      </c>
      <c r="K380" s="445" t="n"/>
      <c r="L380" s="445" t="n"/>
      <c r="M380" s="445" t="inlineStr">
        <is>
          <t>Stable paths improve AI context and developer onboarding.</t>
        </is>
      </c>
    </row>
    <row r="381">
      <c r="A381" s="446" t="inlineStr">
        <is>
          <t>R-139</t>
        </is>
      </c>
      <c r="B381" s="446" t="inlineStr">
        <is>
          <t>MVP</t>
        </is>
      </c>
      <c r="C381" s="446" t="inlineStr">
        <is>
          <t>Developer Experience</t>
        </is>
      </c>
      <c r="D381" s="446" t="inlineStr">
        <is>
          <t>Root task commands</t>
        </is>
      </c>
      <c r="E381" s="446" t="inlineStr">
        <is>
          <t>Every project exposes bootstrap, lint, test, build, check, preview and ci through Taskfile/Make.</t>
        </is>
      </c>
      <c r="F381" s="446" t="inlineStr">
        <is>
          <t>P1</t>
        </is>
      </c>
      <c r="G381" s="446" t="n"/>
      <c r="H381" s="446" t="inlineStr">
        <is>
          <t>Not Started</t>
        </is>
      </c>
      <c r="I381" s="451" t="n">
        <v>0</v>
      </c>
      <c r="J381" s="446" t="inlineStr">
        <is>
          <t>Canonical generated project root</t>
        </is>
      </c>
      <c r="K381" s="446" t="n"/>
      <c r="L381" s="446" t="n"/>
      <c r="M381" s="446" t="inlineStr">
        <is>
          <t>Framework-independent agent commands.</t>
        </is>
      </c>
    </row>
    <row r="382">
      <c r="A382" s="445" t="inlineStr">
        <is>
          <t>R-140</t>
        </is>
      </c>
      <c r="B382" s="445" t="inlineStr">
        <is>
          <t>MVP</t>
        </is>
      </c>
      <c r="C382" s="445" t="inlineStr">
        <is>
          <t>Templates</t>
        </is>
      </c>
      <c r="D382" s="445" t="inlineStr">
        <is>
          <t>Flutter lean template</t>
        </is>
      </c>
      <c r="E382" s="445" t="inlineStr">
        <is>
          <t>Feature-first Flutter template with app/core/design_system/features/test; avoid unnecessary domain layers in simple apps.</t>
        </is>
      </c>
      <c r="F382" s="445" t="inlineStr">
        <is>
          <t>P0</t>
        </is>
      </c>
      <c r="G382" s="445" t="n"/>
      <c r="H382" s="445" t="inlineStr">
        <is>
          <t>Not Started</t>
        </is>
      </c>
      <c r="I382" s="450" t="n">
        <v>0</v>
      </c>
      <c r="J382" s="445" t="inlineStr">
        <is>
          <t>Framework-specific repo templates</t>
        </is>
      </c>
      <c r="K382" s="445" t="n"/>
      <c r="L382" s="445" t="n"/>
      <c r="M382" s="445" t="inlineStr">
        <is>
          <t>Stable target.</t>
        </is>
      </c>
    </row>
    <row r="383">
      <c r="A383" s="446" t="inlineStr">
        <is>
          <t>R-141</t>
        </is>
      </c>
      <c r="B383" s="446" t="inlineStr">
        <is>
          <t>MID</t>
        </is>
      </c>
      <c r="C383" s="446" t="inlineStr">
        <is>
          <t>Templates</t>
        </is>
      </c>
      <c r="D383" s="446" t="inlineStr">
        <is>
          <t>Flutter scaled template</t>
        </is>
      </c>
      <c r="E383" s="446" t="inlineStr">
        <is>
          <t>Scaled Flutter structure with stronger feature/domain boundaries and approved native adapters.</t>
        </is>
      </c>
      <c r="F383" s="446" t="inlineStr">
        <is>
          <t>P1</t>
        </is>
      </c>
      <c r="G383" s="446" t="n"/>
      <c r="H383" s="446" t="inlineStr">
        <is>
          <t>Not Started</t>
        </is>
      </c>
      <c r="I383" s="451" t="n">
        <v>0</v>
      </c>
      <c r="J383" s="446" t="inlineStr">
        <is>
          <t>Flutter lean template</t>
        </is>
      </c>
      <c r="K383" s="446" t="n"/>
      <c r="L383" s="446" t="n"/>
      <c r="M383" s="446" t="inlineStr">
        <is>
          <t>Use only when complexity warrants.</t>
        </is>
      </c>
    </row>
    <row r="384">
      <c r="A384" s="445" t="inlineStr">
        <is>
          <t>R-142</t>
        </is>
      </c>
      <c r="B384" s="445" t="inlineStr">
        <is>
          <t>MVP</t>
        </is>
      </c>
      <c r="C384" s="445" t="inlineStr">
        <is>
          <t>Templates</t>
        </is>
      </c>
      <c r="D384" s="445" t="inlineStr">
        <is>
          <t>React Native TypeScript template</t>
        </is>
      </c>
      <c r="E384" s="445" t="inlineStr">
        <is>
          <t>Feature-first RN template with app/features/shared/design-system and explicit native module boundaries.</t>
        </is>
      </c>
      <c r="F384" s="445" t="inlineStr">
        <is>
          <t>P0</t>
        </is>
      </c>
      <c r="G384" s="445" t="n"/>
      <c r="H384" s="445" t="inlineStr">
        <is>
          <t>Not Started</t>
        </is>
      </c>
      <c r="I384" s="450" t="n">
        <v>0</v>
      </c>
      <c r="J384" s="445" t="inlineStr">
        <is>
          <t>Framework-specific repo templates</t>
        </is>
      </c>
      <c r="K384" s="445" t="n"/>
      <c r="L384" s="445" t="n"/>
      <c r="M384" s="445" t="inlineStr">
        <is>
          <t>Expo profile when capabilities fit.</t>
        </is>
      </c>
    </row>
    <row r="385">
      <c r="A385" s="446" t="inlineStr">
        <is>
          <t>R-143</t>
        </is>
      </c>
      <c r="B385" s="446" t="inlineStr">
        <is>
          <t>MVP</t>
        </is>
      </c>
      <c r="C385" s="446" t="inlineStr">
        <is>
          <t>Templates</t>
        </is>
      </c>
      <c r="D385" s="446" t="inlineStr">
        <is>
          <t>React Native shared TS packages</t>
        </is>
      </c>
      <c r="E385" s="446" t="inlineStr">
        <is>
          <t>Root contracts/validation/api-client packages reusable by RN and Next.js where runtime compatibility is safe.</t>
        </is>
      </c>
      <c r="F385" s="446" t="inlineStr">
        <is>
          <t>P1</t>
        </is>
      </c>
      <c r="G385" s="446" t="n"/>
      <c r="H385" s="446" t="inlineStr">
        <is>
          <t>Not Started</t>
        </is>
      </c>
      <c r="I385" s="451" t="n">
        <v>0</v>
      </c>
      <c r="J385" s="446" t="inlineStr">
        <is>
          <t>Shared contracts package</t>
        </is>
      </c>
      <c r="K385" s="446" t="n"/>
      <c r="L385" s="446" t="n"/>
      <c r="M385" s="446" t="inlineStr">
        <is>
          <t>Do not share UI blindly.</t>
        </is>
      </c>
    </row>
    <row r="386">
      <c r="A386" s="445" t="inlineStr">
        <is>
          <t>R-144</t>
        </is>
      </c>
      <c r="B386" s="445" t="inlineStr">
        <is>
          <t>MVP</t>
        </is>
      </c>
      <c r="C386" s="445" t="inlineStr">
        <is>
          <t>Templates</t>
        </is>
      </c>
      <c r="D386" s="445" t="inlineStr">
        <is>
          <t>Native Android lean template</t>
        </is>
      </c>
      <c r="E386" s="445" t="inlineStr">
        <is>
          <t>Kotlin/Compose template with thin app + core infrastructure and feature-first structure; avoid over-modularization.</t>
        </is>
      </c>
      <c r="F386" s="445" t="inlineStr">
        <is>
          <t>P0</t>
        </is>
      </c>
      <c r="G386" s="445" t="n"/>
      <c r="H386" s="445" t="inlineStr">
        <is>
          <t>Not Started</t>
        </is>
      </c>
      <c r="I386" s="450" t="n">
        <v>0</v>
      </c>
      <c r="J386" s="445" t="inlineStr">
        <is>
          <t>Native Android Agent</t>
        </is>
      </c>
      <c r="K386" s="445" t="n"/>
      <c r="L386" s="445" t="n"/>
      <c r="M386" s="445" t="inlineStr">
        <is>
          <t>Native selectable beta.</t>
        </is>
      </c>
    </row>
    <row r="387">
      <c r="A387" s="446" t="inlineStr">
        <is>
          <t>R-145</t>
        </is>
      </c>
      <c r="B387" s="446" t="inlineStr">
        <is>
          <t>MID</t>
        </is>
      </c>
      <c r="C387" s="446" t="inlineStr">
        <is>
          <t>Templates</t>
        </is>
      </c>
      <c r="D387" s="446" t="inlineStr">
        <is>
          <t>Native Android scaled modules</t>
        </is>
      </c>
      <c r="E387" s="446" t="inlineStr">
        <is>
          <t>Add core/designsystem/network/database/testing + feature modules + Gradle convention plugins/version catalog when scale justifies.</t>
        </is>
      </c>
      <c r="F387" s="446" t="inlineStr">
        <is>
          <t>P1</t>
        </is>
      </c>
      <c r="G387" s="446" t="n"/>
      <c r="H387" s="446" t="inlineStr">
        <is>
          <t>Not Started</t>
        </is>
      </c>
      <c r="I387" s="451" t="n">
        <v>0</v>
      </c>
      <c r="J387" s="446" t="inlineStr">
        <is>
          <t>Native Android lean template</t>
        </is>
      </c>
      <c r="K387" s="446" t="n"/>
      <c r="L387" s="446" t="n"/>
      <c r="M387" s="446" t="inlineStr">
        <is>
          <t>Experienced team structure.</t>
        </is>
      </c>
    </row>
    <row r="388">
      <c r="A388" s="445" t="inlineStr">
        <is>
          <t>R-146</t>
        </is>
      </c>
      <c r="B388" s="445" t="inlineStr">
        <is>
          <t>MVP</t>
        </is>
      </c>
      <c r="C388" s="445" t="inlineStr">
        <is>
          <t>Templates</t>
        </is>
      </c>
      <c r="D388" s="445" t="inlineStr">
        <is>
          <t>Native iOS lean template</t>
        </is>
      </c>
      <c r="E388" s="445" t="inlineStr">
        <is>
          <t>SwiftUI template with App/Core/Features/Tests, async-await, Keychain, DI composition roots.</t>
        </is>
      </c>
      <c r="F388" s="445" t="inlineStr">
        <is>
          <t>P0</t>
        </is>
      </c>
      <c r="G388" s="445" t="n"/>
      <c r="H388" s="445" t="inlineStr">
        <is>
          <t>Not Started</t>
        </is>
      </c>
      <c r="I388" s="450" t="n">
        <v>0</v>
      </c>
      <c r="J388" s="445" t="inlineStr">
        <is>
          <t>Native iOS Agent</t>
        </is>
      </c>
      <c r="K388" s="445" t="n"/>
      <c r="L388" s="445" t="n"/>
      <c r="M388" s="445" t="inlineStr">
        <is>
          <t>Native selectable beta.</t>
        </is>
      </c>
    </row>
    <row r="389">
      <c r="A389" s="446" t="inlineStr">
        <is>
          <t>R-147</t>
        </is>
      </c>
      <c r="B389" s="446" t="inlineStr">
        <is>
          <t>MID</t>
        </is>
      </c>
      <c r="C389" s="446" t="inlineStr">
        <is>
          <t>Templates</t>
        </is>
      </c>
      <c r="D389" s="446" t="inlineStr">
        <is>
          <t>Native iOS scaled Swift Packages</t>
        </is>
      </c>
      <c r="E389" s="446" t="inlineStr">
        <is>
          <t>Move stable cores/features to local Swift Packages when build/team size benefits.</t>
        </is>
      </c>
      <c r="F389" s="446" t="inlineStr">
        <is>
          <t>P1</t>
        </is>
      </c>
      <c r="G389" s="446" t="n"/>
      <c r="H389" s="446" t="inlineStr">
        <is>
          <t>Not Started</t>
        </is>
      </c>
      <c r="I389" s="451" t="n">
        <v>0</v>
      </c>
      <c r="J389" s="446" t="inlineStr">
        <is>
          <t>Native iOS lean template</t>
        </is>
      </c>
      <c r="K389" s="446" t="n"/>
      <c r="L389" s="446" t="n"/>
      <c r="M389" s="446" t="inlineStr">
        <is>
          <t>Do not force Tuist/XcodeGen in earliest template.</t>
        </is>
      </c>
    </row>
    <row r="390">
      <c r="A390" s="445" t="inlineStr">
        <is>
          <t>R-148</t>
        </is>
      </c>
      <c r="B390" s="445" t="inlineStr">
        <is>
          <t>MVP</t>
        </is>
      </c>
      <c r="C390" s="445" t="inlineStr">
        <is>
          <t>Templates</t>
        </is>
      </c>
      <c r="D390" s="445" t="inlineStr">
        <is>
          <t>Next.js public web template</t>
        </is>
      </c>
      <c r="E390" s="445" t="inlineStr">
        <is>
          <t>App Router, feature-first, server/client boundaries, SEO/accessibility/performance gates.</t>
        </is>
      </c>
      <c r="F390" s="445" t="inlineStr">
        <is>
          <t>P0</t>
        </is>
      </c>
      <c r="G390" s="445" t="n"/>
      <c r="H390" s="445" t="inlineStr">
        <is>
          <t>Not Started</t>
        </is>
      </c>
      <c r="I390" s="450" t="n">
        <v>0</v>
      </c>
      <c r="J390" s="445" t="inlineStr">
        <is>
          <t>Next.js web + admin default</t>
        </is>
      </c>
      <c r="K390" s="445" t="n"/>
      <c r="L390" s="445" t="n"/>
      <c r="M390" s="445" t="inlineStr">
        <is>
          <t>Web optimized independently.</t>
        </is>
      </c>
    </row>
    <row r="391">
      <c r="A391" s="446" t="inlineStr">
        <is>
          <t>R-149</t>
        </is>
      </c>
      <c r="B391" s="446" t="inlineStr">
        <is>
          <t>MVP</t>
        </is>
      </c>
      <c r="C391" s="446" t="inlineStr">
        <is>
          <t>Templates</t>
        </is>
      </c>
      <c r="D391" s="446" t="inlineStr">
        <is>
          <t>Next.js admin template</t>
        </is>
      </c>
      <c r="E391" s="446" t="inlineStr">
        <is>
          <t>Desktop-first modules, RBAC/ABAC, audit trail, data grids, filters, confirmations and async exports.</t>
        </is>
      </c>
      <c r="F391" s="446" t="inlineStr">
        <is>
          <t>P0</t>
        </is>
      </c>
      <c r="G391" s="446" t="n"/>
      <c r="H391" s="446" t="inlineStr">
        <is>
          <t>Not Started</t>
        </is>
      </c>
      <c r="I391" s="451" t="n">
        <v>0</v>
      </c>
      <c r="J391" s="446" t="inlineStr">
        <is>
          <t>Next.js web + admin default</t>
        </is>
      </c>
      <c r="K391" s="446" t="n"/>
      <c r="L391" s="446" t="n"/>
      <c r="M391" s="446" t="inlineStr">
        <is>
          <t>Never force admin onto Flutter/RN Web.</t>
        </is>
      </c>
    </row>
    <row r="392">
      <c r="A392" s="445" t="inlineStr">
        <is>
          <t>R-150</t>
        </is>
      </c>
      <c r="B392" s="445" t="inlineStr">
        <is>
          <t>MVP</t>
        </is>
      </c>
      <c r="C392" s="445" t="inlineStr">
        <is>
          <t>Templates</t>
        </is>
      </c>
      <c r="D392" s="445" t="inlineStr">
        <is>
          <t>Go backend standard template</t>
        </is>
      </c>
      <c r="E392" s="445" t="inlineStr">
        <is>
          <t>Domain/application/adapters structure, explicit transactions, idempotency, timeouts and observability.</t>
        </is>
      </c>
      <c r="F392" s="445" t="inlineStr">
        <is>
          <t>P0</t>
        </is>
      </c>
      <c r="G392" s="445" t="n"/>
      <c r="H392" s="445" t="inlineStr">
        <is>
          <t>Not Started</t>
        </is>
      </c>
      <c r="I392" s="450" t="n">
        <v>0</v>
      </c>
      <c r="J392" s="445" t="inlineStr">
        <is>
          <t>Backend Agent</t>
        </is>
      </c>
      <c r="K392" s="445" t="n"/>
      <c r="L392" s="445" t="n"/>
      <c r="M392" s="445" t="inlineStr">
        <is>
          <t>Default backend profile.</t>
        </is>
      </c>
    </row>
    <row r="393">
      <c r="A393" s="446" t="inlineStr">
        <is>
          <t>R-151</t>
        </is>
      </c>
      <c r="B393" s="446" t="inlineStr">
        <is>
          <t>MVP</t>
        </is>
      </c>
      <c r="C393" s="446" t="inlineStr">
        <is>
          <t>Templates</t>
        </is>
      </c>
      <c r="D393" s="446" t="inlineStr">
        <is>
          <t>Python backend standard template</t>
        </is>
      </c>
      <c r="E393" s="446" t="inlineStr">
        <is>
          <t>Typed domain/application/infrastructure structure; thin routes; migration and async discipline.</t>
        </is>
      </c>
      <c r="F393" s="446" t="inlineStr">
        <is>
          <t>P0</t>
        </is>
      </c>
      <c r="G393" s="446" t="n"/>
      <c r="H393" s="446" t="inlineStr">
        <is>
          <t>Not Started</t>
        </is>
      </c>
      <c r="I393" s="451" t="n">
        <v>0</v>
      </c>
      <c r="J393" s="446" t="inlineStr">
        <is>
          <t>Backend Agent</t>
        </is>
      </c>
      <c r="K393" s="446" t="n"/>
      <c r="L393" s="446" t="n"/>
      <c r="M393" s="446" t="inlineStr">
        <is>
          <t>Alternative default backend profile.</t>
        </is>
      </c>
    </row>
    <row r="394">
      <c r="A394" s="445" t="inlineStr">
        <is>
          <t>R-152</t>
        </is>
      </c>
      <c r="B394" s="445" t="inlineStr">
        <is>
          <t>MVP</t>
        </is>
      </c>
      <c r="C394" s="445" t="inlineStr">
        <is>
          <t>Contracts</t>
        </is>
      </c>
      <c r="D394" s="445" t="inlineStr">
        <is>
          <t>Generated client matrix</t>
        </is>
      </c>
      <c r="E394" s="445" t="inlineStr">
        <is>
          <t>Generate Dart, TypeScript, Kotlin and Swift API clients only for selected targets; generated code is deterministic and not hand-edited.</t>
        </is>
      </c>
      <c r="F394" s="445" t="inlineStr">
        <is>
          <t>P0</t>
        </is>
      </c>
      <c r="G394" s="445" t="n"/>
      <c r="H394" s="445" t="inlineStr">
        <is>
          <t>Not Started</t>
        </is>
      </c>
      <c r="I394" s="450" t="n">
        <v>0</v>
      </c>
      <c r="J394" s="445" t="inlineStr">
        <is>
          <t>Shared contracts package</t>
        </is>
      </c>
      <c r="K394" s="445" t="n"/>
      <c r="L394" s="445" t="n"/>
      <c r="M394" s="445" t="inlineStr">
        <is>
          <t>Contract-first consistency.</t>
        </is>
      </c>
    </row>
    <row r="395">
      <c r="A395" s="446" t="inlineStr">
        <is>
          <t>R-153</t>
        </is>
      </c>
      <c r="B395" s="446" t="inlineStr">
        <is>
          <t>MVP</t>
        </is>
      </c>
      <c r="C395" s="446" t="inlineStr">
        <is>
          <t>Templates</t>
        </is>
      </c>
      <c r="D395" s="446" t="inlineStr">
        <is>
          <t>Template manifest + maturity</t>
        </is>
      </c>
      <c r="E395" s="446" t="inlineStr">
        <is>
          <t>Every template has ID, version, maturity, supported platforms and mandatory checks.</t>
        </is>
      </c>
      <c r="F395" s="446" t="inlineStr">
        <is>
          <t>P0</t>
        </is>
      </c>
      <c r="G395" s="446" t="n"/>
      <c r="H395" s="446" t="inlineStr">
        <is>
          <t>Not Started</t>
        </is>
      </c>
      <c r="I395" s="451" t="n">
        <v>0</v>
      </c>
      <c r="J395" s="446" t="inlineStr">
        <is>
          <t>Framework-specific repo templates</t>
        </is>
      </c>
      <c r="K395" s="446" t="n"/>
      <c r="L395" s="446" t="n"/>
      <c r="M395" s="446" t="inlineStr">
        <is>
          <t>Stable/Beta/Experimental visible to user.</t>
        </is>
      </c>
    </row>
    <row r="396">
      <c r="A396" s="445" t="inlineStr">
        <is>
          <t>R-154</t>
        </is>
      </c>
      <c r="B396" s="445" t="inlineStr">
        <is>
          <t>MVP</t>
        </is>
      </c>
      <c r="C396" s="445" t="inlineStr">
        <is>
          <t>Dependencies</t>
        </is>
      </c>
      <c r="D396" s="445" t="inlineStr">
        <is>
          <t>Approved dependency catalog</t>
        </is>
      </c>
      <c r="E396" s="445" t="inlineStr">
        <is>
          <t>Dependency additions pass license/security/maintenance policy; lockfiles committed.</t>
        </is>
      </c>
      <c r="F396" s="445" t="inlineStr">
        <is>
          <t>P0</t>
        </is>
      </c>
      <c r="G396" s="445" t="n"/>
      <c r="H396" s="445" t="inlineStr">
        <is>
          <t>Not Started</t>
        </is>
      </c>
      <c r="I396" s="450" t="n">
        <v>0</v>
      </c>
      <c r="J396" s="445" t="inlineStr">
        <is>
          <t>Template manifest + maturity</t>
        </is>
      </c>
      <c r="K396" s="445" t="n"/>
      <c r="L396" s="445" t="n"/>
      <c r="M396" s="445" t="inlineStr">
        <is>
          <t>Prevents dependency explosion.</t>
        </is>
      </c>
    </row>
    <row r="397">
      <c r="A397" s="446" t="inlineStr">
        <is>
          <t>R-155</t>
        </is>
      </c>
      <c r="B397" s="446" t="inlineStr">
        <is>
          <t>MVP</t>
        </is>
      </c>
      <c r="C397" s="446" t="inlineStr">
        <is>
          <t>Platform Architecture</t>
        </is>
      </c>
      <c r="D397" s="446" t="inlineStr">
        <is>
          <t>Go control plane modular monolith</t>
        </is>
      </c>
      <c r="E397" s="446" t="inlineStr">
        <is>
          <t>Keep auth/org/workspace/project/jobs/Git/usage/audit/basic billing in one Go service initially.</t>
        </is>
      </c>
      <c r="F397" s="446" t="inlineStr">
        <is>
          <t>P0</t>
        </is>
      </c>
      <c r="G397" s="446" t="n"/>
      <c r="H397" s="446" t="inlineStr">
        <is>
          <t>Not Started</t>
        </is>
      </c>
      <c r="I397" s="451" t="n">
        <v>0</v>
      </c>
      <c r="J397" s="446" t="inlineStr">
        <is>
          <t>Platform modular monorepo</t>
        </is>
      </c>
      <c r="K397" s="446" t="n"/>
      <c r="L397" s="446" t="n"/>
      <c r="M397" s="446" t="inlineStr">
        <is>
          <t>Avoid premature microservices.</t>
        </is>
      </c>
    </row>
    <row r="398">
      <c r="A398" s="445" t="inlineStr">
        <is>
          <t>R-156</t>
        </is>
      </c>
      <c r="B398" s="445" t="inlineStr">
        <is>
          <t>MVP</t>
        </is>
      </c>
      <c r="C398" s="445" t="inlineStr">
        <is>
          <t>Platform Architecture</t>
        </is>
      </c>
      <c r="D398" s="445" t="inlineStr">
        <is>
          <t>Python agent engine boundary</t>
        </is>
      </c>
      <c r="E398" s="445" t="inlineStr">
        <is>
          <t>Planning, model gateway, context/RAG, tools and evals live in a separate Python service.</t>
        </is>
      </c>
      <c r="F398" s="445" t="inlineStr">
        <is>
          <t>P0</t>
        </is>
      </c>
      <c r="G398" s="445" t="n"/>
      <c r="H398" s="445" t="inlineStr">
        <is>
          <t>Not Started</t>
        </is>
      </c>
      <c r="I398" s="450" t="n">
        <v>0</v>
      </c>
      <c r="J398" s="445" t="inlineStr">
        <is>
          <t>Model gateway</t>
        </is>
      </c>
      <c r="K398" s="445" t="n"/>
      <c r="L398" s="445" t="n"/>
      <c r="M398" s="445" t="inlineStr">
        <is>
          <t>Different ecosystem/iteration cadence.</t>
        </is>
      </c>
    </row>
    <row r="399">
      <c r="A399" s="446" t="inlineStr">
        <is>
          <t>R-157</t>
        </is>
      </c>
      <c r="B399" s="446" t="inlineStr">
        <is>
          <t>MVP</t>
        </is>
      </c>
      <c r="C399" s="446" t="inlineStr">
        <is>
          <t>Platform Architecture</t>
        </is>
      </c>
      <c r="D399" s="446" t="inlineStr">
        <is>
          <t>Runner manager boundary</t>
        </is>
      </c>
      <c r="E399" s="446" t="inlineStr">
        <is>
          <t>Go service schedules Linux/Android/Web/macOS jobs with quotas, timeouts and isolation.</t>
        </is>
      </c>
      <c r="F399" s="446" t="inlineStr">
        <is>
          <t>P0</t>
        </is>
      </c>
      <c r="G399" s="446" t="n"/>
      <c r="H399" s="446" t="inlineStr">
        <is>
          <t>Not Started</t>
        </is>
      </c>
      <c r="I399" s="451" t="n">
        <v>0</v>
      </c>
      <c r="J399" s="446" t="inlineStr">
        <is>
          <t>Ephemeral Linux sandbox</t>
        </is>
      </c>
      <c r="K399" s="446" t="n"/>
      <c r="L399" s="446" t="n"/>
      <c r="M399" s="446" t="inlineStr">
        <is>
          <t>Central execution control.</t>
        </is>
      </c>
    </row>
    <row r="400">
      <c r="A400" s="445" t="inlineStr">
        <is>
          <t>R-158</t>
        </is>
      </c>
      <c r="B400" s="445" t="inlineStr">
        <is>
          <t>MVP</t>
        </is>
      </c>
      <c r="C400" s="445" t="inlineStr">
        <is>
          <t>CI/CD</t>
        </is>
      </c>
      <c r="D400" s="445" t="inlineStr">
        <is>
          <t>Unified PR pipeline</t>
        </is>
      </c>
      <c r="E400" s="445" t="inlineStr">
        <is>
          <t>IR/policy -&gt; lint -&gt; static -&gt; tests -&gt; contract -&gt; affected builds -&gt; security -&gt; E2E/visual -&gt; AI review.</t>
        </is>
      </c>
      <c r="F400" s="445" t="inlineStr">
        <is>
          <t>P0</t>
        </is>
      </c>
      <c r="G400" s="445" t="n"/>
      <c r="H400" s="445" t="inlineStr">
        <is>
          <t>Not Started</t>
        </is>
      </c>
      <c r="I400" s="450" t="n">
        <v>0</v>
      </c>
      <c r="J400" s="445" t="inlineStr">
        <is>
          <t>Atomic cross-platform change set</t>
        </is>
      </c>
      <c r="K400" s="445" t="n"/>
      <c r="L400" s="445" t="n"/>
      <c r="M400" s="445" t="inlineStr">
        <is>
          <t>Real iOS compile uses macOS.</t>
        </is>
      </c>
    </row>
    <row r="401">
      <c r="A401" s="446" t="inlineStr">
        <is>
          <t>R-159</t>
        </is>
      </c>
      <c r="B401" s="446" t="inlineStr">
        <is>
          <t>MVP</t>
        </is>
      </c>
      <c r="C401" s="446" t="inlineStr">
        <is>
          <t>CI/CD</t>
        </is>
      </c>
      <c r="D401" s="446" t="inlineStr">
        <is>
          <t>Immutable build promotion</t>
        </is>
      </c>
      <c r="E401" s="446" t="inlineStr">
        <is>
          <t>Build artifact once after merge and promote through preview/staging/production instead of rebuilding per environment.</t>
        </is>
      </c>
      <c r="F401" s="446" t="inlineStr">
        <is>
          <t>P1</t>
        </is>
      </c>
      <c r="G401" s="446" t="n"/>
      <c r="H401" s="446" t="inlineStr">
        <is>
          <t>Not Started</t>
        </is>
      </c>
      <c r="I401" s="451" t="n">
        <v>0</v>
      </c>
      <c r="J401" s="446" t="inlineStr">
        <is>
          <t>Deployment Agent</t>
        </is>
      </c>
      <c r="K401" s="446" t="n"/>
      <c r="L401" s="446" t="n"/>
      <c r="M401" s="446" t="inlineStr">
        <is>
          <t>Reduces preview/production mismatch.</t>
        </is>
      </c>
    </row>
    <row r="402">
      <c r="A402" s="445" t="inlineStr">
        <is>
          <t>R-160</t>
        </is>
      </c>
      <c r="B402" s="445" t="inlineStr">
        <is>
          <t>MID</t>
        </is>
      </c>
      <c r="C402" s="445" t="inlineStr">
        <is>
          <t>Developer Experience</t>
        </is>
      </c>
      <c r="D402" s="445" t="inlineStr">
        <is>
          <t>Framework upgrade workflow</t>
        </is>
      </c>
      <c r="E402" s="445" t="inlineStr">
        <is>
          <t>Controlled template upgrade task with compatibility tests and ADR; agents cannot randomly switch state/DI/navigation/networking frameworks.</t>
        </is>
      </c>
      <c r="F402" s="445" t="inlineStr">
        <is>
          <t>P1</t>
        </is>
      </c>
      <c r="G402" s="445" t="n"/>
      <c r="H402" s="445" t="inlineStr">
        <is>
          <t>Not Started</t>
        </is>
      </c>
      <c r="I402" s="450" t="n">
        <v>0</v>
      </c>
      <c r="J402" s="445" t="inlineStr">
        <is>
          <t>Template manifest + maturity</t>
        </is>
      </c>
      <c r="K402" s="445" t="n"/>
      <c r="L402" s="445" t="n"/>
      <c r="M402" s="445" t="n"/>
    </row>
    <row r="403">
      <c r="A403" s="446" t="inlineStr">
        <is>
          <t>R-161</t>
        </is>
      </c>
      <c r="B403" s="446" t="inlineStr">
        <is>
          <t>MID</t>
        </is>
      </c>
      <c r="C403" s="446" t="inlineStr">
        <is>
          <t>Preview</t>
        </is>
      </c>
      <c r="D403" s="446" t="inlineStr">
        <is>
          <t>Local Mac Agent productized</t>
        </is>
      </c>
      <c r="E403" s="446" t="inlineStr">
        <is>
          <t>Optional signed Mac helper runs Xcode/simulator locally after explicit user permission; cloud Mac remains available.</t>
        </is>
      </c>
      <c r="F403" s="446" t="inlineStr">
        <is>
          <t>P1</t>
        </is>
      </c>
      <c r="G403" s="446" t="n"/>
      <c r="H403" s="446" t="inlineStr">
        <is>
          <t>Not Started</t>
        </is>
      </c>
      <c r="I403" s="451" t="n">
        <v>0</v>
      </c>
      <c r="J403" s="446" t="inlineStr">
        <is>
          <t>Local Mac Agent</t>
        </is>
      </c>
      <c r="K403" s="446" t="n"/>
      <c r="L403" s="446" t="n"/>
      <c r="M403" s="446" t="inlineStr">
        <is>
          <t>Reduces cloud Mac cost.</t>
        </is>
      </c>
    </row>
    <row r="404">
      <c r="A404" s="445" t="inlineStr">
        <is>
          <t>R-162</t>
        </is>
      </c>
      <c r="B404" s="445" t="inlineStr">
        <is>
          <t>MID</t>
        </is>
      </c>
      <c r="C404" s="445" t="inlineStr">
        <is>
          <t>Preview</t>
        </is>
      </c>
      <c r="D404" s="445" t="inlineStr">
        <is>
          <t>Interactive cloud simulator metering</t>
        </is>
      </c>
      <c r="E404" s="445" t="inlineStr">
        <is>
          <t>Cloud native iOS simulator sessions are explicit premium compute; browser preview stays included.</t>
        </is>
      </c>
      <c r="F404" s="445" t="inlineStr">
        <is>
          <t>P1</t>
        </is>
      </c>
      <c r="G404" s="445" t="n"/>
      <c r="H404" s="445" t="inlineStr">
        <is>
          <t>Not Started</t>
        </is>
      </c>
      <c r="I404" s="450" t="n">
        <v>0</v>
      </c>
      <c r="J404" s="445" t="inlineStr">
        <is>
          <t>Real iOS Simulator</t>
        </is>
      </c>
      <c r="K404" s="445" t="n"/>
      <c r="L404" s="445" t="n"/>
      <c r="M404" s="445" t="inlineStr">
        <is>
          <t>Separate verification build cost from interactive session cost.</t>
        </is>
      </c>
    </row>
    <row r="405">
      <c r="A405" s="446" t="inlineStr">
        <is>
          <t>R-163</t>
        </is>
      </c>
      <c r="B405" s="446" t="inlineStr">
        <is>
          <t>MID</t>
        </is>
      </c>
      <c r="C405" s="446" t="inlineStr">
        <is>
          <t>Framework Strategy</t>
        </is>
      </c>
      <c r="D405" s="446" t="inlineStr">
        <is>
          <t>Native module adapter path</t>
        </is>
      </c>
      <c r="E405" s="446" t="inlineStr">
        <is>
          <t>Before full migration, allow an approved small native module/plugin when one capability exceeds Flutter/RN limits.</t>
        </is>
      </c>
      <c r="F405" s="446" t="inlineStr">
        <is>
          <t>P1</t>
        </is>
      </c>
      <c r="G405" s="446" t="n"/>
      <c r="H405" s="446" t="inlineStr">
        <is>
          <t>Not Started</t>
        </is>
      </c>
      <c r="I405" s="451" t="n">
        <v>0</v>
      </c>
      <c r="J405" s="446" t="inlineStr">
        <is>
          <t>Framework adapter contract</t>
        </is>
      </c>
      <c r="K405" s="446" t="n"/>
      <c r="L405" s="446" t="n"/>
      <c r="M405" s="446" t="inlineStr">
        <is>
          <t>Measure before rewrite.</t>
        </is>
      </c>
    </row>
    <row r="406">
      <c r="A406" s="445" t="inlineStr">
        <is>
          <t>R-164</t>
        </is>
      </c>
      <c r="B406" s="445" t="inlineStr">
        <is>
          <t>MID</t>
        </is>
      </c>
      <c r="C406" s="445" t="inlineStr">
        <is>
          <t>Analytics</t>
        </is>
      </c>
      <c r="D406" s="445" t="inlineStr">
        <is>
          <t>Template/repo health dashboard</t>
        </is>
      </c>
      <c r="E406" s="445" t="inlineStr">
        <is>
          <t>Track template version, dependency drift, build duration, cache hit, repo size, module growth and native bridge count.</t>
        </is>
      </c>
      <c r="F406" s="445" t="inlineStr">
        <is>
          <t>P1</t>
        </is>
      </c>
      <c r="G406" s="445" t="n"/>
      <c r="H406" s="445" t="inlineStr">
        <is>
          <t>Not Started</t>
        </is>
      </c>
      <c r="I406" s="450" t="n">
        <v>0</v>
      </c>
      <c r="J406" s="445" t="inlineStr">
        <is>
          <t>Repository/build health metrics</t>
        </is>
      </c>
      <c r="K406" s="445" t="n"/>
      <c r="L406" s="445" t="n"/>
      <c r="M406" s="445" t="inlineStr">
        <is>
          <t>Use data to trigger architecture review.</t>
        </is>
      </c>
    </row>
    <row r="407">
      <c r="A407" s="482" t="inlineStr">
        <is>
          <t>R-165</t>
        </is>
      </c>
      <c r="B407" s="482" t="inlineStr">
        <is>
          <t>ADVANCED</t>
        </is>
      </c>
      <c r="C407" s="482" t="inlineStr">
        <is>
          <t>Migration</t>
        </is>
      </c>
      <c r="D407" s="482" t="inlineStr">
        <is>
          <t>Cross-platform to native migration engine</t>
        </is>
      </c>
      <c r="E407" s="482" t="inlineStr">
        <is>
          <t>Generate parallel native target from IR/contracts, parity-test it and migrate gradually when measured constraints justify.</t>
        </is>
      </c>
      <c r="F407" s="482" t="inlineStr">
        <is>
          <t>P1</t>
        </is>
      </c>
      <c r="G407" s="482" t="n"/>
      <c r="H407" s="482" t="inlineStr">
        <is>
          <t>Not Started</t>
        </is>
      </c>
      <c r="I407" s="483" t="n">
        <v>0</v>
      </c>
      <c r="J407" s="482" t="inlineStr">
        <is>
          <t>Native module adapter path</t>
        </is>
      </c>
      <c r="K407" s="482" t="n"/>
      <c r="L407" s="482" t="n"/>
      <c r="M407" s="482" t="inlineStr">
        <is>
          <t>Prevents framework lock-in.</t>
        </is>
      </c>
    </row>
    <row r="408">
      <c r="A408" s="482" t="inlineStr">
        <is>
          <t>R-166</t>
        </is>
      </c>
      <c r="B408" s="482" t="inlineStr">
        <is>
          <t>ADVANCED</t>
        </is>
      </c>
      <c r="C408" s="482" t="inlineStr">
        <is>
          <t>Git/Repository</t>
        </is>
      </c>
      <c r="D408" s="482" t="inlineStr">
        <is>
          <t>Cross-repo task coordinator</t>
        </is>
      </c>
      <c r="E408" s="482" t="inlineStr">
        <is>
          <t>For enterprise multi-repo, produce linked branches/PRs with shared task ID, contract version and merge ordering.</t>
        </is>
      </c>
      <c r="F408" s="482" t="inlineStr">
        <is>
          <t>P2</t>
        </is>
      </c>
      <c r="G408" s="482" t="n"/>
      <c r="H408" s="482" t="inlineStr">
        <is>
          <t>Not Started</t>
        </is>
      </c>
      <c r="I408" s="483" t="n">
        <v>0</v>
      </c>
      <c r="J408" s="482" t="inlineStr">
        <is>
          <t>Enterprise multi-repo support</t>
        </is>
      </c>
      <c r="K408" s="482" t="n"/>
      <c r="L408" s="482" t="n"/>
      <c r="M408" s="482" t="n"/>
    </row>
    <row r="409">
      <c r="A409" s="482" t="inlineStr">
        <is>
          <t>R-167</t>
        </is>
      </c>
      <c r="B409" s="482" t="inlineStr">
        <is>
          <t>ADVANCED</t>
        </is>
      </c>
      <c r="C409" s="482" t="inlineStr">
        <is>
          <t>Infrastructure</t>
        </is>
      </c>
      <c r="D409" s="482" t="inlineStr">
        <is>
          <t>BYOC / private runners</t>
        </is>
      </c>
      <c r="E409" s="482" t="inlineStr">
        <is>
          <t>Allow enterprise customers to execute builds/agents in approved customer cloud/VPC while platform keeps orchestration.</t>
        </is>
      </c>
      <c r="F409" s="482" t="inlineStr">
        <is>
          <t>P2</t>
        </is>
      </c>
      <c r="G409" s="482" t="n"/>
      <c r="H409" s="482" t="inlineStr">
        <is>
          <t>Not Started</t>
        </is>
      </c>
      <c r="I409" s="483" t="n">
        <v>0</v>
      </c>
      <c r="J409" s="482" t="inlineStr">
        <is>
          <t>Enterprise workload isolation</t>
        </is>
      </c>
      <c r="K409" s="482" t="n"/>
      <c r="L409" s="482" t="n"/>
      <c r="M409" s="482" t="n"/>
    </row>
    <row r="410">
      <c r="A410" s="482" t="inlineStr">
        <is>
          <t>R-168</t>
        </is>
      </c>
      <c r="B410" s="482" t="inlineStr">
        <is>
          <t>ADVANCED</t>
        </is>
      </c>
      <c r="C410" s="482" t="inlineStr">
        <is>
          <t>Testing</t>
        </is>
      </c>
      <c r="D410" s="482" t="inlineStr">
        <is>
          <t>Physical device cloud integration</t>
        </is>
      </c>
      <c r="E410" s="482" t="inlineStr">
        <is>
          <t>Run selected releases/tests on real iPhone/Android devices after emulator/simulator gates.</t>
        </is>
      </c>
      <c r="F410" s="482" t="inlineStr">
        <is>
          <t>P2</t>
        </is>
      </c>
      <c r="G410" s="482" t="n"/>
      <c r="H410" s="482" t="inlineStr">
        <is>
          <t>Not Started</t>
        </is>
      </c>
      <c r="I410" s="483" t="n">
        <v>0</v>
      </c>
      <c r="J410" s="482" t="inlineStr">
        <is>
          <t>Real iOS Simulator</t>
        </is>
      </c>
      <c r="K410" s="482" t="n"/>
      <c r="L410" s="482" t="n"/>
      <c r="M410" s="482" t="n"/>
    </row>
    <row r="411">
      <c r="A411" s="482" t="inlineStr">
        <is>
          <t>R-169</t>
        </is>
      </c>
      <c r="B411" s="482" t="inlineStr">
        <is>
          <t>PRODUCTION</t>
        </is>
      </c>
      <c r="C411" s="482" t="inlineStr">
        <is>
          <t>Templates</t>
        </is>
      </c>
      <c r="D411" s="482" t="inlineStr">
        <is>
          <t>Template support lifecycle</t>
        </is>
      </c>
      <c r="E411" s="482" t="inlineStr">
        <is>
          <t>Publish supported template versions, security patch policy, upgrade windows and deprecation/migration rules.</t>
        </is>
      </c>
      <c r="F411" s="482" t="inlineStr">
        <is>
          <t>P1</t>
        </is>
      </c>
      <c r="G411" s="482" t="n"/>
      <c r="H411" s="482" t="inlineStr">
        <is>
          <t>Not Started</t>
        </is>
      </c>
      <c r="I411" s="483" t="n">
        <v>0</v>
      </c>
      <c r="J411" s="482" t="inlineStr">
        <is>
          <t>Framework upgrade workflow</t>
        </is>
      </c>
      <c r="K411" s="482" t="n"/>
      <c r="L411" s="482" t="n"/>
      <c r="M411" s="482" t="n"/>
    </row>
    <row r="412">
      <c r="A412" s="482" t="inlineStr">
        <is>
          <t>R-170</t>
        </is>
      </c>
      <c r="B412" s="482" t="inlineStr">
        <is>
          <t>PRODUCTION</t>
        </is>
      </c>
      <c r="C412" s="482" t="inlineStr">
        <is>
          <t>Reliability</t>
        </is>
      </c>
      <c r="D412" s="482" t="inlineStr">
        <is>
          <t>Framework/toolchain production SLO</t>
        </is>
      </c>
      <c r="E412" s="482" t="inlineStr">
        <is>
          <t>Track build success and regression by Flutter/RN/Android/iOS/Web/backend template and block bad template releases.</t>
        </is>
      </c>
      <c r="F412" s="482" t="inlineStr">
        <is>
          <t>P0</t>
        </is>
      </c>
      <c r="G412" s="482" t="n"/>
      <c r="H412" s="482" t="inlineStr">
        <is>
          <t>Not Started</t>
        </is>
      </c>
      <c r="I412" s="483" t="n">
        <v>0</v>
      </c>
      <c r="J412" s="482" t="inlineStr">
        <is>
          <t>Template/repo health dashboard</t>
        </is>
      </c>
      <c r="K412" s="482" t="n"/>
      <c r="L412" s="482" t="n"/>
      <c r="M412" s="482" t="inlineStr">
        <is>
          <t>Production readiness is measured, not assumed.</t>
        </is>
      </c>
    </row>
    <row r="413">
      <c r="A413" s="482" t="inlineStr">
        <is>
          <t>R-171</t>
        </is>
      </c>
      <c r="B413" s="482" t="inlineStr">
        <is>
          <t>MVP</t>
        </is>
      </c>
      <c r="C413" s="482" t="inlineStr">
        <is>
          <t>Runtime</t>
        </is>
      </c>
      <c r="D413" s="482" t="inlineStr">
        <is>
          <t>SandboxProvider abstraction</t>
        </is>
      </c>
      <c r="E413" s="482" t="inlineStr">
        <is>
          <t>Define platform-owned execution interface for create/exec/files/ports/snapshot/artifacts/terminate.</t>
        </is>
      </c>
      <c r="F413" s="482" t="inlineStr">
        <is>
          <t>P0</t>
        </is>
      </c>
      <c r="G413" s="482" t="n"/>
      <c r="H413" s="482" t="inlineStr">
        <is>
          <t>Not Started</t>
        </is>
      </c>
      <c r="I413" s="483" t="n">
        <v>0</v>
      </c>
      <c r="J413" s="482" t="inlineStr">
        <is>
          <t>Ephemeral Linux sandbox</t>
        </is>
      </c>
      <c r="K413" s="482" t="n"/>
      <c r="L413" s="482" t="n"/>
      <c r="M413" s="482" t="inlineStr">
        <is>
          <t>No agent-to-vendor SDK coupling.</t>
        </is>
      </c>
    </row>
    <row r="414">
      <c r="A414" s="482" t="inlineStr">
        <is>
          <t>R-172</t>
        </is>
      </c>
      <c r="B414" s="482" t="inlineStr">
        <is>
          <t>MVP</t>
        </is>
      </c>
      <c r="C414" s="482" t="inlineStr">
        <is>
          <t>Runtime</t>
        </is>
      </c>
      <c r="D414" s="482" t="inlineStr">
        <is>
          <t>Managed Linux sandbox adapter</t>
        </is>
      </c>
      <c r="E414" s="482" t="inlineStr">
        <is>
          <t>Implement first real Linux sandbox provider behind SandboxProvider.</t>
        </is>
      </c>
      <c r="F414" s="482" t="inlineStr">
        <is>
          <t>P0</t>
        </is>
      </c>
      <c r="G414" s="482" t="n"/>
      <c r="H414" s="482" t="inlineStr">
        <is>
          <t>Not Started</t>
        </is>
      </c>
      <c r="I414" s="483" t="n">
        <v>0</v>
      </c>
      <c r="J414" s="482" t="inlineStr">
        <is>
          <t>SandboxProvider abstraction</t>
        </is>
      </c>
      <c r="K414" s="482" t="n"/>
      <c r="L414" s="482" t="n"/>
      <c r="M414" s="482" t="inlineStr">
        <is>
          <t>Benchmark E2B/Daytona/equivalent.</t>
        </is>
      </c>
    </row>
    <row r="415">
      <c r="A415" s="482" t="inlineStr">
        <is>
          <t>R-173</t>
        </is>
      </c>
      <c r="B415" s="482" t="inlineStr">
        <is>
          <t>MVP</t>
        </is>
      </c>
      <c r="C415" s="482" t="inlineStr">
        <is>
          <t>Runtime</t>
        </is>
      </c>
      <c r="D415" s="482" t="inlineStr">
        <is>
          <t>Capability resolver</t>
        </is>
      </c>
      <c r="E415" s="482" t="inlineStr">
        <is>
          <t>Choose Browser/Linux/macOS/local runtime from task capability, trust and cost.</t>
        </is>
      </c>
      <c r="F415" s="482" t="inlineStr">
        <is>
          <t>P0</t>
        </is>
      </c>
      <c r="G415" s="482" t="n"/>
      <c r="H415" s="482" t="inlineStr">
        <is>
          <t>Not Started</t>
        </is>
      </c>
      <c r="I415" s="483" t="n">
        <v>0</v>
      </c>
      <c r="J415" s="482" t="inlineStr">
        <is>
          <t>SandboxProvider abstraction</t>
        </is>
      </c>
      <c r="K415" s="482" t="n"/>
      <c r="L415" s="482" t="n"/>
      <c r="M415" s="482" t="inlineStr">
        <is>
          <t>Cheapest safe runtime wins.</t>
        </is>
      </c>
    </row>
    <row r="416">
      <c r="A416" s="482" t="inlineStr">
        <is>
          <t>R-174</t>
        </is>
      </c>
      <c r="B416" s="482" t="inlineStr">
        <is>
          <t>MVP</t>
        </is>
      </c>
      <c r="C416" s="482" t="inlineStr">
        <is>
          <t>Runtime</t>
        </is>
      </c>
      <c r="D416" s="482" t="inlineStr">
        <is>
          <t>Browser runtime PoC</t>
        </is>
      </c>
      <c r="E416" s="482" t="inlineStr">
        <is>
          <t>Use WebContainer/WASM-style runtime only for eligible JS/TS/Node preview/tasks.</t>
        </is>
      </c>
      <c r="F416" s="482" t="inlineStr">
        <is>
          <t>P1</t>
        </is>
      </c>
      <c r="G416" s="482" t="n"/>
      <c r="H416" s="482" t="inlineStr">
        <is>
          <t>Not Started</t>
        </is>
      </c>
      <c r="I416" s="483" t="n">
        <v>0</v>
      </c>
      <c r="J416" s="482" t="inlineStr">
        <is>
          <t>Capability resolver</t>
        </is>
      </c>
      <c r="K416" s="482" t="n"/>
      <c r="L416" s="482" t="n"/>
      <c r="M416" s="482" t="inlineStr">
        <is>
          <t>Not universal sandbox.</t>
        </is>
      </c>
    </row>
    <row r="417">
      <c r="A417" s="482" t="inlineStr">
        <is>
          <t>R-175</t>
        </is>
      </c>
      <c r="B417" s="482" t="inlineStr">
        <is>
          <t>MVP</t>
        </is>
      </c>
      <c r="C417" s="482" t="inlineStr">
        <is>
          <t>Runtime</t>
        </is>
      </c>
      <c r="D417" s="482" t="inlineStr">
        <is>
          <t>Runtime quotas and metering</t>
        </is>
      </c>
      <c r="E417" s="482" t="inlineStr">
        <is>
          <t>CPU/RAM/disk/network/time/cost limits per workspace and task.</t>
        </is>
      </c>
      <c r="F417" s="482" t="inlineStr">
        <is>
          <t>P0</t>
        </is>
      </c>
      <c r="G417" s="482" t="n"/>
      <c r="H417" s="482" t="inlineStr">
        <is>
          <t>Not Started</t>
        </is>
      </c>
      <c r="I417" s="483" t="n">
        <v>0</v>
      </c>
      <c r="J417" s="482" t="inlineStr">
        <is>
          <t>Managed Linux sandbox adapter</t>
        </is>
      </c>
      <c r="K417" s="482" t="n"/>
      <c r="L417" s="482" t="n"/>
      <c r="M417" s="482" t="inlineStr">
        <is>
          <t>Required for cost and abuse control.</t>
        </is>
      </c>
    </row>
    <row r="418">
      <c r="A418" s="482" t="inlineStr">
        <is>
          <t>R-176</t>
        </is>
      </c>
      <c r="B418" s="482" t="inlineStr">
        <is>
          <t>MVP</t>
        </is>
      </c>
      <c r="C418" s="482" t="inlineStr">
        <is>
          <t>Agents</t>
        </is>
      </c>
      <c r="D418" s="482" t="inlineStr">
        <is>
          <t>Durable run state machine</t>
        </is>
      </c>
      <c r="E418" s="482" t="inlineStr">
        <is>
          <t>Persist task lifecycle from CREATED through planning/execution/verification/merge/deploy.</t>
        </is>
      </c>
      <c r="F418" s="482" t="inlineStr">
        <is>
          <t>P0</t>
        </is>
      </c>
      <c r="G418" s="482" t="n"/>
      <c r="H418" s="482" t="inlineStr">
        <is>
          <t>Not Started</t>
        </is>
      </c>
      <c r="I418" s="483" t="n">
        <v>0</v>
      </c>
      <c r="J418" s="482" t="inlineStr">
        <is>
          <t>Supervisor / orchestrator</t>
        </is>
      </c>
      <c r="K418" s="482" t="n"/>
      <c r="L418" s="482" t="n"/>
      <c r="M418" s="482" t="inlineStr">
        <is>
          <t>Platform-owned state schema.</t>
        </is>
      </c>
    </row>
    <row r="419">
      <c r="A419" s="482" t="inlineStr">
        <is>
          <t>R-177</t>
        </is>
      </c>
      <c r="B419" s="482" t="inlineStr">
        <is>
          <t>MVP</t>
        </is>
      </c>
      <c r="C419" s="482" t="inlineStr">
        <is>
          <t>Agents</t>
        </is>
      </c>
      <c r="D419" s="482" t="inlineStr">
        <is>
          <t>Checkpoint and resume</t>
        </is>
      </c>
      <c r="E419" s="482" t="inlineStr">
        <is>
          <t>Resume long tasks from last verified checkpoint after refresh/crash/provider failure.</t>
        </is>
      </c>
      <c r="F419" s="482" t="inlineStr">
        <is>
          <t>P0</t>
        </is>
      </c>
      <c r="G419" s="482" t="n"/>
      <c r="H419" s="482" t="inlineStr">
        <is>
          <t>Not Started</t>
        </is>
      </c>
      <c r="I419" s="483" t="n">
        <v>0</v>
      </c>
      <c r="J419" s="482" t="inlineStr">
        <is>
          <t>Durable run state machine</t>
        </is>
      </c>
      <c r="K419" s="482" t="n"/>
      <c r="L419" s="482" t="n"/>
      <c r="M419" s="482" t="inlineStr">
        <is>
          <t>No full restart by default.</t>
        </is>
      </c>
    </row>
    <row r="420">
      <c r="A420" s="482" t="inlineStr">
        <is>
          <t>R-178</t>
        </is>
      </c>
      <c r="B420" s="482" t="inlineStr">
        <is>
          <t>MVP</t>
        </is>
      </c>
      <c r="C420" s="482" t="inlineStr">
        <is>
          <t>Agents</t>
        </is>
      </c>
      <c r="D420" s="482" t="inlineStr">
        <is>
          <t>Tool idempotency keys</t>
        </is>
      </c>
      <c r="E420" s="482" t="inlineStr">
        <is>
          <t>Every side-effecting tool step carries run/task/step IDs and idempotency key.</t>
        </is>
      </c>
      <c r="F420" s="482" t="inlineStr">
        <is>
          <t>P0</t>
        </is>
      </c>
      <c r="G420" s="482" t="n"/>
      <c r="H420" s="482" t="inlineStr">
        <is>
          <t>Not Started</t>
        </is>
      </c>
      <c r="I420" s="483" t="n">
        <v>0</v>
      </c>
      <c r="J420" s="482" t="inlineStr">
        <is>
          <t>Checkpoint and resume</t>
        </is>
      </c>
      <c r="K420" s="482" t="n"/>
      <c r="L420" s="482" t="n"/>
      <c r="M420" s="482" t="inlineStr">
        <is>
          <t>Prevent duplicate side effects.</t>
        </is>
      </c>
    </row>
    <row r="421">
      <c r="A421" s="482" t="inlineStr">
        <is>
          <t>R-179</t>
        </is>
      </c>
      <c r="B421" s="482" t="inlineStr">
        <is>
          <t>MVP</t>
        </is>
      </c>
      <c r="C421" s="482" t="inlineStr">
        <is>
          <t>Observability</t>
        </is>
      </c>
      <c r="D421" s="482" t="inlineStr">
        <is>
          <t>Agent event ledger</t>
        </is>
      </c>
      <c r="E421" s="482" t="inlineStr">
        <is>
          <t>Persist ordered agent/tool/build/test/approval events; large artifacts in object storage.</t>
        </is>
      </c>
      <c r="F421" s="482" t="inlineStr">
        <is>
          <t>P0</t>
        </is>
      </c>
      <c r="G421" s="482" t="n"/>
      <c r="H421" s="482" t="inlineStr">
        <is>
          <t>Not Started</t>
        </is>
      </c>
      <c r="I421" s="483" t="n">
        <v>0</v>
      </c>
      <c r="J421" s="482" t="inlineStr">
        <is>
          <t>Durable run state machine</t>
        </is>
      </c>
      <c r="K421" s="482" t="n"/>
      <c r="L421" s="482" t="n"/>
      <c r="M421" s="482" t="inlineStr">
        <is>
          <t>Supports replay, audit and debugging.</t>
        </is>
      </c>
    </row>
    <row r="422">
      <c r="A422" s="482" t="inlineStr">
        <is>
          <t>R-180</t>
        </is>
      </c>
      <c r="B422" s="482" t="inlineStr">
        <is>
          <t>MVP</t>
        </is>
      </c>
      <c r="C422" s="482" t="inlineStr">
        <is>
          <t>Agents</t>
        </is>
      </c>
      <c r="D422" s="482" t="inlineStr">
        <is>
          <t>Orchestrator Adapter</t>
        </is>
      </c>
      <c r="E422" s="482" t="inlineStr">
        <is>
          <t>Hide LangGraph/CrewAI/other orchestration frameworks behind platform-owned interface.</t>
        </is>
      </c>
      <c r="F422" s="482" t="inlineStr">
        <is>
          <t>P0</t>
        </is>
      </c>
      <c r="G422" s="482" t="n"/>
      <c r="H422" s="482" t="inlineStr">
        <is>
          <t>Not Started</t>
        </is>
      </c>
      <c r="I422" s="483" t="n">
        <v>0</v>
      </c>
      <c r="J422" s="482" t="inlineStr">
        <is>
          <t>Durable run state machine</t>
        </is>
      </c>
      <c r="K422" s="482" t="n"/>
      <c r="L422" s="482" t="n"/>
      <c r="M422" s="482" t="inlineStr">
        <is>
          <t>LangGraph may be first implementation.</t>
        </is>
      </c>
    </row>
    <row r="423">
      <c r="A423" s="482" t="inlineStr">
        <is>
          <t>R-181</t>
        </is>
      </c>
      <c r="B423" s="482" t="inlineStr">
        <is>
          <t>MVP</t>
        </is>
      </c>
      <c r="C423" s="482" t="inlineStr">
        <is>
          <t>Realtime</t>
        </is>
      </c>
      <c r="D423" s="482" t="inlineStr">
        <is>
          <t>Platform event protocol</t>
        </is>
      </c>
      <c r="E423" s="482" t="inlineStr">
        <is>
          <t>Normalize agent/model/tool progress into a stable event envelope.</t>
        </is>
      </c>
      <c r="F423" s="482" t="inlineStr">
        <is>
          <t>P0</t>
        </is>
      </c>
      <c r="G423" s="482" t="n"/>
      <c r="H423" s="482" t="inlineStr">
        <is>
          <t>Not Started</t>
        </is>
      </c>
      <c r="I423" s="483" t="n">
        <v>0</v>
      </c>
      <c r="J423" s="482" t="inlineStr">
        <is>
          <t>Agent event ledger</t>
        </is>
      </c>
      <c r="K423" s="482" t="n"/>
      <c r="L423" s="482" t="n"/>
      <c r="M423" s="482" t="inlineStr">
        <is>
          <t>Frontend never parses provider-specific streams.</t>
        </is>
      </c>
    </row>
    <row r="424">
      <c r="A424" s="482" t="inlineStr">
        <is>
          <t>R-182</t>
        </is>
      </c>
      <c r="B424" s="482" t="inlineStr">
        <is>
          <t>MVP</t>
        </is>
      </c>
      <c r="C424" s="482" t="inlineStr">
        <is>
          <t>Realtime</t>
        </is>
      </c>
      <c r="D424" s="482" t="inlineStr">
        <is>
          <t>WebSocket reconnect and replay</t>
        </is>
      </c>
      <c r="E424" s="482" t="inlineStr">
        <is>
          <t>Bidirectional agent sessions with sequence replay after reconnect.</t>
        </is>
      </c>
      <c r="F424" s="482" t="inlineStr">
        <is>
          <t>P0</t>
        </is>
      </c>
      <c r="G424" s="482" t="n"/>
      <c r="H424" s="482" t="inlineStr">
        <is>
          <t>Not Started</t>
        </is>
      </c>
      <c r="I424" s="483" t="n">
        <v>0</v>
      </c>
      <c r="J424" s="482" t="inlineStr">
        <is>
          <t>Platform event protocol</t>
        </is>
      </c>
      <c r="K424" s="482" t="n"/>
      <c r="L424" s="482" t="n"/>
      <c r="M424" s="482" t="inlineStr">
        <is>
          <t>SSE allowed for simple one-way streams.</t>
        </is>
      </c>
    </row>
    <row r="425">
      <c r="A425" s="482" t="inlineStr">
        <is>
          <t>R-183</t>
        </is>
      </c>
      <c r="B425" s="482" t="inlineStr">
        <is>
          <t>MVP</t>
        </is>
      </c>
      <c r="C425" s="482" t="inlineStr">
        <is>
          <t>Approvals</t>
        </is>
      </c>
      <c r="D425" s="482" t="inlineStr">
        <is>
          <t>Risk classification L0-L4</t>
        </is>
      </c>
      <c r="E425" s="482" t="inlineStr">
        <is>
          <t>Classify actions from read-only to critical enterprise side effects.</t>
        </is>
      </c>
      <c r="F425" s="482" t="inlineStr">
        <is>
          <t>P0</t>
        </is>
      </c>
      <c r="G425" s="482" t="n"/>
      <c r="H425" s="482" t="inlineStr">
        <is>
          <t>Not Started</t>
        </is>
      </c>
      <c r="I425" s="483" t="n">
        <v>0</v>
      </c>
      <c r="J425" s="482" t="inlineStr">
        <is>
          <t>Agent permission model</t>
        </is>
      </c>
      <c r="K425" s="482" t="n"/>
      <c r="L425" s="482" t="n"/>
      <c r="M425" s="482" t="inlineStr">
        <is>
          <t>Approval based on risk.</t>
        </is>
      </c>
    </row>
    <row r="426">
      <c r="A426" s="482" t="inlineStr">
        <is>
          <t>R-184</t>
        </is>
      </c>
      <c r="B426" s="482" t="inlineStr">
        <is>
          <t>MVP</t>
        </is>
      </c>
      <c r="C426" s="482" t="inlineStr">
        <is>
          <t>Approvals</t>
        </is>
      </c>
      <c r="D426" s="482" t="inlineStr">
        <is>
          <t>Approval object and immutable audit</t>
        </is>
      </c>
      <c r="E426" s="482" t="inlineStr">
        <is>
          <t>Store action, risk, environment, scope, cost, rollback, approver and expiry.</t>
        </is>
      </c>
      <c r="F426" s="482" t="inlineStr">
        <is>
          <t>P0</t>
        </is>
      </c>
      <c r="G426" s="482" t="n"/>
      <c r="H426" s="482" t="inlineStr">
        <is>
          <t>Not Started</t>
        </is>
      </c>
      <c r="I426" s="483" t="n">
        <v>0</v>
      </c>
      <c r="J426" s="482" t="inlineStr">
        <is>
          <t>Risk classification L0-L4</t>
        </is>
      </c>
      <c r="K426" s="482" t="n"/>
      <c r="L426" s="482" t="n"/>
      <c r="M426" s="482" t="inlineStr">
        <is>
          <t>Production/destructive actions auditable.</t>
        </is>
      </c>
    </row>
    <row r="427">
      <c r="A427" s="482" t="inlineStr">
        <is>
          <t>R-185</t>
        </is>
      </c>
      <c r="B427" s="482" t="inlineStr">
        <is>
          <t>MVP</t>
        </is>
      </c>
      <c r="C427" s="482" t="inlineStr">
        <is>
          <t>Tools</t>
        </is>
      </c>
      <c r="D427" s="482" t="inlineStr">
        <is>
          <t>First-party Tool Registry</t>
        </is>
      </c>
      <c r="E427" s="482" t="inlineStr">
        <is>
          <t>Central registry for tool identity, schema, permissions, risk, secrets, limits and audit.</t>
        </is>
      </c>
      <c r="F427" s="482" t="inlineStr">
        <is>
          <t>P0</t>
        </is>
      </c>
      <c r="G427" s="482" t="n"/>
      <c r="H427" s="482" t="inlineStr">
        <is>
          <t>Not Started</t>
        </is>
      </c>
      <c r="I427" s="483" t="n">
        <v>0</v>
      </c>
      <c r="J427" s="482" t="inlineStr">
        <is>
          <t>Agent permission model</t>
        </is>
      </c>
      <c r="K427" s="482" t="n"/>
      <c r="L427" s="482" t="n"/>
      <c r="M427" s="482" t="inlineStr">
        <is>
          <t>Deny by default.</t>
        </is>
      </c>
    </row>
    <row r="428">
      <c r="A428" s="482" t="inlineStr">
        <is>
          <t>R-186</t>
        </is>
      </c>
      <c r="B428" s="482" t="inlineStr">
        <is>
          <t>MVP</t>
        </is>
      </c>
      <c r="C428" s="482" t="inlineStr">
        <is>
          <t>Tools</t>
        </is>
      </c>
      <c r="D428" s="482" t="inlineStr">
        <is>
          <t>MCP Gateway foundation</t>
        </is>
      </c>
      <c r="E428" s="482" t="inlineStr">
        <is>
          <t>All MCP traffic passes through Tool Registry/policy; unverified servers disabled by default.</t>
        </is>
      </c>
      <c r="F428" s="482" t="inlineStr">
        <is>
          <t>P1</t>
        </is>
      </c>
      <c r="G428" s="482" t="n"/>
      <c r="H428" s="482" t="inlineStr">
        <is>
          <t>Not Started</t>
        </is>
      </c>
      <c r="I428" s="483" t="n">
        <v>0</v>
      </c>
      <c r="J428" s="482" t="inlineStr">
        <is>
          <t>First-party Tool Registry</t>
        </is>
      </c>
      <c r="K428" s="482" t="n"/>
      <c r="L428" s="482" t="n"/>
      <c r="M428" s="482" t="inlineStr">
        <is>
          <t>No arbitrary agent-to-MCP connections.</t>
        </is>
      </c>
    </row>
    <row r="429">
      <c r="A429" s="482" t="inlineStr">
        <is>
          <t>R-187</t>
        </is>
      </c>
      <c r="B429" s="482" t="inlineStr">
        <is>
          <t>MVP</t>
        </is>
      </c>
      <c r="C429" s="482" t="inlineStr">
        <is>
          <t>Tools</t>
        </is>
      </c>
      <c r="D429" s="482" t="inlineStr">
        <is>
          <t>Tool secret broker</t>
        </is>
      </c>
      <c r="E429" s="482" t="inlineStr">
        <is>
          <t>Provide short-lived scoped credentials to tools without placing raw secrets in prompts.</t>
        </is>
      </c>
      <c r="F429" s="482" t="inlineStr">
        <is>
          <t>P0</t>
        </is>
      </c>
      <c r="G429" s="482" t="n"/>
      <c r="H429" s="482" t="inlineStr">
        <is>
          <t>Not Started</t>
        </is>
      </c>
      <c r="I429" s="483" t="n">
        <v>0</v>
      </c>
      <c r="J429" s="482" t="inlineStr">
        <is>
          <t>First-party Tool Registry</t>
        </is>
      </c>
      <c r="K429" s="482" t="n"/>
      <c r="L429" s="482" t="n"/>
      <c r="M429" s="482" t="inlineStr">
        <is>
          <t>Audit every secret grant.</t>
        </is>
      </c>
    </row>
    <row r="430">
      <c r="A430" s="482" t="inlineStr">
        <is>
          <t>R-188</t>
        </is>
      </c>
      <c r="B430" s="482" t="inlineStr">
        <is>
          <t>MVP</t>
        </is>
      </c>
      <c r="C430" s="482" t="inlineStr">
        <is>
          <t>Backend Strategy</t>
        </is>
      </c>
      <c r="D430" s="482" t="inlineStr">
        <is>
          <t>Rapid BaaS profile design</t>
        </is>
      </c>
      <c r="E430" s="482" t="inlineStr">
        <is>
          <t>Define optional Supabase/Firebase-style generated backend for suitable small/medium apps.</t>
        </is>
      </c>
      <c r="F430" s="482" t="inlineStr">
        <is>
          <t>P1</t>
        </is>
      </c>
      <c r="G430" s="482" t="n"/>
      <c r="H430" s="482" t="inlineStr">
        <is>
          <t>Not Started</t>
        </is>
      </c>
      <c r="I430" s="483" t="n">
        <v>0</v>
      </c>
      <c r="J430" s="482" t="inlineStr">
        <is>
          <t>Application IR v1</t>
        </is>
      </c>
      <c r="K430" s="482" t="n"/>
      <c r="L430" s="482" t="n"/>
      <c r="M430" s="482" t="inlineStr">
        <is>
          <t>Not platform core.</t>
        </is>
      </c>
    </row>
    <row r="431">
      <c r="A431" s="482" t="inlineStr">
        <is>
          <t>R-189</t>
        </is>
      </c>
      <c r="B431" s="482" t="inlineStr">
        <is>
          <t>MVP</t>
        </is>
      </c>
      <c r="C431" s="482" t="inlineStr">
        <is>
          <t>Architecture</t>
        </is>
      </c>
      <c r="D431" s="482" t="inlineStr">
        <is>
          <t>Build-vs-Buy benchmark process</t>
        </is>
      </c>
      <c r="E431" s="482" t="inlineStr">
        <is>
          <t>Benchmark major providers/frameworks before adoption and record evidence in ADR.</t>
        </is>
      </c>
      <c r="F431" s="482" t="inlineStr">
        <is>
          <t>P0</t>
        </is>
      </c>
      <c r="G431" s="482" t="n"/>
      <c r="H431" s="482" t="inlineStr">
        <is>
          <t>Not Started</t>
        </is>
      </c>
      <c r="I431" s="483" t="n">
        <v>0</v>
      </c>
      <c r="J431" s="482" t="inlineStr">
        <is>
          <t>Architecture decision records</t>
        </is>
      </c>
      <c r="K431" s="482" t="n"/>
      <c r="L431" s="482" t="n"/>
      <c r="M431" s="482" t="inlineStr">
        <is>
          <t>References inform; benchmarks decide.</t>
        </is>
      </c>
    </row>
    <row r="432">
      <c r="A432" s="482" t="inlineStr">
        <is>
          <t>R-190</t>
        </is>
      </c>
      <c r="B432" s="482" t="inlineStr">
        <is>
          <t>MVP</t>
        </is>
      </c>
      <c r="C432" s="482" t="inlineStr">
        <is>
          <t>Governance</t>
        </is>
      </c>
      <c r="D432" s="482" t="inlineStr">
        <is>
          <t>Open-source license review</t>
        </is>
      </c>
      <c r="E432" s="482" t="inlineStr">
        <is>
          <t>Track repo/commit/license before reuse; require legal approval for source reuse.</t>
        </is>
      </c>
      <c r="F432" s="482" t="inlineStr">
        <is>
          <t>P0</t>
        </is>
      </c>
      <c r="G432" s="482" t="n"/>
      <c r="H432" s="482" t="inlineStr">
        <is>
          <t>Not Started</t>
        </is>
      </c>
      <c r="I432" s="483" t="n">
        <v>0</v>
      </c>
      <c r="J432" s="482" t="inlineStr">
        <is>
          <t>Build-vs-Buy benchmark process</t>
        </is>
      </c>
      <c r="K432" s="482" t="n"/>
      <c r="L432" s="482" t="n"/>
      <c r="M432" s="482" t="inlineStr">
        <is>
          <t>Architectural learning != code copying.</t>
        </is>
      </c>
    </row>
    <row r="433">
      <c r="A433" s="482" t="inlineStr">
        <is>
          <t>R-191</t>
        </is>
      </c>
      <c r="B433" s="482" t="inlineStr">
        <is>
          <t>MVP</t>
        </is>
      </c>
      <c r="C433" s="482" t="inlineStr">
        <is>
          <t>Team</t>
        </is>
      </c>
      <c r="D433" s="482" t="inlineStr">
        <is>
          <t>Shared engineering glossary</t>
        </is>
      </c>
      <c r="E433" s="482" t="inlineStr">
        <is>
          <t>Publish common definitions for agent/tool/sandbox/MCP/HITL/checkpoint/BYOC/BaaS/ADR.</t>
        </is>
      </c>
      <c r="F433" s="482" t="inlineStr">
        <is>
          <t>P2</t>
        </is>
      </c>
      <c r="G433" s="482" t="n"/>
      <c r="H433" s="482" t="inlineStr">
        <is>
          <t>Not Started</t>
        </is>
      </c>
      <c r="I433" s="483" t="n">
        <v>0</v>
      </c>
      <c r="J433" s="482" t="n"/>
      <c r="K433" s="482" t="n"/>
      <c r="L433" s="482" t="n"/>
      <c r="M433" s="482" t="inlineStr">
        <is>
          <t>Use in docs and AI prompts.</t>
        </is>
      </c>
    </row>
    <row r="434">
      <c r="A434" s="482" t="inlineStr">
        <is>
          <t>R-192</t>
        </is>
      </c>
      <c r="B434" s="482" t="inlineStr">
        <is>
          <t>MID</t>
        </is>
      </c>
      <c r="C434" s="482" t="inlineStr">
        <is>
          <t>Tools</t>
        </is>
      </c>
      <c r="D434" s="482" t="inlineStr">
        <is>
          <t>Verified MCP install flow</t>
        </is>
      </c>
      <c r="E434" s="482" t="inlineStr">
        <is>
          <t>Install verified third-party MCP servers with consent, version identity and scopes.</t>
        </is>
      </c>
      <c r="F434" s="482" t="inlineStr">
        <is>
          <t>P1</t>
        </is>
      </c>
      <c r="G434" s="482" t="n"/>
      <c r="H434" s="482" t="inlineStr">
        <is>
          <t>Not Started</t>
        </is>
      </c>
      <c r="I434" s="483" t="n">
        <v>0</v>
      </c>
      <c r="J434" s="482" t="inlineStr">
        <is>
          <t>MCP Gateway foundation</t>
        </is>
      </c>
      <c r="K434" s="482" t="n"/>
      <c r="L434" s="482" t="n"/>
      <c r="M434" s="482" t="inlineStr">
        <is>
          <t>Marketplace later.</t>
        </is>
      </c>
    </row>
    <row r="435">
      <c r="A435" s="482" t="inlineStr">
        <is>
          <t>R-193</t>
        </is>
      </c>
      <c r="B435" s="482" t="inlineStr">
        <is>
          <t>MID</t>
        </is>
      </c>
      <c r="C435" s="482" t="inlineStr">
        <is>
          <t>Execution</t>
        </is>
      </c>
      <c r="D435" s="482" t="inlineStr">
        <is>
          <t>Cross-platform Local Agent</t>
        </is>
      </c>
      <c r="E435" s="482" t="inlineStr">
        <is>
          <t>Signed local agent for Mac/Windows/Linux with explicit workspace grants.</t>
        </is>
      </c>
      <c r="F435" s="482" t="inlineStr">
        <is>
          <t>P1</t>
        </is>
      </c>
      <c r="G435" s="482" t="n"/>
      <c r="H435" s="482" t="inlineStr">
        <is>
          <t>Not Started</t>
        </is>
      </c>
      <c r="I435" s="483" t="n">
        <v>0</v>
      </c>
      <c r="J435" s="482" t="inlineStr">
        <is>
          <t>Local Mac Agent productized</t>
        </is>
      </c>
      <c r="K435" s="482" t="n"/>
      <c r="L435" s="482" t="n"/>
      <c r="M435" s="482" t="inlineStr">
        <is>
          <t>Extends local mode beyond Mac.</t>
        </is>
      </c>
    </row>
    <row r="436">
      <c r="A436" s="482" t="inlineStr">
        <is>
          <t>R-194</t>
        </is>
      </c>
      <c r="B436" s="482" t="inlineStr">
        <is>
          <t>MID</t>
        </is>
      </c>
      <c r="C436" s="482" t="inlineStr">
        <is>
          <t>Execution</t>
        </is>
      </c>
      <c r="D436" s="482" t="inlineStr">
        <is>
          <t>Hybrid BYOK/local mode</t>
        </is>
      </c>
      <c r="E436" s="482" t="inlineStr">
        <is>
          <t>Allow customer model key and selected local execution while preserving central policy.</t>
        </is>
      </c>
      <c r="F436" s="482" t="inlineStr">
        <is>
          <t>P1</t>
        </is>
      </c>
      <c r="G436" s="482" t="n"/>
      <c r="H436" s="482" t="inlineStr">
        <is>
          <t>Not Started</t>
        </is>
      </c>
      <c r="I436" s="483" t="n">
        <v>0</v>
      </c>
      <c r="J436" s="482" t="inlineStr">
        <is>
          <t>Cross-platform Local Agent</t>
        </is>
      </c>
      <c r="K436" s="482" t="n"/>
      <c r="L436" s="482" t="n"/>
      <c r="M436" s="482" t="inlineStr">
        <is>
          <t>Privacy + cost option.</t>
        </is>
      </c>
    </row>
    <row r="437">
      <c r="A437" s="482" t="inlineStr">
        <is>
          <t>R-195</t>
        </is>
      </c>
      <c r="B437" s="482" t="inlineStr">
        <is>
          <t>MID</t>
        </is>
      </c>
      <c r="C437" s="482" t="inlineStr">
        <is>
          <t>Runtime</t>
        </is>
      </c>
      <c r="D437" s="482" t="inlineStr">
        <is>
          <t>Second sandbox provider adapter</t>
        </is>
      </c>
      <c r="E437" s="482" t="inlineStr">
        <is>
          <t>Add alternate managed sandbox and provider health abstraction.</t>
        </is>
      </c>
      <c r="F437" s="482" t="inlineStr">
        <is>
          <t>P1</t>
        </is>
      </c>
      <c r="G437" s="482" t="n"/>
      <c r="H437" s="482" t="inlineStr">
        <is>
          <t>Not Started</t>
        </is>
      </c>
      <c r="I437" s="483" t="n">
        <v>0</v>
      </c>
      <c r="J437" s="482" t="inlineStr">
        <is>
          <t>Managed Linux sandbox adapter</t>
        </is>
      </c>
      <c r="K437" s="482" t="n"/>
      <c r="L437" s="482" t="n"/>
      <c r="M437" s="482" t="inlineStr">
        <is>
          <t>Validate portability/failover.</t>
        </is>
      </c>
    </row>
    <row r="438">
      <c r="A438" s="482" t="inlineStr">
        <is>
          <t>R-196</t>
        </is>
      </c>
      <c r="B438" s="482" t="inlineStr">
        <is>
          <t>MID</t>
        </is>
      </c>
      <c r="C438" s="482" t="inlineStr">
        <is>
          <t>Runtime</t>
        </is>
      </c>
      <c r="D438" s="482" t="inlineStr">
        <is>
          <t>Sandbox snapshots and warm pools</t>
        </is>
      </c>
      <c r="E438" s="482" t="inlineStr">
        <is>
          <t>Use snapshots/prewarming where metrics prove latency/cost benefit.</t>
        </is>
      </c>
      <c r="F438" s="482" t="inlineStr">
        <is>
          <t>P2</t>
        </is>
      </c>
      <c r="G438" s="482" t="n"/>
      <c r="H438" s="482" t="inlineStr">
        <is>
          <t>Not Started</t>
        </is>
      </c>
      <c r="I438" s="483" t="n">
        <v>0</v>
      </c>
      <c r="J438" s="482" t="inlineStr">
        <is>
          <t>Second sandbox provider adapter</t>
        </is>
      </c>
      <c r="K438" s="482" t="n"/>
      <c r="L438" s="482" t="n"/>
      <c r="M438" s="482" t="inlineStr">
        <is>
          <t>Do not optimize blindly.</t>
        </is>
      </c>
    </row>
    <row r="439">
      <c r="A439" s="482" t="inlineStr">
        <is>
          <t>R-197</t>
        </is>
      </c>
      <c r="B439" s="482" t="inlineStr">
        <is>
          <t>MID</t>
        </is>
      </c>
      <c r="C439" s="482" t="inlineStr">
        <is>
          <t>Developer Experience</t>
        </is>
      </c>
      <c r="D439" s="482" t="inlineStr">
        <is>
          <t>Agent time-travel debugging</t>
        </is>
      </c>
      <c r="E439" s="482" t="inlineStr">
        <is>
          <t>Inspect checkpoints, event ledger, tool calls and recovery path for a run.</t>
        </is>
      </c>
      <c r="F439" s="482" t="inlineStr">
        <is>
          <t>P1</t>
        </is>
      </c>
      <c r="G439" s="482" t="n"/>
      <c r="H439" s="482" t="inlineStr">
        <is>
          <t>Not Started</t>
        </is>
      </c>
      <c r="I439" s="483" t="n">
        <v>0</v>
      </c>
      <c r="J439" s="482" t="inlineStr">
        <is>
          <t>Agent event ledger</t>
        </is>
      </c>
      <c r="K439" s="482" t="n"/>
      <c r="L439" s="482" t="n"/>
      <c r="M439" s="482" t="inlineStr">
        <is>
          <t>Operator and developer debugging.</t>
        </is>
      </c>
    </row>
    <row r="440">
      <c r="A440" s="482" t="inlineStr">
        <is>
          <t>R-198</t>
        </is>
      </c>
      <c r="B440" s="482" t="inlineStr">
        <is>
          <t>MID</t>
        </is>
      </c>
      <c r="C440" s="482" t="inlineStr">
        <is>
          <t>Tools</t>
        </is>
      </c>
      <c r="D440" s="482" t="inlineStr">
        <is>
          <t>Tool marketplace verification</t>
        </is>
      </c>
      <c r="E440" s="482" t="inlineStr">
        <is>
          <t>Security/license/schema/reliability review before external tool publication.</t>
        </is>
      </c>
      <c r="F440" s="482" t="inlineStr">
        <is>
          <t>P2</t>
        </is>
      </c>
      <c r="G440" s="482" t="n"/>
      <c r="H440" s="482" t="inlineStr">
        <is>
          <t>Not Started</t>
        </is>
      </c>
      <c r="I440" s="483" t="n">
        <v>0</v>
      </c>
      <c r="J440" s="482" t="inlineStr">
        <is>
          <t>Verified MCP install flow</t>
        </is>
      </c>
      <c r="K440" s="482" t="n"/>
      <c r="L440" s="482" t="n"/>
      <c r="M440" s="482" t="inlineStr">
        <is>
          <t>Verified badge is evidence-based.</t>
        </is>
      </c>
    </row>
    <row r="441">
      <c r="A441" s="482" t="inlineStr">
        <is>
          <t>R-199</t>
        </is>
      </c>
      <c r="B441" s="482" t="inlineStr">
        <is>
          <t>MID</t>
        </is>
      </c>
      <c r="C441" s="482" t="inlineStr">
        <is>
          <t>Routing</t>
        </is>
      </c>
      <c r="D441" s="482" t="inlineStr">
        <is>
          <t>Runtime provider cost-latency routing</t>
        </is>
      </c>
      <c r="E441" s="482" t="inlineStr">
        <is>
          <t>Route among eligible providers using health, latency, region and cost.</t>
        </is>
      </c>
      <c r="F441" s="482" t="inlineStr">
        <is>
          <t>P1</t>
        </is>
      </c>
      <c r="G441" s="482" t="n"/>
      <c r="H441" s="482" t="inlineStr">
        <is>
          <t>Not Started</t>
        </is>
      </c>
      <c r="I441" s="483" t="n">
        <v>0</v>
      </c>
      <c r="J441" s="482" t="inlineStr">
        <is>
          <t>Second sandbox provider adapter</t>
        </is>
      </c>
      <c r="K441" s="482" t="n"/>
      <c r="L441" s="482" t="n"/>
      <c r="M441" s="482" t="inlineStr">
        <is>
          <t>Policy can override cheapest route.</t>
        </is>
      </c>
    </row>
    <row r="442">
      <c r="A442" s="482" t="inlineStr">
        <is>
          <t>R-200</t>
        </is>
      </c>
      <c r="B442" s="482" t="inlineStr">
        <is>
          <t>MID</t>
        </is>
      </c>
      <c r="C442" s="482" t="inlineStr">
        <is>
          <t>Backend Strategy</t>
        </is>
      </c>
      <c r="D442" s="482" t="inlineStr">
        <is>
          <t>BaaS provider expansion</t>
        </is>
      </c>
      <c r="E442" s="482" t="inlineStr">
        <is>
          <t>Support second Rapid BaaS provider behind backend profile contract.</t>
        </is>
      </c>
      <c r="F442" s="482" t="inlineStr">
        <is>
          <t>P2</t>
        </is>
      </c>
      <c r="G442" s="482" t="n"/>
      <c r="H442" s="482" t="inlineStr">
        <is>
          <t>Not Started</t>
        </is>
      </c>
      <c r="I442" s="483" t="n">
        <v>0</v>
      </c>
      <c r="J442" s="482" t="inlineStr">
        <is>
          <t>Rapid BaaS profile design</t>
        </is>
      </c>
      <c r="K442" s="482" t="n"/>
      <c r="L442" s="482" t="n"/>
      <c r="M442" s="482" t="inlineStr">
        <is>
          <t>Keep portability via IR/contracts.</t>
        </is>
      </c>
    </row>
    <row r="443">
      <c r="A443" s="482" t="inlineStr">
        <is>
          <t>R-201</t>
        </is>
      </c>
      <c r="B443" s="482" t="inlineStr">
        <is>
          <t>ADVANCED</t>
        </is>
      </c>
      <c r="C443" s="482" t="inlineStr">
        <is>
          <t>Tools</t>
        </is>
      </c>
      <c r="D443" s="482" t="inlineStr">
        <is>
          <t>Customer private MCP servers</t>
        </is>
      </c>
      <c r="E443" s="482" t="inlineStr">
        <is>
          <t>Allow customer-owned MCP endpoints with private scopes and network policy.</t>
        </is>
      </c>
      <c r="F443" s="482" t="inlineStr">
        <is>
          <t>P2</t>
        </is>
      </c>
      <c r="G443" s="482" t="n"/>
      <c r="H443" s="482" t="inlineStr">
        <is>
          <t>Not Started</t>
        </is>
      </c>
      <c r="I443" s="483" t="n">
        <v>0</v>
      </c>
      <c r="J443" s="482" t="inlineStr">
        <is>
          <t>Verified MCP install flow</t>
        </is>
      </c>
      <c r="K443" s="482" t="n"/>
      <c r="L443" s="482" t="n"/>
      <c r="M443" s="482" t="inlineStr">
        <is>
          <t>Enterprise feature.</t>
        </is>
      </c>
    </row>
    <row r="444">
      <c r="A444" s="482" t="inlineStr">
        <is>
          <t>R-202</t>
        </is>
      </c>
      <c r="B444" s="482" t="inlineStr">
        <is>
          <t>ADVANCED</t>
        </is>
      </c>
      <c r="C444" s="482" t="inlineStr">
        <is>
          <t>Execution</t>
        </is>
      </c>
      <c r="D444" s="482" t="inlineStr">
        <is>
          <t>Private BYOC runners</t>
        </is>
      </c>
      <c r="E444" s="482" t="inlineStr">
        <is>
          <t>Run sandboxes/builds in customer VPC/private infrastructure.</t>
        </is>
      </c>
      <c r="F444" s="482" t="inlineStr">
        <is>
          <t>P1</t>
        </is>
      </c>
      <c r="G444" s="482" t="n"/>
      <c r="H444" s="482" t="inlineStr">
        <is>
          <t>Not Started</t>
        </is>
      </c>
      <c r="I444" s="483" t="n">
        <v>0</v>
      </c>
      <c r="J444" s="482" t="inlineStr">
        <is>
          <t>BYOC / private runners</t>
        </is>
      </c>
      <c r="K444" s="482" t="n"/>
      <c r="L444" s="482" t="n"/>
      <c r="M444" s="482" t="inlineStr">
        <is>
          <t>Central policy + audit remain.</t>
        </is>
      </c>
    </row>
    <row r="445">
      <c r="A445" s="482" t="inlineStr">
        <is>
          <t>R-203</t>
        </is>
      </c>
      <c r="B445" s="482" t="inlineStr">
        <is>
          <t>ADVANCED</t>
        </is>
      </c>
      <c r="C445" s="482" t="inlineStr">
        <is>
          <t>Runtime</t>
        </is>
      </c>
      <c r="D445" s="482" t="inlineStr">
        <is>
          <t>Cross-region runtime scheduler</t>
        </is>
      </c>
      <c r="E445" s="482" t="inlineStr">
        <is>
          <t>Select execution region by policy, residency, availability and latency.</t>
        </is>
      </c>
      <c r="F445" s="482" t="inlineStr">
        <is>
          <t>P2</t>
        </is>
      </c>
      <c r="G445" s="482" t="n"/>
      <c r="H445" s="482" t="inlineStr">
        <is>
          <t>Not Started</t>
        </is>
      </c>
      <c r="I445" s="483" t="n">
        <v>0</v>
      </c>
      <c r="J445" s="482" t="inlineStr">
        <is>
          <t>Private BYOC runners</t>
        </is>
      </c>
      <c r="K445" s="482" t="n"/>
      <c r="L445" s="482" t="n"/>
      <c r="M445" s="482" t="inlineStr">
        <is>
          <t>Enterprise scale.</t>
        </is>
      </c>
    </row>
    <row r="446">
      <c r="A446" s="482" t="inlineStr">
        <is>
          <t>R-204</t>
        </is>
      </c>
      <c r="B446" s="482" t="inlineStr">
        <is>
          <t>ADVANCED</t>
        </is>
      </c>
      <c r="C446" s="482" t="inlineStr">
        <is>
          <t>Runtime</t>
        </is>
      </c>
      <c r="D446" s="482" t="inlineStr">
        <is>
          <t>Hardened microVM runner fleet</t>
        </is>
      </c>
      <c r="E446" s="482" t="inlineStr">
        <is>
          <t>Own isolated runner fleet only when security/economics justify operational burden.</t>
        </is>
      </c>
      <c r="F446" s="482" t="inlineStr">
        <is>
          <t>P2</t>
        </is>
      </c>
      <c r="G446" s="482" t="n"/>
      <c r="H446" s="482" t="inlineStr">
        <is>
          <t>Not Started</t>
        </is>
      </c>
      <c r="I446" s="483" t="n">
        <v>0</v>
      </c>
      <c r="J446" s="482" t="inlineStr">
        <is>
          <t>Provider cost-latency routing</t>
        </is>
      </c>
      <c r="K446" s="482" t="n"/>
      <c r="L446" s="482" t="n"/>
      <c r="M446" s="482" t="inlineStr">
        <is>
          <t>Do not build before benchmark.</t>
        </is>
      </c>
    </row>
    <row r="447">
      <c r="A447" s="482" t="inlineStr">
        <is>
          <t>R-205</t>
        </is>
      </c>
      <c r="B447" s="482" t="inlineStr">
        <is>
          <t>ADVANCED</t>
        </is>
      </c>
      <c r="C447" s="482" t="inlineStr">
        <is>
          <t>Reliability</t>
        </is>
      </c>
      <c r="D447" s="482" t="inlineStr">
        <is>
          <t>Multi-provider sandbox failover</t>
        </is>
      </c>
      <c r="E447" s="482" t="inlineStr">
        <is>
          <t>Retry eligible tasks on alternate provider without duplicating side effects.</t>
        </is>
      </c>
      <c r="F447" s="482" t="inlineStr">
        <is>
          <t>P1</t>
        </is>
      </c>
      <c r="G447" s="482" t="n"/>
      <c r="H447" s="482" t="inlineStr">
        <is>
          <t>Not Started</t>
        </is>
      </c>
      <c r="I447" s="483" t="n">
        <v>0</v>
      </c>
      <c r="J447" s="482" t="inlineStr">
        <is>
          <t>Tool idempotency keys</t>
        </is>
      </c>
      <c r="K447" s="482" t="n"/>
      <c r="L447" s="482" t="n"/>
      <c r="M447" s="482" t="inlineStr">
        <is>
          <t>Checkpoint-aware failover.</t>
        </is>
      </c>
    </row>
    <row r="448">
      <c r="A448" s="482" t="inlineStr">
        <is>
          <t>R-206</t>
        </is>
      </c>
      <c r="B448" s="482" t="inlineStr">
        <is>
          <t>ADVANCED</t>
        </is>
      </c>
      <c r="C448" s="482" t="inlineStr">
        <is>
          <t>Governance</t>
        </is>
      </c>
      <c r="D448" s="482" t="inlineStr">
        <is>
          <t>Policy-as-code approvals</t>
        </is>
      </c>
      <c r="E448" s="482" t="inlineStr">
        <is>
          <t>Version risk/action/approval policies as tested configuration.</t>
        </is>
      </c>
      <c r="F448" s="482" t="inlineStr">
        <is>
          <t>P1</t>
        </is>
      </c>
      <c r="G448" s="482" t="n"/>
      <c r="H448" s="482" t="inlineStr">
        <is>
          <t>Not Started</t>
        </is>
      </c>
      <c r="I448" s="483" t="n">
        <v>0</v>
      </c>
      <c r="J448" s="482" t="inlineStr">
        <is>
          <t>Approval object and immutable audit</t>
        </is>
      </c>
      <c r="K448" s="482" t="n"/>
      <c r="L448" s="482" t="n"/>
      <c r="M448" s="482" t="inlineStr">
        <is>
          <t>Enterprise override support.</t>
        </is>
      </c>
    </row>
    <row r="449">
      <c r="A449" s="482" t="inlineStr">
        <is>
          <t>R-207</t>
        </is>
      </c>
      <c r="B449" s="482" t="inlineStr">
        <is>
          <t>ADVANCED</t>
        </is>
      </c>
      <c r="C449" s="482" t="inlineStr">
        <is>
          <t>Governance</t>
        </is>
      </c>
      <c r="D449" s="482" t="inlineStr">
        <is>
          <t>Two-person critical approval</t>
        </is>
      </c>
      <c r="E449" s="482" t="inlineStr">
        <is>
          <t>Optional dual approval for L4 actions.</t>
        </is>
      </c>
      <c r="F449" s="482" t="inlineStr">
        <is>
          <t>P2</t>
        </is>
      </c>
      <c r="G449" s="482" t="n"/>
      <c r="H449" s="482" t="inlineStr">
        <is>
          <t>Not Started</t>
        </is>
      </c>
      <c r="I449" s="483" t="n">
        <v>0</v>
      </c>
      <c r="J449" s="482" t="inlineStr">
        <is>
          <t>Policy-as-code approvals</t>
        </is>
      </c>
      <c r="K449" s="482" t="n"/>
      <c r="L449" s="482" t="n"/>
      <c r="M449" s="482" t="inlineStr">
        <is>
          <t>High-risk enterprise.</t>
        </is>
      </c>
    </row>
    <row r="450">
      <c r="A450" s="482" t="inlineStr">
        <is>
          <t>R-208</t>
        </is>
      </c>
      <c r="B450" s="482" t="inlineStr">
        <is>
          <t>ADVANCED</t>
        </is>
      </c>
      <c r="C450" s="482" t="inlineStr">
        <is>
          <t>Models</t>
        </is>
      </c>
      <c r="D450" s="482" t="inlineStr">
        <is>
          <t>Customer private model endpoints</t>
        </is>
      </c>
      <c r="E450" s="482" t="inlineStr">
        <is>
          <t>Support approved VPC/private model endpoints behind Model Gateway.</t>
        </is>
      </c>
      <c r="F450" s="482" t="inlineStr">
        <is>
          <t>P2</t>
        </is>
      </c>
      <c r="G450" s="482" t="n"/>
      <c r="H450" s="482" t="inlineStr">
        <is>
          <t>Not Started</t>
        </is>
      </c>
      <c r="I450" s="483" t="n">
        <v>0</v>
      </c>
      <c r="J450" s="482" t="inlineStr">
        <is>
          <t>BYOK</t>
        </is>
      </c>
      <c r="K450" s="482" t="n"/>
      <c r="L450" s="482" t="n"/>
      <c r="M450" s="482" t="inlineStr">
        <is>
          <t>No direct client-to-model coupling.</t>
        </is>
      </c>
    </row>
    <row r="451">
      <c r="A451" s="482" t="inlineStr">
        <is>
          <t>R-209</t>
        </is>
      </c>
      <c r="B451" s="482" t="inlineStr">
        <is>
          <t>ADVANCED</t>
        </is>
      </c>
      <c r="C451" s="482" t="inlineStr">
        <is>
          <t>Architecture</t>
        </is>
      </c>
      <c r="D451" s="482" t="inlineStr">
        <is>
          <t>Automated provider benchmark suite</t>
        </is>
      </c>
      <c r="E451" s="482" t="inlineStr">
        <is>
          <t>Continuously measure model/runtime/tool providers for cost, latency and reliability.</t>
        </is>
      </c>
      <c r="F451" s="482" t="inlineStr">
        <is>
          <t>P2</t>
        </is>
      </c>
      <c r="G451" s="482" t="n"/>
      <c r="H451" s="482" t="inlineStr">
        <is>
          <t>Not Started</t>
        </is>
      </c>
      <c r="I451" s="483" t="n">
        <v>0</v>
      </c>
      <c r="J451" s="482" t="inlineStr">
        <is>
          <t>Build-vs-Buy benchmark process</t>
        </is>
      </c>
      <c r="K451" s="482" t="n"/>
      <c r="L451" s="482" t="n"/>
      <c r="M451" s="482" t="inlineStr">
        <is>
          <t>Feeds routing/ADR reviews.</t>
        </is>
      </c>
    </row>
    <row r="452">
      <c r="A452" s="482" t="inlineStr">
        <is>
          <t>R-210</t>
        </is>
      </c>
      <c r="B452" s="482" t="inlineStr">
        <is>
          <t>PRODUCTION</t>
        </is>
      </c>
      <c r="C452" s="482" t="inlineStr">
        <is>
          <t>Reliability</t>
        </is>
      </c>
      <c r="D452" s="482" t="inlineStr">
        <is>
          <t>Crash-resume production test</t>
        </is>
      </c>
      <c r="E452" s="482" t="inlineStr">
        <is>
          <t>Prove tasks resume after worker/provider failure from last verified checkpoint.</t>
        </is>
      </c>
      <c r="F452" s="482" t="inlineStr">
        <is>
          <t>P0</t>
        </is>
      </c>
      <c r="G452" s="482" t="n"/>
      <c r="H452" s="482" t="inlineStr">
        <is>
          <t>Not Started</t>
        </is>
      </c>
      <c r="I452" s="483" t="n">
        <v>0</v>
      </c>
      <c r="J452" s="482" t="inlineStr">
        <is>
          <t>Checkpoint and resume</t>
        </is>
      </c>
      <c r="K452" s="482" t="n"/>
      <c r="L452" s="482" t="n"/>
      <c r="M452" s="482" t="inlineStr">
        <is>
          <t>Production gate.</t>
        </is>
      </c>
    </row>
    <row r="453">
      <c r="A453" s="482" t="inlineStr">
        <is>
          <t>R-211</t>
        </is>
      </c>
      <c r="B453" s="482" t="inlineStr">
        <is>
          <t>PRODUCTION</t>
        </is>
      </c>
      <c r="C453" s="482" t="inlineStr">
        <is>
          <t>Reliability</t>
        </is>
      </c>
      <c r="D453" s="482" t="inlineStr">
        <is>
          <t>Duplicate side-effect prevention test</t>
        </is>
      </c>
      <c r="E453" s="482" t="inlineStr">
        <is>
          <t>Prove retry/resume/failover cannot duplicate external mutations.</t>
        </is>
      </c>
      <c r="F453" s="482" t="inlineStr">
        <is>
          <t>P0</t>
        </is>
      </c>
      <c r="G453" s="482" t="n"/>
      <c r="H453" s="482" t="inlineStr">
        <is>
          <t>Not Started</t>
        </is>
      </c>
      <c r="I453" s="483" t="n">
        <v>0</v>
      </c>
      <c r="J453" s="482" t="inlineStr">
        <is>
          <t>Tool idempotency keys</t>
        </is>
      </c>
      <c r="K453" s="482" t="n"/>
      <c r="L453" s="482" t="n"/>
      <c r="M453" s="482" t="inlineStr">
        <is>
          <t>Production gate.</t>
        </is>
      </c>
    </row>
    <row r="454">
      <c r="A454" s="482" t="inlineStr">
        <is>
          <t>R-212</t>
        </is>
      </c>
      <c r="B454" s="482" t="inlineStr">
        <is>
          <t>PRODUCTION</t>
        </is>
      </c>
      <c r="C454" s="482" t="inlineStr">
        <is>
          <t>Realtime</t>
        </is>
      </c>
      <c r="D454" s="482" t="inlineStr">
        <is>
          <t>WebSocket replay correctness SLO</t>
        </is>
      </c>
      <c r="E454" s="482" t="inlineStr">
        <is>
          <t>Prove ordered reconnect/replay with no missing or duplicated critical events.</t>
        </is>
      </c>
      <c r="F454" s="482" t="inlineStr">
        <is>
          <t>P0</t>
        </is>
      </c>
      <c r="G454" s="482" t="n"/>
      <c r="H454" s="482" t="inlineStr">
        <is>
          <t>Not Started</t>
        </is>
      </c>
      <c r="I454" s="483" t="n">
        <v>0</v>
      </c>
      <c r="J454" s="482" t="inlineStr">
        <is>
          <t>WebSocket reconnect and replay</t>
        </is>
      </c>
      <c r="K454" s="482" t="n"/>
      <c r="L454" s="482" t="n"/>
      <c r="M454" s="482" t="inlineStr">
        <is>
          <t>Production gate.</t>
        </is>
      </c>
    </row>
    <row r="455">
      <c r="A455" s="482" t="inlineStr">
        <is>
          <t>R-213</t>
        </is>
      </c>
      <c r="B455" s="482" t="inlineStr">
        <is>
          <t>PRODUCTION</t>
        </is>
      </c>
      <c r="C455" s="482" t="inlineStr">
        <is>
          <t>Security</t>
        </is>
      </c>
      <c r="D455" s="482" t="inlineStr">
        <is>
          <t>MCP isolation and prompt-injection test</t>
        </is>
      </c>
      <c r="E455" s="482" t="inlineStr">
        <is>
          <t>Prove tool output cannot override policy and workspace/tool scopes are isolated.</t>
        </is>
      </c>
      <c r="F455" s="482" t="inlineStr">
        <is>
          <t>P0</t>
        </is>
      </c>
      <c r="G455" s="482" t="n"/>
      <c r="H455" s="482" t="inlineStr">
        <is>
          <t>Not Started</t>
        </is>
      </c>
      <c r="I455" s="483" t="n">
        <v>0</v>
      </c>
      <c r="J455" s="482" t="inlineStr">
        <is>
          <t>MCP Gateway foundation</t>
        </is>
      </c>
      <c r="K455" s="482" t="n"/>
      <c r="L455" s="482" t="n"/>
      <c r="M455" s="482" t="inlineStr">
        <is>
          <t>Production gate.</t>
        </is>
      </c>
    </row>
    <row r="456">
      <c r="A456" t="inlineStr">
        <is>
          <t>R-214</t>
        </is>
      </c>
      <c r="B456" t="inlineStr">
        <is>
          <t>PRODUCTION</t>
        </is>
      </c>
      <c r="C456" t="inlineStr">
        <is>
          <t>Security</t>
        </is>
      </c>
      <c r="D456" t="inlineStr">
        <is>
          <t>Sandbox tenant isolation test</t>
        </is>
      </c>
      <c r="E456" t="inlineStr">
        <is>
          <t>Prove no cross-tenant filesystem/process/network/secret access.</t>
        </is>
      </c>
      <c r="F456" t="inlineStr">
        <is>
          <t>P0</t>
        </is>
      </c>
      <c r="H456" t="inlineStr">
        <is>
          <t>Not Started</t>
        </is>
      </c>
      <c r="I456" t="n">
        <v>0</v>
      </c>
      <c r="J456" t="inlineStr">
        <is>
          <t>SandboxProvider abstraction</t>
        </is>
      </c>
      <c r="M456" t="inlineStr">
        <is>
          <t>Production gate.</t>
        </is>
      </c>
    </row>
    <row r="457">
      <c r="A457" t="inlineStr">
        <is>
          <t>R-215</t>
        </is>
      </c>
      <c r="B457" t="inlineStr">
        <is>
          <t>PRODUCTION</t>
        </is>
      </c>
      <c r="C457" t="inlineStr">
        <is>
          <t>Reliability</t>
        </is>
      </c>
      <c r="D457" t="inlineStr">
        <is>
          <t>Runtime provider outage failover</t>
        </is>
      </c>
      <c r="E457" t="inlineStr">
        <is>
          <t>Prove eligible jobs fail over safely during provider outage.</t>
        </is>
      </c>
      <c r="F457" t="inlineStr">
        <is>
          <t>P0</t>
        </is>
      </c>
      <c r="H457" t="inlineStr">
        <is>
          <t>Not Started</t>
        </is>
      </c>
      <c r="I457" t="n">
        <v>0</v>
      </c>
      <c r="J457" t="inlineStr">
        <is>
          <t>Multi-provider sandbox failover</t>
        </is>
      </c>
      <c r="M457" t="inlineStr">
        <is>
          <t>Production gate.</t>
        </is>
      </c>
    </row>
    <row r="458">
      <c r="A458" t="inlineStr">
        <is>
          <t>R-216</t>
        </is>
      </c>
      <c r="B458" t="inlineStr">
        <is>
          <t>PRODUCTION</t>
        </is>
      </c>
      <c r="C458" t="inlineStr">
        <is>
          <t>Governance</t>
        </is>
      </c>
      <c r="D458" t="inlineStr">
        <is>
          <t>Approval auditability test</t>
        </is>
      </c>
      <c r="E458" t="inlineStr">
        <is>
          <t>Prove who approved what, when, scope, risk, environment and expiration.</t>
        </is>
      </c>
      <c r="F458" t="inlineStr">
        <is>
          <t>P0</t>
        </is>
      </c>
      <c r="H458" t="inlineStr">
        <is>
          <t>Not Started</t>
        </is>
      </c>
      <c r="I458" t="n">
        <v>0</v>
      </c>
      <c r="J458" t="inlineStr">
        <is>
          <t>Approval object and immutable audit</t>
        </is>
      </c>
      <c r="M458" t="inlineStr">
        <is>
          <t>Production gate.</t>
        </is>
      </c>
    </row>
    <row r="459">
      <c r="A459" t="inlineStr">
        <is>
          <t>R-217</t>
        </is>
      </c>
      <c r="B459" t="inlineStr">
        <is>
          <t>PRODUCTION</t>
        </is>
      </c>
      <c r="C459" t="inlineStr">
        <is>
          <t>Backend Strategy</t>
        </is>
      </c>
      <c r="D459" t="inlineStr">
        <is>
          <t>BaaS to custom migration test</t>
        </is>
      </c>
      <c r="E459" t="inlineStr">
        <is>
          <t>Prove project can migrate backend profile using IR/contracts without rediscovering product behavior.</t>
        </is>
      </c>
      <c r="F459" t="inlineStr">
        <is>
          <t>P1</t>
        </is>
      </c>
      <c r="H459" t="inlineStr">
        <is>
          <t>Not Started</t>
        </is>
      </c>
      <c r="I459" t="n">
        <v>0</v>
      </c>
      <c r="J459" t="inlineStr">
        <is>
          <t>BaaS provider expansion</t>
        </is>
      </c>
      <c r="M459" t="inlineStr">
        <is>
          <t>Avoid backend lock-in.</t>
        </is>
      </c>
    </row>
    <row r="460">
      <c r="A460" t="inlineStr">
        <is>
          <t>R-218</t>
        </is>
      </c>
      <c r="B460" t="inlineStr">
        <is>
          <t>PRODUCTION</t>
        </is>
      </c>
      <c r="C460" t="inlineStr">
        <is>
          <t>Security</t>
        </is>
      </c>
      <c r="D460" t="inlineStr">
        <is>
          <t>Local Agent security lifecycle</t>
        </is>
      </c>
      <c r="E460" t="inlineStr">
        <is>
          <t>Signed install/update, folder grant, revoke/uninstall and local log controls verified.</t>
        </is>
      </c>
      <c r="F460" t="inlineStr">
        <is>
          <t>P0</t>
        </is>
      </c>
      <c r="H460" t="inlineStr">
        <is>
          <t>Not Started</t>
        </is>
      </c>
      <c r="I460" t="n">
        <v>0</v>
      </c>
      <c r="J460" t="inlineStr">
        <is>
          <t>Cross-platform Local Agent</t>
        </is>
      </c>
      <c r="M460" t="inlineStr">
        <is>
          <t>Production gate.</t>
        </is>
      </c>
    </row>
    <row r="461">
      <c r="A461" t="inlineStr">
        <is>
          <t>R-219</t>
        </is>
      </c>
      <c r="B461" t="inlineStr">
        <is>
          <t>PRODUCTION</t>
        </is>
      </c>
      <c r="C461" t="inlineStr">
        <is>
          <t>Compliance</t>
        </is>
      </c>
      <c r="D461" t="inlineStr">
        <is>
          <t>OSS license and SBOM gate</t>
        </is>
      </c>
      <c r="E461" t="inlineStr">
        <is>
          <t>Block release when third-party license/SBOM obligations are unresolved.</t>
        </is>
      </c>
      <c r="F461" t="inlineStr">
        <is>
          <t>P0</t>
        </is>
      </c>
      <c r="H461" t="inlineStr">
        <is>
          <t>Not Started</t>
        </is>
      </c>
      <c r="I461" t="n">
        <v>0</v>
      </c>
      <c r="J461" t="inlineStr">
        <is>
          <t>Open-source license review</t>
        </is>
      </c>
      <c r="M461" t="inlineStr">
        <is>
          <t>Production gate.</t>
        </is>
      </c>
    </row>
  </sheetData>
  <mergeCells count="2">
    <mergeCell ref="A2:M2"/>
    <mergeCell ref="A1:M1"/>
  </mergeCells>
  <conditionalFormatting sqref="H4:H188">
    <cfRule type="expression" priority="1" dxfId="0">
      <formula>H4="Done"</formula>
    </cfRule>
    <cfRule type="expression" priority="2" dxfId="1">
      <formula>H4="In Progress"</formula>
    </cfRule>
    <cfRule type="expression" priority="3" dxfId="2">
      <formula>H4="Blocked"</formula>
    </cfRule>
    <cfRule type="expression" priority="4" dxfId="3">
      <formula>H4="Deferred"</formula>
    </cfRule>
  </conditionalFormatting>
  <conditionalFormatting sqref="H4:H299">
    <cfRule type="expression" priority="5" dxfId="0">
      <formula>H4="Done"</formula>
    </cfRule>
    <cfRule type="expression" priority="6" dxfId="1">
      <formula>H4="In Progress"</formula>
    </cfRule>
    <cfRule type="expression" priority="7" dxfId="2">
      <formula>H4="Blocked"</formula>
    </cfRule>
    <cfRule type="expression" priority="8" dxfId="3">
      <formula>H4="Deferred"</formula>
    </cfRule>
  </conditionalFormatting>
  <conditionalFormatting sqref="H300">
    <cfRule type="expression" priority="9" dxfId="0">
      <formula>H255="Done"</formula>
    </cfRule>
    <cfRule type="expression" priority="10" dxfId="1">
      <formula>H255="In Progress"</formula>
    </cfRule>
    <cfRule type="expression" priority="11" dxfId="2">
      <formula>H255="Blocked"</formula>
    </cfRule>
    <cfRule type="expression" priority="12" dxfId="3">
      <formula>H255="Deferred"</formula>
    </cfRule>
  </conditionalFormatting>
  <conditionalFormatting sqref="H301">
    <cfRule type="expression" priority="13" dxfId="0">
      <formula>H292="Done"</formula>
    </cfRule>
    <cfRule type="expression" priority="14" dxfId="1">
      <formula>H292="In Progress"</formula>
    </cfRule>
    <cfRule type="expression" priority="15" dxfId="2">
      <formula>H292="Blocked"</formula>
    </cfRule>
    <cfRule type="expression" priority="16" dxfId="3">
      <formula>H292="Deferred"</formula>
    </cfRule>
  </conditionalFormatting>
  <conditionalFormatting sqref="H302">
    <cfRule type="expression" priority="17" dxfId="0">
      <formula>H293="Done"</formula>
    </cfRule>
    <cfRule type="expression" priority="18" dxfId="1">
      <formula>H293="In Progress"</formula>
    </cfRule>
    <cfRule type="expression" priority="19" dxfId="2">
      <formula>H293="Blocked"</formula>
    </cfRule>
    <cfRule type="expression" priority="20" dxfId="3">
      <formula>H293="Deferred"</formula>
    </cfRule>
  </conditionalFormatting>
  <conditionalFormatting sqref="H303">
    <cfRule type="expression" priority="21" dxfId="64">
      <formula>H294="Done"</formula>
    </cfRule>
    <cfRule type="expression" priority="22" dxfId="65">
      <formula>H294="In Progress"</formula>
    </cfRule>
    <cfRule type="expression" priority="23" dxfId="66">
      <formula>H294="Blocked"</formula>
    </cfRule>
    <cfRule type="expression" priority="24" dxfId="67">
      <formula>H294="Deferred"</formula>
    </cfRule>
  </conditionalFormatting>
  <dataValidations count="25">
    <dataValidation sqref="B4:B188" showDropDown="0" showInputMessage="0" showErrorMessage="0" allowBlank="0" type="list">
      <formula1>"MVP,MID,ADVANCED,PRODUCTION"</formula1>
    </dataValidation>
    <dataValidation sqref="F4:F188" showDropDown="0" showInputMessage="0" showErrorMessage="0" allowBlank="0" type="list">
      <formula1>"P0,P1,P2,P3"</formula1>
    </dataValidation>
    <dataValidation sqref="H4:H188" showDropDown="0" showInputMessage="0" showErrorMessage="0" allowBlank="0" type="list">
      <formula1>"Not Started,In Progress,Blocked,Done,Deferred"</formula1>
    </dataValidation>
    <dataValidation sqref="B189:B212" showDropDown="0" showInputMessage="0" showErrorMessage="0" allowBlank="0" type="list">
      <formula1>"MVP,MID,ADVANCED,PRODUCTION"</formula1>
    </dataValidation>
    <dataValidation sqref="F189:F212" showDropDown="0" showInputMessage="0" showErrorMessage="0" allowBlank="0" type="list">
      <formula1>"P0,P1,P2,P3"</formula1>
    </dataValidation>
    <dataValidation sqref="H189:H212" showDropDown="0" showInputMessage="0" showErrorMessage="0" allowBlank="0" type="list">
      <formula1>"Not Started,In Progress,Blocked,Done,Deferred"</formula1>
    </dataValidation>
    <dataValidation sqref="F213:F248" showDropDown="0" showInputMessage="0" showErrorMessage="0" allowBlank="0" type="list">
      <formula1>"P0,P1,P2,P3"</formula1>
    </dataValidation>
    <dataValidation sqref="H213:H248" showDropDown="0" showInputMessage="0" showErrorMessage="0" allowBlank="0" type="list">
      <formula1>"Not Started,In Progress,Blocked,Done,Deferred"</formula1>
    </dataValidation>
    <dataValidation sqref="H4:H297" showDropDown="0" showInputMessage="0" showErrorMessage="0" allowBlank="0" type="list">
      <formula1>"Not Started,In Progress,Blocked,Done,Deferred"</formula1>
    </dataValidation>
    <dataValidation sqref="F4:F297" showDropDown="0" showInputMessage="0" showErrorMessage="0" allowBlank="0" type="list">
      <formula1>"P0,P1,P2,P3"</formula1>
    </dataValidation>
    <dataValidation sqref="B4:B299" showDropDown="0" showInputMessage="0" showErrorMessage="0" allowBlank="0" type="list">
      <formula1>"MVP,MID,ADVANCED,PRODUCTION"</formula1>
    </dataValidation>
    <dataValidation sqref="F4:F299" showDropDown="0" showInputMessage="0" showErrorMessage="0" allowBlank="0" type="list">
      <formula1>"P0,P1,P2,P3"</formula1>
    </dataValidation>
    <dataValidation sqref="H4:H299" showDropDown="0" showInputMessage="0" showErrorMessage="0" allowBlank="0" type="list">
      <formula1>"Not Started,In Progress,Blocked,Done,Deferred"</formula1>
    </dataValidation>
    <dataValidation sqref="B300" showDropDown="0" showInputMessage="0" showErrorMessage="0" allowBlank="0" type="list">
      <formula1>"MVP,MID,ADVANCED,PRODUCTION"</formula1>
    </dataValidation>
    <dataValidation sqref="F300" showDropDown="0" showInputMessage="0" showErrorMessage="0" allowBlank="0" type="list">
      <formula1>"P0,P1,P2,P3"</formula1>
    </dataValidation>
    <dataValidation sqref="H300" showDropDown="0" showInputMessage="0" showErrorMessage="0" allowBlank="0" type="list">
      <formula1>"Not Started,In Progress,Blocked,Done,Deferred"</formula1>
    </dataValidation>
    <dataValidation sqref="B301" showDropDown="0" showInputMessage="0" showErrorMessage="0" allowBlank="0" type="list">
      <formula1>"MVP,MID,ADVANCED,PRODUCTION"</formula1>
    </dataValidation>
    <dataValidation sqref="F301" showDropDown="0" showInputMessage="0" showErrorMessage="0" allowBlank="0" type="list">
      <formula1>"P0,P1,P2,P3"</formula1>
    </dataValidation>
    <dataValidation sqref="H301" showDropDown="0" showInputMessage="0" showErrorMessage="0" allowBlank="0" type="list">
      <formula1>"Not Started,In Progress,Blocked,Done,Deferred"</formula1>
    </dataValidation>
    <dataValidation sqref="B302" showDropDown="0" showInputMessage="0" showErrorMessage="0" allowBlank="0" type="list">
      <formula1>"MVP,MID,ADVANCED,PRODUCTION"</formula1>
    </dataValidation>
    <dataValidation sqref="F302" showDropDown="0" showInputMessage="0" showErrorMessage="0" allowBlank="0" type="list">
      <formula1>"P0,P1,P2,P3"</formula1>
    </dataValidation>
    <dataValidation sqref="H302" showDropDown="0" showInputMessage="0" showErrorMessage="0" allowBlank="0" type="list">
      <formula1>"Not Started,In Progress,Blocked,Done,Deferred"</formula1>
    </dataValidation>
    <dataValidation sqref="B303" showDropDown="0" showInputMessage="0" showErrorMessage="0" allowBlank="0" type="list">
      <formula1>"MVP,MID,ADVANCED,PRODUCTION"</formula1>
    </dataValidation>
    <dataValidation sqref="F303" showDropDown="0" showInputMessage="0" showErrorMessage="0" allowBlank="0" type="list">
      <formula1>"P0,P1,P2,P3"</formula1>
    </dataValidation>
    <dataValidation sqref="H303" showDropDown="0" showInputMessage="0" showErrorMessage="0" allowBlank="0" type="list">
      <formula1>"Not Started,In Progress,Blocked,Done,Deferred"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8" customWidth="1" style="401" min="1" max="1"/>
    <col width="25" customWidth="1" style="401" min="2" max="2"/>
    <col width="42" customWidth="1" style="401" min="3" max="3"/>
    <col width="12" customWidth="1" style="401" min="4" max="4"/>
    <col width="12" customWidth="1" style="401" min="5" max="5"/>
    <col width="12" customWidth="1" style="401" min="6" max="6"/>
    <col width="31" customWidth="1" style="401" min="7" max="7"/>
    <col width="28" customWidth="1" style="401" min="8" max="8"/>
    <col width="24" customWidth="1" style="401" min="9" max="9"/>
  </cols>
  <sheetData>
    <row r="1" ht="30" customHeight="1" s="401">
      <c r="A1" s="552" t="inlineStr">
        <is>
          <t>OmniStackAI V5 — Product UI</t>
        </is>
      </c>
      <c r="B1" s="547" t="n"/>
      <c r="C1" s="547" t="n"/>
      <c r="D1" s="547" t="n"/>
      <c r="E1" s="547" t="n"/>
      <c r="F1" s="547" t="n"/>
      <c r="G1" s="547" t="n"/>
      <c r="H1" s="547" t="n"/>
      <c r="I1" s="547" t="n"/>
    </row>
    <row r="2" ht="34" customHeight="1" s="401">
      <c r="A2" s="553" t="inlineStr">
        <is>
          <t>The Preview page must visibly preserve the order: Instant Browser Preview -&gt; Real Device -&gt; Cloud Android -&gt; Cloud iOS.</t>
        </is>
      </c>
      <c r="B2" s="547" t="n"/>
      <c r="C2" s="547" t="n"/>
      <c r="D2" s="547" t="n"/>
      <c r="E2" s="547" t="n"/>
      <c r="F2" s="547" t="n"/>
      <c r="G2" s="547" t="n"/>
      <c r="H2" s="547" t="n"/>
      <c r="I2" s="547" t="n"/>
    </row>
    <row r="3" ht="28" customHeight="1" s="401">
      <c r="A3" s="413" t="n"/>
      <c r="B3" s="413" t="n"/>
      <c r="C3" s="413" t="n"/>
      <c r="D3" s="413" t="n"/>
      <c r="E3" s="413" t="n"/>
      <c r="F3" s="413" t="n"/>
      <c r="G3" s="413" t="n"/>
      <c r="H3" s="413" t="n"/>
      <c r="I3" s="413" t="n"/>
    </row>
    <row r="4" ht="28" customHeight="1" s="401">
      <c r="A4" s="141" t="inlineStr">
        <is>
          <t>Order</t>
        </is>
      </c>
      <c r="B4" s="142" t="inlineStr">
        <is>
          <t>Tab / Area</t>
        </is>
      </c>
      <c r="C4" s="142" t="inlineStr">
        <is>
          <t>Purpose</t>
        </is>
      </c>
      <c r="D4" s="142" t="inlineStr">
        <is>
          <t>MVP</t>
        </is>
      </c>
      <c r="E4" s="142" t="inlineStr">
        <is>
          <t>MID</t>
        </is>
      </c>
      <c r="F4" s="142" t="inlineStr">
        <is>
          <t>Advanced</t>
        </is>
      </c>
      <c r="G4" s="142" t="inlineStr">
        <is>
          <t>Key Cost Rule</t>
        </is>
      </c>
      <c r="H4" s="142" t="inlineStr">
        <is>
          <t>Security / Approval</t>
        </is>
      </c>
      <c r="I4" s="143" t="inlineStr">
        <is>
          <t>Notes</t>
        </is>
      </c>
    </row>
    <row r="5" ht="42" customHeight="1" s="401">
      <c r="A5" s="144" t="n">
        <v>1</v>
      </c>
      <c r="B5" s="145" t="inlineStr">
        <is>
          <t>Dashboard</t>
        </is>
      </c>
      <c r="C5" s="145" t="inlineStr">
        <is>
          <t>Project health, progress, usage, cost</t>
        </is>
      </c>
      <c r="D5" s="145" t="inlineStr">
        <is>
          <t>Yes</t>
        </is>
      </c>
      <c r="E5" s="145" t="inlineStr">
        <is>
          <t>Enhance</t>
        </is>
      </c>
      <c r="F5" s="145" t="inlineStr">
        <is>
          <t>Enhance</t>
        </is>
      </c>
      <c r="G5" s="145" t="inlineStr">
        <is>
          <t>show cost per successful task</t>
        </is>
      </c>
      <c r="H5" s="145" t="inlineStr">
        <is>
          <t>RBAC</t>
        </is>
      </c>
      <c r="I5" s="146" t="str"/>
    </row>
    <row r="6" ht="42" customHeight="1" s="401">
      <c r="A6" s="147" t="n">
        <v>2</v>
      </c>
      <c r="B6" s="455" t="inlineStr">
        <is>
          <t>Create Project / Stack</t>
        </is>
      </c>
      <c r="C6" s="455" t="inlineStr">
        <is>
          <t>Framework/backend/database/execution selection</t>
        </is>
      </c>
      <c r="D6" s="455" t="inlineStr">
        <is>
          <t>Yes</t>
        </is>
      </c>
      <c r="E6" s="455" t="inlineStr">
        <is>
          <t>Enhance</t>
        </is>
      </c>
      <c r="F6" s="455" t="inlineStr">
        <is>
          <t>Enhance</t>
        </is>
      </c>
      <c r="G6" s="455" t="inlineStr">
        <is>
          <t>recommend cheapest safe profile</t>
        </is>
      </c>
      <c r="H6" s="455" t="inlineStr">
        <is>
          <t>override audited</t>
        </is>
      </c>
      <c r="I6" s="149" t="inlineStr">
        <is>
          <t>Auto/Recommended default</t>
        </is>
      </c>
    </row>
    <row r="7" ht="42" customHeight="1" s="401">
      <c r="A7" s="147" t="n">
        <v>3</v>
      </c>
      <c r="B7" s="455" t="inlineStr">
        <is>
          <t>AI Chat / Requirements</t>
        </is>
      </c>
      <c r="C7" s="455" t="inlineStr">
        <is>
          <t>Natural-language interface; accepted decisions promoted to memory</t>
        </is>
      </c>
      <c r="D7" s="455" t="inlineStr">
        <is>
          <t>Yes</t>
        </is>
      </c>
      <c r="E7" s="455" t="inlineStr">
        <is>
          <t>Enhance</t>
        </is>
      </c>
      <c r="F7" s="455" t="inlineStr">
        <is>
          <t>Enhance</t>
        </is>
      </c>
      <c r="G7" s="455" t="inlineStr">
        <is>
          <t>chat is not memory</t>
        </is>
      </c>
      <c r="H7" s="455" t="inlineStr">
        <is>
          <t>policy context protected</t>
        </is>
      </c>
      <c r="I7" s="149" t="str"/>
    </row>
    <row r="8" ht="42" customHeight="1" s="401">
      <c r="A8" s="147" t="n">
        <v>4</v>
      </c>
      <c r="B8" s="455" t="inlineStr">
        <is>
          <t>Plan</t>
        </is>
      </c>
      <c r="C8" s="455" t="inlineStr">
        <is>
          <t>Requirements, acceptance, task graph</t>
        </is>
      </c>
      <c r="D8" s="455" t="inlineStr">
        <is>
          <t>Yes</t>
        </is>
      </c>
      <c r="E8" s="455" t="inlineStr">
        <is>
          <t>Enhance</t>
        </is>
      </c>
      <c r="F8" s="455" t="inlineStr">
        <is>
          <t>Enhance</t>
        </is>
      </c>
      <c r="G8" s="455" t="inlineStr">
        <is>
          <t>plan before expensive build</t>
        </is>
      </c>
      <c r="H8" s="455" t="inlineStr">
        <is>
          <t>risk approval</t>
        </is>
      </c>
      <c r="I8" s="149" t="str"/>
    </row>
    <row r="9" ht="42" customHeight="1" s="401">
      <c r="A9" s="147" t="n">
        <v>5</v>
      </c>
      <c r="B9" s="455" t="inlineStr">
        <is>
          <t>Architecture</t>
        </is>
      </c>
      <c r="C9" s="455" t="inlineStr">
        <is>
          <t>IR, ADRs, dependencies</t>
        </is>
      </c>
      <c r="D9" s="455" t="inlineStr">
        <is>
          <t>Yes</t>
        </is>
      </c>
      <c r="E9" s="455" t="inlineStr">
        <is>
          <t>Enhance</t>
        </is>
      </c>
      <c r="F9" s="455" t="inlineStr">
        <is>
          <t>Enhance</t>
        </is>
      </c>
      <c r="G9" s="455" t="inlineStr">
        <is>
          <t>reuse decisions</t>
        </is>
      </c>
      <c r="H9" s="455" t="inlineStr">
        <is>
          <t>architecture review</t>
        </is>
      </c>
      <c r="I9" s="149" t="str"/>
    </row>
    <row r="10" ht="42" customHeight="1" s="401">
      <c r="A10" s="147" t="n">
        <v>6</v>
      </c>
      <c r="B10" s="455" t="inlineStr">
        <is>
          <t>Code</t>
        </is>
      </c>
      <c r="C10" s="455" t="inlineStr">
        <is>
          <t>Editor, files, symbol navigation</t>
        </is>
      </c>
      <c r="D10" s="455" t="inlineStr">
        <is>
          <t>Yes</t>
        </is>
      </c>
      <c r="E10" s="455" t="inlineStr">
        <is>
          <t>Enhance</t>
        </is>
      </c>
      <c r="F10" s="455" t="inlineStr">
        <is>
          <t>Enhance</t>
        </is>
      </c>
      <c r="G10" s="455" t="inlineStr">
        <is>
          <t>retrieve symbols on demand</t>
        </is>
      </c>
      <c r="H10" s="455" t="inlineStr">
        <is>
          <t>protected paths</t>
        </is>
      </c>
      <c r="I10" s="149" t="str"/>
    </row>
    <row r="11" ht="42" customHeight="1" s="401">
      <c r="A11" s="147" t="n">
        <v>7</v>
      </c>
      <c r="B11" s="455" t="inlineStr">
        <is>
          <t>Repository / Changes</t>
        </is>
      </c>
      <c r="C11" s="455" t="inlineStr">
        <is>
          <t>Diffs, branches, PRs, commits</t>
        </is>
      </c>
      <c r="D11" s="455" t="inlineStr">
        <is>
          <t>Yes</t>
        </is>
      </c>
      <c r="E11" s="455" t="inlineStr">
        <is>
          <t>Enhance</t>
        </is>
      </c>
      <c r="F11" s="455" t="inlineStr">
        <is>
          <t>Enhance</t>
        </is>
      </c>
      <c r="G11" s="455" t="inlineStr">
        <is>
          <t>no chat-only rollback</t>
        </is>
      </c>
      <c r="H11" s="455" t="inlineStr">
        <is>
          <t>CODEOWNERS</t>
        </is>
      </c>
      <c r="I11" s="149" t="str"/>
    </row>
    <row r="12" ht="42" customHeight="1" s="401">
      <c r="A12" s="147" t="n">
        <v>8</v>
      </c>
      <c r="B12" s="455" t="inlineStr">
        <is>
          <t>Preview</t>
        </is>
      </c>
      <c r="C12" s="455" t="inlineStr">
        <is>
          <t>Instant Browser Preview ALWAYS first</t>
        </is>
      </c>
      <c r="D12" s="455" t="inlineStr">
        <is>
          <t>Yes</t>
        </is>
      </c>
      <c r="E12" s="455" t="inlineStr">
        <is>
          <t>Enhance</t>
        </is>
      </c>
      <c r="F12" s="455" t="inlineStr">
        <is>
          <t>Enhance</t>
        </is>
      </c>
      <c r="G12" s="455" t="inlineStr">
        <is>
          <t>lowest-cost feedback</t>
        </is>
      </c>
      <c r="H12" s="455" t="inlineStr">
        <is>
          <t>clear proof limits</t>
        </is>
      </c>
      <c r="I12" s="149" t="str"/>
    </row>
    <row r="13" ht="42" customHeight="1" s="401">
      <c r="A13" s="147" t="n">
        <v>9</v>
      </c>
      <c r="B13" s="455" t="inlineStr">
        <is>
          <t>Real Device</t>
        </is>
      </c>
      <c r="C13" s="455" t="inlineStr">
        <is>
          <t>Expo QR / APK QR / TestFlight</t>
        </is>
      </c>
      <c r="D13" s="455" t="inlineStr">
        <is>
          <t>Yes</t>
        </is>
      </c>
      <c r="E13" s="455" t="inlineStr">
        <is>
          <t>Enhance</t>
        </is>
      </c>
      <c r="F13" s="455" t="inlineStr">
        <is>
          <t>Enhance</t>
        </is>
      </c>
      <c r="G13" s="455" t="inlineStr">
        <is>
          <t>physical device before cloud device</t>
        </is>
      </c>
      <c r="H13" s="455" t="inlineStr">
        <is>
          <t>short-lived artifacts</t>
        </is>
      </c>
      <c r="I13" s="149" t="str"/>
    </row>
    <row r="14" ht="42" customHeight="1" s="401">
      <c r="A14" s="147" t="n">
        <v>10</v>
      </c>
      <c r="B14" s="455" t="inlineStr">
        <is>
          <t>Cloud Device</t>
        </is>
      </c>
      <c r="C14" s="455" t="inlineStr">
        <is>
          <t>Android emulator / iOS simulator</t>
        </is>
      </c>
      <c r="D14" s="455" t="inlineStr">
        <is>
          <t>Basic</t>
        </is>
      </c>
      <c r="E14" s="455" t="inlineStr">
        <is>
          <t>Yes</t>
        </is>
      </c>
      <c r="F14" s="455" t="inlineStr">
        <is>
          <t>Enhance</t>
        </is>
      </c>
      <c r="G14" s="455" t="inlineStr">
        <is>
          <t>metered; on demand</t>
        </is>
      </c>
      <c r="H14" s="455" t="inlineStr">
        <is>
          <t>session isolation</t>
        </is>
      </c>
      <c r="I14" s="149" t="str"/>
    </row>
    <row r="15" ht="42" customHeight="1" s="401">
      <c r="A15" s="147" t="n">
        <v>11</v>
      </c>
      <c r="B15" s="455" t="inlineStr">
        <is>
          <t>Tests / Quality</t>
        </is>
      </c>
      <c r="C15" s="455" t="inlineStr">
        <is>
          <t>Unit/integration/E2E/security/blast radius</t>
        </is>
      </c>
      <c r="D15" s="455" t="inlineStr">
        <is>
          <t>Yes</t>
        </is>
      </c>
      <c r="E15" s="455" t="inlineStr">
        <is>
          <t>Enhance</t>
        </is>
      </c>
      <c r="F15" s="455" t="inlineStr">
        <is>
          <t>Enhance</t>
        </is>
      </c>
      <c r="G15" s="455" t="inlineStr">
        <is>
          <t>targeted before broad</t>
        </is>
      </c>
      <c r="H15" s="455" t="inlineStr">
        <is>
          <t>blocking gates</t>
        </is>
      </c>
      <c r="I15" s="149" t="str"/>
    </row>
    <row r="16" ht="42" customHeight="1" s="401">
      <c r="A16" s="147" t="n">
        <v>12</v>
      </c>
      <c r="B16" s="455" t="inlineStr">
        <is>
          <t>API / Data</t>
        </is>
      </c>
      <c r="C16" s="455" t="inlineStr">
        <is>
          <t>Contracts, schema, migrations</t>
        </is>
      </c>
      <c r="D16" s="455" t="inlineStr">
        <is>
          <t>Yes</t>
        </is>
      </c>
      <c r="E16" s="455" t="inlineStr">
        <is>
          <t>Enhance</t>
        </is>
      </c>
      <c r="F16" s="455" t="inlineStr">
        <is>
          <t>Enhance</t>
        </is>
      </c>
      <c r="G16" s="455" t="inlineStr">
        <is>
          <t>deterministic schema tools</t>
        </is>
      </c>
      <c r="H16" s="455" t="inlineStr">
        <is>
          <t>migration approval</t>
        </is>
      </c>
      <c r="I16" s="149" t="str"/>
    </row>
    <row r="17" ht="42" customHeight="1" s="401">
      <c r="A17" s="147" t="n">
        <v>13</v>
      </c>
      <c r="B17" s="455" t="inlineStr">
        <is>
          <t>Integrations</t>
        </is>
      </c>
      <c r="C17" s="455" t="inlineStr">
        <is>
          <t>MCP/tools/providers</t>
        </is>
      </c>
      <c r="D17" s="455" t="inlineStr">
        <is>
          <t>Yes</t>
        </is>
      </c>
      <c r="E17" s="455" t="inlineStr">
        <is>
          <t>Enhance</t>
        </is>
      </c>
      <c r="F17" s="455" t="inlineStr">
        <is>
          <t>Enhance</t>
        </is>
      </c>
      <c r="G17" s="455" t="inlineStr">
        <is>
          <t>only active tools consume context</t>
        </is>
      </c>
      <c r="H17" s="455" t="inlineStr">
        <is>
          <t>deny by default</t>
        </is>
      </c>
      <c r="I17" s="149" t="str"/>
    </row>
    <row r="18" ht="42" customHeight="1" s="401">
      <c r="A18" s="147" t="n">
        <v>14</v>
      </c>
      <c r="B18" s="455" t="inlineStr">
        <is>
          <t>Deployments / Stores</t>
        </is>
      </c>
      <c r="C18" s="455" t="inlineStr">
        <is>
          <t>Web, Play, TestFlight/App Store</t>
        </is>
      </c>
      <c r="D18" s="455" t="inlineStr">
        <is>
          <t>Yes</t>
        </is>
      </c>
      <c r="E18" s="455" t="inlineStr">
        <is>
          <t>Yes</t>
        </is>
      </c>
      <c r="F18" s="455" t="inlineStr">
        <is>
          <t>Enhance</t>
        </is>
      </c>
      <c r="G18" s="455" t="inlineStr">
        <is>
          <t>immutable artifacts</t>
        </is>
      </c>
      <c r="H18" s="455" t="inlineStr">
        <is>
          <t>human approval</t>
        </is>
      </c>
      <c r="I18" s="149" t="str"/>
    </row>
    <row r="19" ht="42" customHeight="1" s="401">
      <c r="A19" s="147" t="n">
        <v>15</v>
      </c>
      <c r="B19" s="455" t="inlineStr">
        <is>
          <t>Logs / Observability</t>
        </is>
      </c>
      <c r="C19" s="455" t="inlineStr">
        <is>
          <t>Events, traces, crashes, build logs</t>
        </is>
      </c>
      <c r="D19" s="455" t="inlineStr">
        <is>
          <t>Yes</t>
        </is>
      </c>
      <c r="E19" s="455" t="inlineStr">
        <is>
          <t>Enhance</t>
        </is>
      </c>
      <c r="F19" s="455" t="inlineStr">
        <is>
          <t>Enhance</t>
        </is>
      </c>
      <c r="G19" s="455" t="inlineStr">
        <is>
          <t>parse before LLM</t>
        </is>
      </c>
      <c r="H19" s="455" t="inlineStr">
        <is>
          <t>redaction/access controls</t>
        </is>
      </c>
      <c r="I19" s="149" t="str"/>
    </row>
    <row r="20">
      <c r="A20" s="220" t="n">
        <v>16</v>
      </c>
      <c r="B20" s="513" t="inlineStr">
        <is>
          <t>Usage / Cost</t>
        </is>
      </c>
      <c r="C20" s="513" t="inlineStr">
        <is>
          <t>Tokens, compute, Mac, storage, tools</t>
        </is>
      </c>
      <c r="D20" s="513" t="inlineStr">
        <is>
          <t>Yes</t>
        </is>
      </c>
      <c r="E20" s="513" t="inlineStr">
        <is>
          <t>Enhance</t>
        </is>
      </c>
      <c r="F20" s="513" t="inlineStr">
        <is>
          <t>Enhance</t>
        </is>
      </c>
      <c r="G20" s="513" t="inlineStr">
        <is>
          <t>budget + caps</t>
        </is>
      </c>
      <c r="H20" s="513" t="inlineStr">
        <is>
          <t>billing audit</t>
        </is>
      </c>
      <c r="I20" s="222" t="str"/>
    </row>
    <row r="21">
      <c r="A21" s="147" t="n">
        <v>17</v>
      </c>
      <c r="B21" s="455" t="inlineStr">
        <is>
          <t>Team / Security</t>
        </is>
      </c>
      <c r="C21" s="455" t="inlineStr">
        <is>
          <t>RBAC, SSO, audit, policies</t>
        </is>
      </c>
      <c r="D21" s="455" t="inlineStr">
        <is>
          <t>Yes</t>
        </is>
      </c>
      <c r="E21" s="455" t="inlineStr">
        <is>
          <t>Enhance</t>
        </is>
      </c>
      <c r="F21" s="455" t="inlineStr">
        <is>
          <t>Enhance</t>
        </is>
      </c>
      <c r="G21" s="455" t="inlineStr">
        <is>
          <t>prevent expensive incidents</t>
        </is>
      </c>
      <c r="H21" s="455" t="inlineStr">
        <is>
          <t>least privilege</t>
        </is>
      </c>
      <c r="I21" s="149" t="str"/>
    </row>
    <row r="22">
      <c r="A22" s="220" t="n">
        <v>18</v>
      </c>
      <c r="B22" s="513" t="inlineStr">
        <is>
          <t>Client Handover</t>
        </is>
      </c>
      <c r="C22" s="513" t="inlineStr">
        <is>
          <t>Export ownership package</t>
        </is>
      </c>
      <c r="D22" s="513" t="inlineStr">
        <is>
          <t>Basic</t>
        </is>
      </c>
      <c r="E22" s="513" t="inlineStr">
        <is>
          <t>Yes</t>
        </is>
      </c>
      <c r="F22" s="513" t="inlineStr">
        <is>
          <t>Enhance</t>
        </is>
      </c>
      <c r="G22" s="513" t="inlineStr">
        <is>
          <t>reduce lock-in/support</t>
        </is>
      </c>
      <c r="H22" s="513" t="inlineStr">
        <is>
          <t>secret values excluded</t>
        </is>
      </c>
      <c r="I22" s="222" t="str"/>
    </row>
    <row r="23">
      <c r="A23" s="156" t="n">
        <v>19</v>
      </c>
      <c r="B23" s="157" t="inlineStr">
        <is>
          <t>Settings</t>
        </is>
      </c>
      <c r="C23" s="157" t="inlineStr">
        <is>
          <t>Project/provider/execution policies</t>
        </is>
      </c>
      <c r="D23" s="157" t="inlineStr">
        <is>
          <t>Yes</t>
        </is>
      </c>
      <c r="E23" s="157" t="inlineStr">
        <is>
          <t>Enhance</t>
        </is>
      </c>
      <c r="F23" s="157" t="inlineStr">
        <is>
          <t>Enhance</t>
        </is>
      </c>
      <c r="G23" s="157" t="inlineStr">
        <is>
          <t>default optimized settings</t>
        </is>
      </c>
      <c r="H23" s="157" t="inlineStr">
        <is>
          <t>admin only where needed</t>
        </is>
      </c>
      <c r="I23" s="158" t="str"/>
    </row>
    <row r="24">
      <c r="A24" s="423" t="n"/>
      <c r="B24" s="423" t="n"/>
      <c r="C24" s="423" t="n"/>
      <c r="D24" s="423" t="n"/>
      <c r="E24" s="423" t="n"/>
      <c r="F24" s="423" t="n"/>
      <c r="G24" s="423" t="n"/>
      <c r="H24" s="423" t="n"/>
      <c r="I24" s="423" t="n"/>
    </row>
  </sheetData>
  <mergeCells count="2">
    <mergeCell ref="A1:I1"/>
    <mergeCell ref="A2:I2"/>
  </mergeCells>
  <conditionalFormatting sqref="H4:H19">
    <cfRule type="expression" priority="1" dxfId="0">
      <formula>H4="Done"</formula>
    </cfRule>
    <cfRule type="expression" priority="2" dxfId="1">
      <formula>H4="In Progress"</formula>
    </cfRule>
    <cfRule type="expression" priority="3" dxfId="2">
      <formula>H4="Blocked"</formula>
    </cfRule>
    <cfRule type="expression" priority="4" dxfId="3">
      <formula>H4="Deferred"</formula>
    </cfRule>
  </conditionalFormatting>
  <dataValidations count="3">
    <dataValidation sqref="B4:B19" showDropDown="0" showInputMessage="0" showErrorMessage="0" allowBlank="0" type="list">
      <formula1>"MVP,MID,ADVANCED,PRODUCTION"</formula1>
    </dataValidation>
    <dataValidation sqref="G4:G19" showDropDown="0" showInputMessage="0" showErrorMessage="0" allowBlank="0" type="list">
      <formula1>"P0,P1,P2,P3"</formula1>
    </dataValidation>
    <dataValidation sqref="H4:H19" showDropDown="0" showInputMessage="0" showErrorMessage="0" allowBlank="0" type="list">
      <formula1>"Not Started,In Progress,Blocked,Done,Deferred"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0" customWidth="1" style="401" min="1" max="1"/>
    <col width="24" customWidth="1" style="401" min="2" max="2"/>
    <col width="13" customWidth="1" style="401" min="3" max="3"/>
    <col width="52" customWidth="1" style="401" min="4" max="4"/>
    <col width="34" customWidth="1" style="401" min="5" max="5"/>
    <col width="34" customWidth="1" style="401" min="6" max="6"/>
    <col width="48" customWidth="1" style="401" min="7" max="7"/>
    <col width="16" customWidth="1" style="401" min="8" max="8"/>
  </cols>
  <sheetData>
    <row r="1" ht="30" customHeight="1" s="401">
      <c r="A1" s="556" t="inlineStr">
        <is>
          <t>Agent Architecture</t>
        </is>
      </c>
      <c r="B1" s="547" t="n"/>
      <c r="C1" s="547" t="n"/>
      <c r="D1" s="547" t="n"/>
      <c r="E1" s="547" t="n"/>
      <c r="F1" s="547" t="n"/>
      <c r="G1" s="547" t="n"/>
      <c r="H1" s="547" t="n"/>
    </row>
    <row r="2" ht="34" customHeight="1" s="401">
      <c r="A2" s="557" t="inlineStr">
        <is>
          <t>Each agent has one clear job. The Supervisor controls permissions, budgets, retries and merge gates.</t>
        </is>
      </c>
      <c r="B2" s="547" t="n"/>
      <c r="C2" s="547" t="n"/>
      <c r="D2" s="547" t="n"/>
      <c r="E2" s="547" t="n"/>
      <c r="F2" s="547" t="n"/>
      <c r="G2" s="547" t="n"/>
      <c r="H2" s="547" t="n"/>
    </row>
    <row r="3" ht="28" customHeight="1" s="401">
      <c r="A3" s="413" t="inlineStr">
        <is>
          <t>ID</t>
        </is>
      </c>
      <c r="B3" s="413" t="inlineStr">
        <is>
          <t>Agent</t>
        </is>
      </c>
      <c r="C3" s="413" t="inlineStr">
        <is>
          <t>Phase</t>
        </is>
      </c>
      <c r="D3" s="413" t="inlineStr">
        <is>
          <t>Responsibility</t>
        </is>
      </c>
      <c r="E3" s="413" t="inlineStr">
        <is>
          <t>Inputs</t>
        </is>
      </c>
      <c r="F3" s="413" t="inlineStr">
        <is>
          <t>Outputs</t>
        </is>
      </c>
      <c r="G3" s="413" t="inlineStr">
        <is>
          <t>Hard Guardrail</t>
        </is>
      </c>
      <c r="H3" s="413" t="inlineStr">
        <is>
          <t>Status</t>
        </is>
      </c>
    </row>
    <row r="4" ht="44" customHeight="1" s="401">
      <c r="A4" s="419" t="inlineStr">
        <is>
          <t>AG-01</t>
        </is>
      </c>
      <c r="B4" s="419" t="inlineStr">
        <is>
          <t>Supervisor / Orchestrator</t>
        </is>
      </c>
      <c r="C4" s="419" t="inlineStr">
        <is>
          <t>MVP</t>
        </is>
      </c>
      <c r="D4" s="419" t="inlineStr">
        <is>
          <t>Owns entire task lifecycle; chooses agents, enforces budgets, gates merge.</t>
        </is>
      </c>
      <c r="E4" s="419" t="inlineStr">
        <is>
          <t>Task spec, project state</t>
        </is>
      </c>
      <c r="F4" s="419" t="inlineStr">
        <is>
          <t>Task graph, decisions, final status</t>
        </is>
      </c>
      <c r="G4" s="419" t="inlineStr">
        <is>
          <t>Cannot edit production directly; cannot bypass mandatory gates.</t>
        </is>
      </c>
      <c r="H4" s="419" t="inlineStr">
        <is>
          <t>Not Started</t>
        </is>
      </c>
    </row>
    <row r="5" ht="44" customHeight="1" s="401">
      <c r="A5" s="419" t="inlineStr">
        <is>
          <t>AG-02</t>
        </is>
      </c>
      <c r="B5" s="419" t="inlineStr">
        <is>
          <t>Requirement Agent</t>
        </is>
      </c>
      <c r="C5" s="419" t="inlineStr">
        <is>
          <t>MVP</t>
        </is>
      </c>
      <c r="D5" s="419" t="inlineStr">
        <is>
          <t>Turns prompt into simple structured requirements and acceptance criteria.</t>
        </is>
      </c>
      <c r="E5" s="419" t="inlineStr">
        <is>
          <t>Prompt, current IR, product history</t>
        </is>
      </c>
      <c r="F5" s="419" t="inlineStr">
        <is>
          <t>Requirement spec</t>
        </is>
      </c>
      <c r="G5" s="419" t="inlineStr">
        <is>
          <t>Must flag ambiguity and assumptions.</t>
        </is>
      </c>
      <c r="H5" s="419" t="inlineStr">
        <is>
          <t>Not Started</t>
        </is>
      </c>
    </row>
    <row r="6" ht="44" customHeight="1" s="401">
      <c r="A6" s="419" t="inlineStr">
        <is>
          <t>AG-03</t>
        </is>
      </c>
      <c r="B6" s="419" t="inlineStr">
        <is>
          <t>Product Architect</t>
        </is>
      </c>
      <c r="C6" s="419" t="inlineStr">
        <is>
          <t>MVP</t>
        </is>
      </c>
      <c r="D6" s="419" t="inlineStr">
        <is>
          <t>Maps requested behavior to modules, APIs, data, security and NFRs.</t>
        </is>
      </c>
      <c r="E6" s="419" t="inlineStr">
        <is>
          <t>Requirement spec, architecture graph</t>
        </is>
      </c>
      <c r="F6" s="419" t="inlineStr">
        <is>
          <t>Architecture impact plan</t>
        </is>
      </c>
      <c r="G6" s="419" t="inlineStr">
        <is>
          <t>Cannot change approved architecture silently.</t>
        </is>
      </c>
      <c r="H6" s="419" t="inlineStr">
        <is>
          <t>Not Started</t>
        </is>
      </c>
    </row>
    <row r="7" ht="44" customHeight="1" s="401">
      <c r="A7" s="419" t="inlineStr">
        <is>
          <t>AG-04</t>
        </is>
      </c>
      <c r="B7" s="419" t="inlineStr">
        <is>
          <t>Task Planner</t>
        </is>
      </c>
      <c r="C7" s="419" t="inlineStr">
        <is>
          <t>MVP</t>
        </is>
      </c>
      <c r="D7" s="419" t="inlineStr">
        <is>
          <t>Breaks architecture plan into ordered tasks and dependencies.</t>
        </is>
      </c>
      <c r="E7" s="419" t="inlineStr">
        <is>
          <t>Impact plan</t>
        </is>
      </c>
      <c r="F7" s="419" t="inlineStr">
        <is>
          <t>Task DAG</t>
        </is>
      </c>
      <c r="G7" s="419" t="inlineStr">
        <is>
          <t>Must include validation for each task.</t>
        </is>
      </c>
      <c r="H7" s="419" t="inlineStr">
        <is>
          <t>Not Started</t>
        </is>
      </c>
    </row>
    <row r="8" ht="44" customHeight="1" s="401">
      <c r="A8" s="419" t="inlineStr">
        <is>
          <t>AG-05</t>
        </is>
      </c>
      <c r="B8" s="419" t="inlineStr">
        <is>
          <t>Android Agent</t>
        </is>
      </c>
      <c r="C8" s="419" t="inlineStr">
        <is>
          <t>MVP</t>
        </is>
      </c>
      <c r="D8" s="419" t="inlineStr">
        <is>
          <t>Kotlin + Compose implementation.</t>
        </is>
      </c>
      <c r="E8" s="419" t="inlineStr">
        <is>
          <t>Task, relevant symbols, Android ADRs</t>
        </is>
      </c>
      <c r="F8" s="419" t="inlineStr">
        <is>
          <t>Patch + tests</t>
        </is>
      </c>
      <c r="G8" s="419" t="inlineStr">
        <is>
          <t>Only expected files/modules unless approved.</t>
        </is>
      </c>
      <c r="H8" s="419" t="inlineStr">
        <is>
          <t>Not Started</t>
        </is>
      </c>
    </row>
    <row r="9" ht="44" customHeight="1" s="401">
      <c r="A9" s="419" t="inlineStr">
        <is>
          <t>AG-06</t>
        </is>
      </c>
      <c r="B9" s="419" t="inlineStr">
        <is>
          <t>iOS Agent</t>
        </is>
      </c>
      <c r="C9" s="419" t="inlineStr">
        <is>
          <t>MVP</t>
        </is>
      </c>
      <c r="D9" s="419" t="inlineStr">
        <is>
          <t>Swift + SwiftUI implementation.</t>
        </is>
      </c>
      <c r="E9" s="419" t="inlineStr">
        <is>
          <t>Task, relevant symbols, iOS ADRs</t>
        </is>
      </c>
      <c r="F9" s="419" t="inlineStr">
        <is>
          <t>Patch + tests</t>
        </is>
      </c>
      <c r="G9" s="419" t="inlineStr">
        <is>
          <t>Native compile validation required.</t>
        </is>
      </c>
      <c r="H9" s="419" t="inlineStr">
        <is>
          <t>Not Started</t>
        </is>
      </c>
    </row>
    <row r="10" ht="44" customHeight="1" s="401">
      <c r="A10" s="419" t="inlineStr">
        <is>
          <t>AG-07</t>
        </is>
      </c>
      <c r="B10" s="419" t="inlineStr">
        <is>
          <t>Web/Admin Agent</t>
        </is>
      </c>
      <c r="C10" s="419" t="inlineStr">
        <is>
          <t>MVP</t>
        </is>
      </c>
      <c r="D10" s="419" t="inlineStr">
        <is>
          <t>React/Next TypeScript implementation.</t>
        </is>
      </c>
      <c r="E10" s="419" t="inlineStr">
        <is>
          <t>Task, relevant symbols</t>
        </is>
      </c>
      <c r="F10" s="419" t="inlineStr">
        <is>
          <t>Patch + tests</t>
        </is>
      </c>
      <c r="G10" s="419" t="inlineStr">
        <is>
          <t>Accessibility and responsive checks required.</t>
        </is>
      </c>
      <c r="H10" s="419" t="inlineStr">
        <is>
          <t>Not Started</t>
        </is>
      </c>
    </row>
    <row r="11" ht="44" customHeight="1" s="401">
      <c r="A11" s="419" t="inlineStr">
        <is>
          <t>AG-08</t>
        </is>
      </c>
      <c r="B11" s="419" t="inlineStr">
        <is>
          <t>Backend Agent</t>
        </is>
      </c>
      <c r="C11" s="419" t="inlineStr">
        <is>
          <t>MVP</t>
        </is>
      </c>
      <c r="D11" s="419" t="inlineStr">
        <is>
          <t>Services, APIs, auth, jobs and integrations.</t>
        </is>
      </c>
      <c r="E11" s="419" t="inlineStr">
        <is>
          <t>Task, contracts, backend ADRs</t>
        </is>
      </c>
      <c r="F11" s="419" t="inlineStr">
        <is>
          <t>Patch + tests</t>
        </is>
      </c>
      <c r="G11" s="419" t="inlineStr">
        <is>
          <t>No schema change without DB Agent plan.</t>
        </is>
      </c>
      <c r="H11" s="419" t="inlineStr">
        <is>
          <t>Not Started</t>
        </is>
      </c>
    </row>
    <row r="12" ht="44" customHeight="1" s="401">
      <c r="A12" s="419" t="inlineStr">
        <is>
          <t>AG-09</t>
        </is>
      </c>
      <c r="B12" s="419" t="inlineStr">
        <is>
          <t>Database Agent</t>
        </is>
      </c>
      <c r="C12" s="419" t="inlineStr">
        <is>
          <t>MVP</t>
        </is>
      </c>
      <c r="D12" s="419" t="inlineStr">
        <is>
          <t>Schema, migrations, indexes and query review.</t>
        </is>
      </c>
      <c r="E12" s="419" t="inlineStr">
        <is>
          <t>Data impact</t>
        </is>
      </c>
      <c r="F12" s="419" t="inlineStr">
        <is>
          <t>Migration + rollback + tests</t>
        </is>
      </c>
      <c r="G12" s="419" t="inlineStr">
        <is>
          <t>Destructive change requires explicit approval.</t>
        </is>
      </c>
      <c r="H12" s="419" t="inlineStr">
        <is>
          <t>Not Started</t>
        </is>
      </c>
    </row>
    <row r="13" ht="44" customHeight="1" s="401">
      <c r="A13" s="419" t="inlineStr">
        <is>
          <t>AG-10</t>
        </is>
      </c>
      <c r="B13" s="419" t="inlineStr">
        <is>
          <t>Integration Agent</t>
        </is>
      </c>
      <c r="C13" s="419" t="inlineStr">
        <is>
          <t>MID</t>
        </is>
      </c>
      <c r="D13" s="419" t="inlineStr">
        <is>
          <t>Implements verified third-party integrations.</t>
        </is>
      </c>
      <c r="E13" s="419" t="inlineStr">
        <is>
          <t>Integration playbook + credentials scope</t>
        </is>
      </c>
      <c r="F13" s="419" t="inlineStr">
        <is>
          <t>Code/config/tests</t>
        </is>
      </c>
      <c r="G13" s="419" t="inlineStr">
        <is>
          <t>Only approved domains/scopes.</t>
        </is>
      </c>
      <c r="H13" s="419" t="inlineStr">
        <is>
          <t>Not Started</t>
        </is>
      </c>
    </row>
    <row r="14" ht="44" customHeight="1" s="401">
      <c r="A14" s="419" t="inlineStr">
        <is>
          <t>AG-11</t>
        </is>
      </c>
      <c r="B14" s="419" t="inlineStr">
        <is>
          <t>QA Agent</t>
        </is>
      </c>
      <c r="C14" s="419" t="inlineStr">
        <is>
          <t>MVP</t>
        </is>
      </c>
      <c r="D14" s="419" t="inlineStr">
        <is>
          <t>Creates/selects unit, integration, E2E and visual tests.</t>
        </is>
      </c>
      <c r="E14" s="419" t="inlineStr">
        <is>
          <t>Impact graph + patch</t>
        </is>
      </c>
      <c r="F14" s="419" t="inlineStr">
        <is>
          <t>Test plan/results</t>
        </is>
      </c>
      <c r="G14" s="419" t="inlineStr">
        <is>
          <t>Cannot mark pass without actual tool result.</t>
        </is>
      </c>
      <c r="H14" s="419" t="inlineStr">
        <is>
          <t>Not Started</t>
        </is>
      </c>
    </row>
    <row r="15" ht="44" customHeight="1" s="401">
      <c r="A15" s="419" t="inlineStr">
        <is>
          <t>AG-12</t>
        </is>
      </c>
      <c r="B15" s="419" t="inlineStr">
        <is>
          <t>Security Agent</t>
        </is>
      </c>
      <c r="C15" s="419" t="inlineStr">
        <is>
          <t>MVP</t>
        </is>
      </c>
      <c r="D15" s="419" t="inlineStr">
        <is>
          <t>Threat-focused review and scanner orchestration.</t>
        </is>
      </c>
      <c r="E15" s="419" t="inlineStr">
        <is>
          <t>Patch, dependencies, data flow</t>
        </is>
      </c>
      <c r="F15" s="419" t="inlineStr">
        <is>
          <t>Findings/severity</t>
        </is>
      </c>
      <c r="G15" s="419" t="inlineStr">
        <is>
          <t>High severity blocks release.</t>
        </is>
      </c>
      <c r="H15" s="419" t="inlineStr">
        <is>
          <t>Not Started</t>
        </is>
      </c>
    </row>
    <row r="16" ht="44" customHeight="1" s="401">
      <c r="A16" s="419" t="inlineStr">
        <is>
          <t>AG-13</t>
        </is>
      </c>
      <c r="B16" s="419" t="inlineStr">
        <is>
          <t>Code Review Agent</t>
        </is>
      </c>
      <c r="C16" s="419" t="inlineStr">
        <is>
          <t>MVP</t>
        </is>
      </c>
      <c r="D16" s="419" t="inlineStr">
        <is>
          <t>Checks correctness, style, duplication, architecture and unexpected changes.</t>
        </is>
      </c>
      <c r="E16" s="419" t="inlineStr">
        <is>
          <t>Diff, tests, ADRs</t>
        </is>
      </c>
      <c r="F16" s="419" t="inlineStr">
        <is>
          <t>Review verdict</t>
        </is>
      </c>
      <c r="G16" s="419" t="inlineStr">
        <is>
          <t>Independent model where feasible.</t>
        </is>
      </c>
      <c r="H16" s="419" t="inlineStr">
        <is>
          <t>Not Started</t>
        </is>
      </c>
    </row>
    <row r="17" ht="44" customHeight="1" s="401">
      <c r="A17" s="419" t="inlineStr">
        <is>
          <t>AG-14</t>
        </is>
      </c>
      <c r="B17" s="419" t="inlineStr">
        <is>
          <t>Deployment Agent</t>
        </is>
      </c>
      <c r="C17" s="419" t="inlineStr">
        <is>
          <t>MVP</t>
        </is>
      </c>
      <c r="D17" s="419" t="inlineStr">
        <is>
          <t>Builds immutable artifacts and deploys approved versions.</t>
        </is>
      </c>
      <c r="E17" s="419" t="inlineStr">
        <is>
          <t>Commit + environment policy</t>
        </is>
      </c>
      <c r="F17" s="419" t="inlineStr">
        <is>
          <t>Build/deploy status</t>
        </is>
      </c>
      <c r="G17" s="419" t="inlineStr">
        <is>
          <t>Production action requires policy approval.</t>
        </is>
      </c>
      <c r="H17" s="419" t="inlineStr">
        <is>
          <t>Not Started</t>
        </is>
      </c>
    </row>
    <row r="18" ht="44" customHeight="1" s="401">
      <c r="A18" s="419" t="inlineStr">
        <is>
          <t>AG-15</t>
        </is>
      </c>
      <c r="B18" s="419" t="inlineStr">
        <is>
          <t>Recovery Agent</t>
        </is>
      </c>
      <c r="C18" s="419" t="inlineStr">
        <is>
          <t>MID</t>
        </is>
      </c>
      <c r="D18" s="419" t="inlineStr">
        <is>
          <t>Diagnoses failed builds/tests and proposes bounded fixes.</t>
        </is>
      </c>
      <c r="E18" s="419" t="inlineStr">
        <is>
          <t>Failure trace</t>
        </is>
      </c>
      <c r="F18" s="419" t="inlineStr">
        <is>
          <t>Root cause + patch</t>
        </is>
      </c>
      <c r="G18" s="419" t="inlineStr">
        <is>
          <t>Strict retry/tool/time budget.</t>
        </is>
      </c>
      <c r="H18" s="419" t="inlineStr">
        <is>
          <t>Not Started</t>
        </is>
      </c>
    </row>
    <row r="19" ht="44" customHeight="1" s="401">
      <c r="A19" s="419" t="inlineStr">
        <is>
          <t>AG-16</t>
        </is>
      </c>
      <c r="B19" s="419" t="inlineStr">
        <is>
          <t>Cost Controller</t>
        </is>
      </c>
      <c r="C19" s="419" t="inlineStr">
        <is>
          <t>MVP</t>
        </is>
      </c>
      <c r="D19" s="419" t="inlineStr">
        <is>
          <t>Selects model/compute tier and enforces user/platform budgets.</t>
        </is>
      </c>
      <c r="E19" s="419" t="inlineStr">
        <is>
          <t>Task class, usage history</t>
        </is>
      </c>
      <c r="F19" s="419" t="inlineStr">
        <is>
          <t>Budget/routing decision</t>
        </is>
      </c>
      <c r="G19" s="419" t="inlineStr">
        <is>
          <t>Can stop runaway task.</t>
        </is>
      </c>
      <c r="H19" s="419" t="inlineStr">
        <is>
          <t>Not Started</t>
        </is>
      </c>
    </row>
    <row r="20" ht="44" customHeight="1" s="401">
      <c r="A20" s="419" t="inlineStr">
        <is>
          <t>AG-17</t>
        </is>
      </c>
      <c r="B20" s="419" t="inlineStr">
        <is>
          <t>Context Manager</t>
        </is>
      </c>
      <c r="C20" s="419" t="inlineStr">
        <is>
          <t>MVP</t>
        </is>
      </c>
      <c r="D20" s="419" t="inlineStr">
        <is>
          <t>Builds minimal relevant context pack from symbols/graph/memory.</t>
        </is>
      </c>
      <c r="E20" s="419" t="inlineStr">
        <is>
          <t>Task + repo index</t>
        </is>
      </c>
      <c r="F20" s="419" t="inlineStr">
        <is>
          <t>Context package</t>
        </is>
      </c>
      <c r="G20" s="419" t="inlineStr">
        <is>
          <t>Avoids dumping whole repository/chat.</t>
        </is>
      </c>
      <c r="H20" s="419" t="inlineStr">
        <is>
          <t>Not Started</t>
        </is>
      </c>
    </row>
    <row r="21" ht="44" customHeight="1" s="401">
      <c r="A21" s="419" t="inlineStr">
        <is>
          <t>AG-18</t>
        </is>
      </c>
      <c r="B21" s="419" t="inlineStr">
        <is>
          <t>Evaluation Agent</t>
        </is>
      </c>
      <c r="C21" s="419" t="inlineStr">
        <is>
          <t>ADVANCED</t>
        </is>
      </c>
      <c r="D21" s="419" t="inlineStr">
        <is>
          <t>Scores agent/model versions on fixed benchmark suites.</t>
        </is>
      </c>
      <c r="E21" s="419" t="inlineStr">
        <is>
          <t>Candidate agent/model</t>
        </is>
      </c>
      <c r="F21" s="419" t="inlineStr">
        <is>
          <t>Quality/cost/latency score</t>
        </is>
      </c>
      <c r="G21" s="419" t="inlineStr">
        <is>
          <t>No production promotion without threshold.</t>
        </is>
      </c>
      <c r="H21" s="419" t="inlineStr">
        <is>
          <t>Not Started</t>
        </is>
      </c>
    </row>
    <row r="22">
      <c r="A22" s="423" t="inlineStr">
        <is>
          <t>AG-19</t>
        </is>
      </c>
      <c r="B22" s="423" t="inlineStr">
        <is>
          <t>MVP</t>
        </is>
      </c>
      <c r="C22" s="423" t="inlineStr">
        <is>
          <t>Framework Planning Capability</t>
        </is>
      </c>
      <c r="D22" s="423" t="inlineStr">
        <is>
          <t>Product Architect</t>
        </is>
      </c>
      <c r="E22" s="423" t="inlineStr">
        <is>
          <t>Select/recommend target profile from requirement scorecard; not a separate chatty agent unless needed.</t>
        </is>
      </c>
      <c r="F22" s="423" t="inlineStr">
        <is>
          <t>Requirement Spec + target score</t>
        </is>
      </c>
      <c r="G22" s="423" t="inlineStr">
        <is>
          <t>Target Profile + rationale</t>
        </is>
      </c>
      <c r="H22" s="423" t="inlineStr">
        <is>
          <t>Must not decide only from category name.</t>
        </is>
      </c>
    </row>
    <row r="23">
      <c r="A23" s="422" t="inlineStr">
        <is>
          <t>AG-20</t>
        </is>
      </c>
      <c r="B23" s="422" t="inlineStr">
        <is>
          <t>MVP</t>
        </is>
      </c>
      <c r="C23" s="422" t="inlineStr">
        <is>
          <t>Cross-platform Mobile Agent</t>
        </is>
      </c>
      <c r="D23" s="422" t="inlineStr">
        <is>
          <t>Task Planner</t>
        </is>
      </c>
      <c r="E23" s="422" t="inlineStr">
        <is>
          <t>Flutter or React Native generation/modification through framework adapter.</t>
        </is>
      </c>
      <c r="F23" s="422" t="inlineStr">
        <is>
          <t>IR + selected target + relevant repo context</t>
        </is>
      </c>
      <c r="G23" s="422" t="inlineStr">
        <is>
          <t>Mobile patch + tests</t>
        </is>
      </c>
      <c r="H23" s="422" t="inlineStr">
        <is>
          <t>Only the selected framework is active.</t>
        </is>
      </c>
    </row>
    <row r="24">
      <c r="A24" s="423" t="inlineStr">
        <is>
          <t>AG-21</t>
        </is>
      </c>
      <c r="B24" s="423" t="inlineStr">
        <is>
          <t>MVP</t>
        </is>
      </c>
      <c r="C24" s="423" t="inlineStr">
        <is>
          <t>Repository Architect Capability</t>
        </is>
      </c>
      <c r="D24" s="423" t="inlineStr">
        <is>
          <t>Product Architect</t>
        </is>
      </c>
      <c r="E24" s="423" t="inlineStr">
        <is>
          <t>Choose project monorepo layout, package boundaries and Git policies.</t>
        </is>
      </c>
      <c r="F24" s="423" t="inlineStr">
        <is>
          <t>Targets + team + compliance + scale</t>
        </is>
      </c>
      <c r="G24" s="423" t="inlineStr">
        <is>
          <t>Repo plan + ADR</t>
        </is>
      </c>
      <c r="H24" s="423" t="inlineStr">
        <is>
          <t>Monorepo is default; split requires evidence.</t>
        </is>
      </c>
    </row>
    <row r="25">
      <c r="A25" s="422" t="inlineStr">
        <is>
          <t>AG-22</t>
        </is>
      </c>
      <c r="B25" s="422" t="inlineStr">
        <is>
          <t>MID</t>
        </is>
      </c>
      <c r="C25" s="422" t="inlineStr">
        <is>
          <t>Framework Upgrade Agent</t>
        </is>
      </c>
      <c r="D25" s="422" t="inlineStr">
        <is>
          <t>Supervisor</t>
        </is>
      </c>
      <c r="E25" s="422" t="inlineStr">
        <is>
          <t>Plan safe SDK/framework upgrades with migration guides, compilation and regression proof.</t>
        </is>
      </c>
      <c r="F25" s="422" t="inlineStr">
        <is>
          <t>Current framework graph + target versions</t>
        </is>
      </c>
      <c r="G25" s="422" t="inlineStr">
        <is>
          <t>Incremental upgrade PRs</t>
        </is>
      </c>
      <c r="H25" s="422" t="inlineStr">
        <is>
          <t>Never bulk-upgrade all dependencies without gates.</t>
        </is>
      </c>
    </row>
  </sheetData>
  <mergeCells count="2">
    <mergeCell ref="A2:H2"/>
    <mergeCell ref="A1:H1"/>
  </mergeCells>
  <conditionalFormatting sqref="H4:H21">
    <cfRule type="expression" priority="1" dxfId="0">
      <formula>H4="Done"</formula>
    </cfRule>
    <cfRule type="expression" priority="2" dxfId="1">
      <formula>H4="In Progress"</formula>
    </cfRule>
    <cfRule type="expression" priority="3" dxfId="2">
      <formula>H4="Blocked"</formula>
    </cfRule>
    <cfRule type="expression" priority="4" dxfId="3">
      <formula>H4="Deferred"</formula>
    </cfRule>
  </conditionalFormatting>
  <dataValidations count="2">
    <dataValidation sqref="C4:C21" showDropDown="0" showInputMessage="0" showErrorMessage="0" allowBlank="0" type="list">
      <formula1>"MVP,MID,ADVANCED,PRODUCTION"</formula1>
    </dataValidation>
    <dataValidation sqref="H4:H21" showDropDown="0" showInputMessage="0" showErrorMessage="0" allowBlank="0" type="list">
      <formula1>"Not Started,In Progress,Blocked,Done,Deferred"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0" customWidth="1" style="401" min="1" max="1"/>
    <col width="24" customWidth="1" style="401" min="2" max="2"/>
    <col width="60" customWidth="1" style="401" min="3" max="3"/>
    <col width="13" customWidth="1" style="401" min="4" max="4"/>
    <col width="48" customWidth="1" style="401" min="5" max="5"/>
    <col width="16" customWidth="1" style="401" min="6" max="6"/>
    <col width="34" customWidth="1" style="401" min="7" max="7"/>
  </cols>
  <sheetData>
    <row r="1" ht="30" customHeight="1" s="401">
      <c r="A1" s="556" t="inlineStr">
        <is>
          <t>Application IR (Intermediate Representation)</t>
        </is>
      </c>
      <c r="B1" s="547" t="n"/>
      <c r="C1" s="547" t="n"/>
      <c r="D1" s="547" t="n"/>
      <c r="E1" s="547" t="n"/>
      <c r="F1" s="547" t="n"/>
      <c r="G1" s="547" t="n"/>
    </row>
    <row r="2" ht="34" customHeight="1" s="401">
      <c r="A2" s="557" t="inlineStr">
        <is>
          <t>The IR is the source of truth between user intent and generated code. Do not make chat history the source of truth.</t>
        </is>
      </c>
      <c r="B2" s="547" t="n"/>
      <c r="C2" s="547" t="n"/>
      <c r="D2" s="547" t="n"/>
      <c r="E2" s="547" t="n"/>
      <c r="F2" s="547" t="n"/>
      <c r="G2" s="547" t="n"/>
    </row>
    <row r="3" ht="28" customHeight="1" s="401">
      <c r="A3" s="413" t="inlineStr">
        <is>
          <t>ID</t>
        </is>
      </c>
      <c r="B3" s="413" t="inlineStr">
        <is>
          <t>IR Section</t>
        </is>
      </c>
      <c r="C3" s="413" t="inlineStr">
        <is>
          <t>Simple Contents</t>
        </is>
      </c>
      <c r="D3" s="413" t="inlineStr">
        <is>
          <t>Phase</t>
        </is>
      </c>
      <c r="E3" s="413" t="inlineStr">
        <is>
          <t>Why it matters</t>
        </is>
      </c>
      <c r="F3" s="413" t="inlineStr">
        <is>
          <t>Status</t>
        </is>
      </c>
      <c r="G3" s="413" t="inlineStr">
        <is>
          <t>Notes</t>
        </is>
      </c>
    </row>
    <row r="4" ht="38" customHeight="1" s="401">
      <c r="A4" s="419" t="inlineStr">
        <is>
          <t>IR-01</t>
        </is>
      </c>
      <c r="B4" s="419" t="inlineStr">
        <is>
          <t>Identity</t>
        </is>
      </c>
      <c r="C4" s="419" t="inlineStr">
        <is>
          <t>Application name, description, product goals</t>
        </is>
      </c>
      <c r="D4" s="419" t="inlineStr">
        <is>
          <t>MVP</t>
        </is>
      </c>
      <c r="E4" s="419" t="inlineStr">
        <is>
          <t>Canonical product definition</t>
        </is>
      </c>
      <c r="F4" s="419" t="inlineStr">
        <is>
          <t>Not Started</t>
        </is>
      </c>
      <c r="G4" s="419" t="str"/>
    </row>
    <row r="5" ht="38" customHeight="1" s="401">
      <c r="A5" s="419" t="inlineStr">
        <is>
          <t>IR-02</t>
        </is>
      </c>
      <c r="B5" s="419" t="inlineStr">
        <is>
          <t>Platforms</t>
        </is>
      </c>
      <c r="C5" s="419" t="inlineStr">
        <is>
          <t>Android, iOS, web, admin, backend targets</t>
        </is>
      </c>
      <c r="D5" s="419" t="inlineStr">
        <is>
          <t>MVP</t>
        </is>
      </c>
      <c r="E5" s="419" t="inlineStr">
        <is>
          <t>Controls generators/builds</t>
        </is>
      </c>
      <c r="F5" s="419" t="inlineStr">
        <is>
          <t>Not Started</t>
        </is>
      </c>
      <c r="G5" s="419" t="str"/>
    </row>
    <row r="6" ht="38" customHeight="1" s="401">
      <c r="A6" s="419" t="inlineStr">
        <is>
          <t>IR-03</t>
        </is>
      </c>
      <c r="B6" s="419" t="inlineStr">
        <is>
          <t>Personas/Roles</t>
        </is>
      </c>
      <c r="C6" s="419" t="inlineStr">
        <is>
          <t>Customer, driver, admin, operator, etc.</t>
        </is>
      </c>
      <c r="D6" s="419" t="inlineStr">
        <is>
          <t>MVP</t>
        </is>
      </c>
      <c r="E6" s="419" t="inlineStr">
        <is>
          <t>Permissions and flows</t>
        </is>
      </c>
      <c r="F6" s="419" t="inlineStr">
        <is>
          <t>Not Started</t>
        </is>
      </c>
      <c r="G6" s="419" t="str"/>
    </row>
    <row r="7" ht="38" customHeight="1" s="401">
      <c r="A7" s="419" t="inlineStr">
        <is>
          <t>IR-04</t>
        </is>
      </c>
      <c r="B7" s="419" t="inlineStr">
        <is>
          <t>Screens</t>
        </is>
      </c>
      <c r="C7" s="419" t="inlineStr">
        <is>
          <t>Screen tree, components, states and navigation</t>
        </is>
      </c>
      <c r="D7" s="419" t="inlineStr">
        <is>
          <t>MVP</t>
        </is>
      </c>
      <c r="E7" s="419" t="inlineStr">
        <is>
          <t>Cross-platform UI generation and preview</t>
        </is>
      </c>
      <c r="F7" s="419" t="inlineStr">
        <is>
          <t>Not Started</t>
        </is>
      </c>
      <c r="G7" s="419" t="str"/>
    </row>
    <row r="8" ht="38" customHeight="1" s="401">
      <c r="A8" s="419" t="inlineStr">
        <is>
          <t>IR-05</t>
        </is>
      </c>
      <c r="B8" s="419" t="inlineStr">
        <is>
          <t>User Flows</t>
        </is>
      </c>
      <c r="C8" s="419" t="inlineStr">
        <is>
          <t>Ordered actions, success/failure branches</t>
        </is>
      </c>
      <c r="D8" s="419" t="inlineStr">
        <is>
          <t>MVP</t>
        </is>
      </c>
      <c r="E8" s="419" t="inlineStr">
        <is>
          <t>E2E test generation</t>
        </is>
      </c>
      <c r="F8" s="419" t="inlineStr">
        <is>
          <t>Not Started</t>
        </is>
      </c>
      <c r="G8" s="419" t="str"/>
    </row>
    <row r="9" ht="38" customHeight="1" s="401">
      <c r="A9" s="419" t="inlineStr">
        <is>
          <t>IR-06</t>
        </is>
      </c>
      <c r="B9" s="419" t="inlineStr">
        <is>
          <t>Entities</t>
        </is>
      </c>
      <c r="C9" s="419" t="inlineStr">
        <is>
          <t>Domain objects, fields, relations and validation</t>
        </is>
      </c>
      <c r="D9" s="419" t="inlineStr">
        <is>
          <t>MVP</t>
        </is>
      </c>
      <c r="E9" s="419" t="inlineStr">
        <is>
          <t>DB/models/API generation</t>
        </is>
      </c>
      <c r="F9" s="419" t="inlineStr">
        <is>
          <t>Not Started</t>
        </is>
      </c>
      <c r="G9" s="419" t="str"/>
    </row>
    <row r="10" ht="38" customHeight="1" s="401">
      <c r="A10" s="419" t="inlineStr">
        <is>
          <t>IR-07</t>
        </is>
      </c>
      <c r="B10" s="419" t="inlineStr">
        <is>
          <t>APIs</t>
        </is>
      </c>
      <c r="C10" s="419" t="inlineStr">
        <is>
          <t>Endpoints/RPCs, request/response schemas, errors</t>
        </is>
      </c>
      <c r="D10" s="419" t="inlineStr">
        <is>
          <t>MVP</t>
        </is>
      </c>
      <c r="E10" s="419" t="inlineStr">
        <is>
          <t>Typed clients and contract tests</t>
        </is>
      </c>
      <c r="F10" s="419" t="inlineStr">
        <is>
          <t>Not Started</t>
        </is>
      </c>
      <c r="G10" s="419" t="str"/>
    </row>
    <row r="11" ht="38" customHeight="1" s="401">
      <c r="A11" s="419" t="inlineStr">
        <is>
          <t>IR-08</t>
        </is>
      </c>
      <c r="B11" s="419" t="inlineStr">
        <is>
          <t>Events</t>
        </is>
      </c>
      <c r="C11" s="419" t="inlineStr">
        <is>
          <t>Domain events, async jobs, notifications</t>
        </is>
      </c>
      <c r="D11" s="419" t="inlineStr">
        <is>
          <t>MVP</t>
        </is>
      </c>
      <c r="E11" s="419" t="inlineStr">
        <is>
          <t>Queue/event architecture</t>
        </is>
      </c>
      <c r="F11" s="419" t="inlineStr">
        <is>
          <t>Not Started</t>
        </is>
      </c>
      <c r="G11" s="419" t="str"/>
    </row>
    <row r="12" ht="38" customHeight="1" s="401">
      <c r="A12" s="419" t="inlineStr">
        <is>
          <t>IR-09</t>
        </is>
      </c>
      <c r="B12" s="419" t="inlineStr">
        <is>
          <t>Permissions</t>
        </is>
      </c>
      <c r="C12" s="419" t="inlineStr">
        <is>
          <t>Role/resource/action matrix</t>
        </is>
      </c>
      <c r="D12" s="419" t="inlineStr">
        <is>
          <t>MVP</t>
        </is>
      </c>
      <c r="E12" s="419" t="inlineStr">
        <is>
          <t>Auth checks on all clients/services</t>
        </is>
      </c>
      <c r="F12" s="419" t="inlineStr">
        <is>
          <t>Not Started</t>
        </is>
      </c>
      <c r="G12" s="419" t="str"/>
    </row>
    <row r="13" ht="38" customHeight="1" s="401">
      <c r="A13" s="419" t="inlineStr">
        <is>
          <t>IR-10</t>
        </is>
      </c>
      <c r="B13" s="419" t="inlineStr">
        <is>
          <t>Integrations</t>
        </is>
      </c>
      <c r="C13" s="419" t="inlineStr">
        <is>
          <t>Provider, scopes, secrets, webhooks, fallback</t>
        </is>
      </c>
      <c r="D13" s="419" t="inlineStr">
        <is>
          <t>MVP</t>
        </is>
      </c>
      <c r="E13" s="419" t="inlineStr">
        <is>
          <t>Repeatable integration generation</t>
        </is>
      </c>
      <c r="F13" s="419" t="inlineStr">
        <is>
          <t>Not Started</t>
        </is>
      </c>
      <c r="G13" s="419" t="str"/>
    </row>
    <row r="14" ht="38" customHeight="1" s="401">
      <c r="A14" s="419" t="inlineStr">
        <is>
          <t>IR-11</t>
        </is>
      </c>
      <c r="B14" s="419" t="inlineStr">
        <is>
          <t>Non-functional</t>
        </is>
      </c>
      <c r="C14" s="419" t="inlineStr">
        <is>
          <t>Performance, availability, security, privacy</t>
        </is>
      </c>
      <c r="D14" s="419" t="inlineStr">
        <is>
          <t>MID</t>
        </is>
      </c>
      <c r="E14" s="419" t="inlineStr">
        <is>
          <t>Production quality goals</t>
        </is>
      </c>
      <c r="F14" s="419" t="inlineStr">
        <is>
          <t>Not Started</t>
        </is>
      </c>
      <c r="G14" s="419" t="str"/>
    </row>
    <row r="15" ht="38" customHeight="1" s="401">
      <c r="A15" s="419" t="inlineStr">
        <is>
          <t>IR-12</t>
        </is>
      </c>
      <c r="B15" s="419" t="inlineStr">
        <is>
          <t>Design Tokens</t>
        </is>
      </c>
      <c r="C15" s="419" t="inlineStr">
        <is>
          <t>Typography, spacing, colors, components</t>
        </is>
      </c>
      <c r="D15" s="419" t="inlineStr">
        <is>
          <t>MVP</t>
        </is>
      </c>
      <c r="E15" s="419" t="inlineStr">
        <is>
          <t>Consistent UI across targets</t>
        </is>
      </c>
      <c r="F15" s="419" t="inlineStr">
        <is>
          <t>Not Started</t>
        </is>
      </c>
      <c r="G15" s="419" t="str"/>
    </row>
    <row r="16" ht="38" customHeight="1" s="401">
      <c r="A16" s="419" t="inlineStr">
        <is>
          <t>IR-13</t>
        </is>
      </c>
      <c r="B16" s="419" t="inlineStr">
        <is>
          <t>Environment Config</t>
        </is>
      </c>
      <c r="C16" s="419" t="inlineStr">
        <is>
          <t>Dev/preview/staging/prod variables and endpoints</t>
        </is>
      </c>
      <c r="D16" s="419" t="inlineStr">
        <is>
          <t>MVP</t>
        </is>
      </c>
      <c r="E16" s="419" t="inlineStr">
        <is>
          <t>Environment parity</t>
        </is>
      </c>
      <c r="F16" s="419" t="inlineStr">
        <is>
          <t>Not Started</t>
        </is>
      </c>
      <c r="G16" s="419" t="str"/>
    </row>
    <row r="17" ht="38" customHeight="1" s="401">
      <c r="A17" s="419" t="inlineStr">
        <is>
          <t>IR-14</t>
        </is>
      </c>
      <c r="B17" s="419" t="inlineStr">
        <is>
          <t>Architecture Rules</t>
        </is>
      </c>
      <c r="C17" s="419" t="inlineStr">
        <is>
          <t>Allowed dependencies, patterns, module boundaries</t>
        </is>
      </c>
      <c r="D17" s="419" t="inlineStr">
        <is>
          <t>MVP</t>
        </is>
      </c>
      <c r="E17" s="419" t="inlineStr">
        <is>
          <t>Prevents agent drift</t>
        </is>
      </c>
      <c r="F17" s="419" t="inlineStr">
        <is>
          <t>Not Started</t>
        </is>
      </c>
      <c r="G17" s="419" t="str"/>
    </row>
    <row r="18" ht="38" customHeight="1" s="401">
      <c r="A18" s="419" t="inlineStr">
        <is>
          <t>IR-15</t>
        </is>
      </c>
      <c r="B18" s="419" t="inlineStr">
        <is>
          <t>Acceptance Criteria</t>
        </is>
      </c>
      <c r="C18" s="419" t="inlineStr">
        <is>
          <t>Behavior that must be proven before merge</t>
        </is>
      </c>
      <c r="D18" s="419" t="inlineStr">
        <is>
          <t>MVP</t>
        </is>
      </c>
      <c r="E18" s="419" t="inlineStr">
        <is>
          <t>Quality gate</t>
        </is>
      </c>
      <c r="F18" s="419" t="inlineStr">
        <is>
          <t>Not Started</t>
        </is>
      </c>
      <c r="G18" s="419" t="str"/>
    </row>
    <row r="19" ht="38" customHeight="1" s="401">
      <c r="A19" s="419" t="inlineStr">
        <is>
          <t>IR-16</t>
        </is>
      </c>
      <c r="B19" s="419" t="inlineStr">
        <is>
          <t>ADRs</t>
        </is>
      </c>
      <c r="C19" s="419" t="inlineStr">
        <is>
          <t>Approved major technical decisions and rationale</t>
        </is>
      </c>
      <c r="D19" s="419" t="inlineStr">
        <is>
          <t>MVP</t>
        </is>
      </c>
      <c r="E19" s="419" t="inlineStr">
        <is>
          <t>Long-term memory</t>
        </is>
      </c>
      <c r="F19" s="419" t="inlineStr">
        <is>
          <t>Not Started</t>
        </is>
      </c>
      <c r="G19" s="419" t="str"/>
    </row>
    <row r="20" ht="38" customHeight="1" s="401">
      <c r="A20" s="419" t="inlineStr">
        <is>
          <t>IR-17</t>
        </is>
      </c>
      <c r="B20" s="419" t="inlineStr">
        <is>
          <t>Version</t>
        </is>
      </c>
      <c r="C20" s="419" t="inlineStr">
        <is>
          <t>IR schema version + migration support</t>
        </is>
      </c>
      <c r="D20" s="419" t="inlineStr">
        <is>
          <t>MID</t>
        </is>
      </c>
      <c r="E20" s="419" t="inlineStr">
        <is>
          <t>Forward compatibility</t>
        </is>
      </c>
      <c r="F20" s="419" t="inlineStr">
        <is>
          <t>Not Started</t>
        </is>
      </c>
      <c r="G20" s="419" t="str"/>
    </row>
    <row r="21">
      <c r="A21" s="423" t="inlineStr">
        <is>
          <t>IR-18</t>
        </is>
      </c>
      <c r="B21" s="423" t="inlineStr">
        <is>
          <t>target_profile</t>
        </is>
      </c>
      <c r="C21" s="423" t="inlineStr">
        <is>
          <t>Selected mobile/web/backend strategy</t>
        </is>
      </c>
      <c r="D21" s="423" t="inlineStr">
        <is>
          <t>auto | flutter | react_native | native | web_only</t>
        </is>
      </c>
      <c r="E21" s="423" t="inlineStr">
        <is>
          <t>MVP</t>
        </is>
      </c>
      <c r="F21" s="423" t="inlineStr">
        <is>
          <t>Framework adapter activation</t>
        </is>
      </c>
      <c r="G21" s="423" t="inlineStr">
        <is>
          <t>Locked by ADR unless user approves migration</t>
        </is>
      </c>
    </row>
    <row r="22">
      <c r="A22" s="422" t="inlineStr">
        <is>
          <t>IR-19</t>
        </is>
      </c>
      <c r="B22" s="422" t="inlineStr">
        <is>
          <t>framework_config</t>
        </is>
      </c>
      <c r="C22" s="422" t="inlineStr">
        <is>
          <t>Framework/version/toolchain constraints</t>
        </is>
      </c>
      <c r="D22" s="422" t="inlineStr">
        <is>
          <t>flutter 4.x, RN/Expo profile, Kotlin/Swift toolchains</t>
        </is>
      </c>
      <c r="E22" s="422" t="inlineStr">
        <is>
          <t>MVP</t>
        </is>
      </c>
      <c r="F22" s="422" t="inlineStr">
        <is>
          <t>Reproducible builds</t>
        </is>
      </c>
      <c r="G22" s="422" t="inlineStr">
        <is>
          <t>Version ranges must be explicit</t>
        </is>
      </c>
    </row>
    <row r="23">
      <c r="A23" s="423" t="inlineStr">
        <is>
          <t>IR-20</t>
        </is>
      </c>
      <c r="B23" s="423" t="inlineStr">
        <is>
          <t>web_strategy</t>
        </is>
      </c>
      <c r="C23" s="423" t="inlineStr">
        <is>
          <t>Public web rendering strategy</t>
        </is>
      </c>
      <c r="D23" s="423" t="inlineStr">
        <is>
          <t>nextjs | flutter_web | rn_web | pwa</t>
        </is>
      </c>
      <c r="E23" s="423" t="inlineStr">
        <is>
          <t>MVP</t>
        </is>
      </c>
      <c r="F23" s="423" t="inlineStr">
        <is>
          <t>Web generator/preview</t>
        </is>
      </c>
      <c r="G23" s="423" t="inlineStr">
        <is>
          <t>Next.js default</t>
        </is>
      </c>
    </row>
    <row r="24">
      <c r="A24" s="422" t="inlineStr">
        <is>
          <t>IR-21</t>
        </is>
      </c>
      <c r="B24" s="422" t="inlineStr">
        <is>
          <t>admin_strategy</t>
        </is>
      </c>
      <c r="C24" s="422" t="inlineStr">
        <is>
          <t>Admin implementation</t>
        </is>
      </c>
      <c r="D24" s="422" t="inlineStr">
        <is>
          <t>nextjs by default</t>
        </is>
      </c>
      <c r="E24" s="422" t="inlineStr">
        <is>
          <t>MVP</t>
        </is>
      </c>
      <c r="F24" s="422" t="inlineStr">
        <is>
          <t>Admin generator</t>
        </is>
      </c>
      <c r="G24" s="422" t="inlineStr">
        <is>
          <t>Do not inherit mobile framework automatically</t>
        </is>
      </c>
    </row>
    <row r="25">
      <c r="A25" s="423" t="inlineStr">
        <is>
          <t>IR-22</t>
        </is>
      </c>
      <c r="B25" s="423" t="inlineStr">
        <is>
          <t>shared_code_policy</t>
        </is>
      </c>
      <c r="C25" s="423" t="inlineStr">
        <is>
          <t>What is allowed to be shared across targets</t>
        </is>
      </c>
      <c r="D25" s="423" t="inlineStr">
        <is>
          <t>contracts, tokens, validation, domain rules, selected UI packages</t>
        </is>
      </c>
      <c r="E25" s="423" t="inlineStr">
        <is>
          <t>MVP</t>
        </is>
      </c>
      <c r="F25" s="423" t="inlineStr">
        <is>
          <t>Repo/package boundaries</t>
        </is>
      </c>
      <c r="G25" s="423" t="inlineStr">
        <is>
          <t>Never force sharing that harms native quality</t>
        </is>
      </c>
    </row>
    <row r="26">
      <c r="A26" s="422" t="inlineStr">
        <is>
          <t>IR-23</t>
        </is>
      </c>
      <c r="B26" s="422" t="inlineStr">
        <is>
          <t>repo_strategy</t>
        </is>
      </c>
      <c r="C26" s="422" t="inlineStr">
        <is>
          <t>Repository organization</t>
        </is>
      </c>
      <c r="D26" s="422" t="inlineStr">
        <is>
          <t>customer_project_monorepo | approved_multi_repo</t>
        </is>
      </c>
      <c r="E26" s="422" t="inlineStr">
        <is>
          <t>MVP</t>
        </is>
      </c>
      <c r="F26" s="422" t="inlineStr">
        <is>
          <t>Git/change impact</t>
        </is>
      </c>
      <c r="G26" s="422" t="inlineStr">
        <is>
          <t>Monorepo default</t>
        </is>
      </c>
    </row>
    <row r="27">
      <c r="A27" s="423" t="inlineStr">
        <is>
          <t>IR-24</t>
        </is>
      </c>
      <c r="B27" s="423" t="inlineStr">
        <is>
          <t>repo_modules</t>
        </is>
      </c>
      <c r="C27" s="423" t="inlineStr">
        <is>
          <t>Canonical module/package map</t>
        </is>
      </c>
      <c r="D27" s="423" t="inlineStr">
        <is>
          <t>apps, services, packages, db, infra, tests, docs, .ai</t>
        </is>
      </c>
      <c r="E27" s="423" t="inlineStr">
        <is>
          <t>MVP</t>
        </is>
      </c>
      <c r="F27" s="423" t="inlineStr">
        <is>
          <t>Context/index/build graph</t>
        </is>
      </c>
      <c r="G27" s="423" t="inlineStr">
        <is>
          <t>Generated from profile</t>
        </is>
      </c>
    </row>
    <row r="28">
      <c r="A28" s="422" t="inlineStr">
        <is>
          <t>IR-25</t>
        </is>
      </c>
      <c r="B28" s="422" t="inlineStr">
        <is>
          <t>build_matrix</t>
        </is>
      </c>
      <c r="C28" s="422" t="inlineStr">
        <is>
          <t>Required compile/test targets</t>
        </is>
      </c>
      <c r="D28" s="422" t="inlineStr">
        <is>
          <t>android, ios, web, admin, api + framework-specific variants</t>
        </is>
      </c>
      <c r="E28" s="422" t="inlineStr">
        <is>
          <t>MVP</t>
        </is>
      </c>
      <c r="F28" s="422" t="inlineStr">
        <is>
          <t>Task gates</t>
        </is>
      </c>
      <c r="G28" s="422" t="inlineStr">
        <is>
          <t>Only affected/required targets on each task</t>
        </is>
      </c>
    </row>
    <row r="29">
      <c r="A29" s="423" t="inlineStr">
        <is>
          <t>IR-26</t>
        </is>
      </c>
      <c r="B29" s="423" t="inlineStr">
        <is>
          <t>migration_plan</t>
        </is>
      </c>
      <c r="C29" s="423" t="inlineStr">
        <is>
          <t>Framework/repo migration intent</t>
        </is>
      </c>
      <c r="D29" s="423" t="inlineStr">
        <is>
          <t>source profile, destination, staged constraints</t>
        </is>
      </c>
      <c r="E29" s="423" t="inlineStr">
        <is>
          <t>ADVANCED</t>
        </is>
      </c>
      <c r="F29" s="423" t="inlineStr">
        <is>
          <t>Safe target migrations</t>
        </is>
      </c>
      <c r="G29" s="423" t="inlineStr">
        <is>
          <t>Never rewrite entire product in one task</t>
        </is>
      </c>
    </row>
  </sheetData>
  <mergeCells count="2">
    <mergeCell ref="A2:G2"/>
    <mergeCell ref="A1:G1"/>
  </mergeCells>
  <conditionalFormatting sqref="F4:F20">
    <cfRule type="expression" priority="1" dxfId="0">
      <formula>F4="Done"</formula>
    </cfRule>
    <cfRule type="expression" priority="2" dxfId="1">
      <formula>F4="In Progress"</formula>
    </cfRule>
    <cfRule type="expression" priority="3" dxfId="2">
      <formula>F4="Blocked"</formula>
    </cfRule>
    <cfRule type="expression" priority="4" dxfId="3">
      <formula>F4="Deferred"</formula>
    </cfRule>
  </conditionalFormatting>
  <dataValidations count="1">
    <dataValidation sqref="F4:F20" showDropDown="0" showInputMessage="0" showErrorMessage="0" allowBlank="0" type="list">
      <formula1>"Not Started,In Progress,Blocked,Done,Deferred"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0" customWidth="1" style="401" min="1" max="1"/>
    <col width="26" customWidth="1" style="401" min="2" max="2"/>
    <col width="62" customWidth="1" style="401" min="3" max="3"/>
    <col width="13" customWidth="1" style="401" min="4" max="4"/>
    <col width="40" customWidth="1" style="401" min="5" max="5"/>
    <col width="16" customWidth="1" style="401" min="6" max="6"/>
    <col width="34" customWidth="1" style="401" min="7" max="7"/>
  </cols>
  <sheetData>
    <row r="1" ht="30" customHeight="1" s="401">
      <c r="A1" s="558" t="inlineStr">
        <is>
          <t>Change Impact Engine</t>
        </is>
      </c>
      <c r="B1" s="547" t="n"/>
      <c r="C1" s="547" t="n"/>
      <c r="D1" s="547" t="n"/>
      <c r="E1" s="547" t="n"/>
      <c r="F1" s="547" t="n"/>
      <c r="G1" s="547" t="n"/>
    </row>
    <row r="2" ht="34" customHeight="1" s="401">
      <c r="A2" s="557" t="inlineStr">
        <is>
          <t>No agent should edit code until impact, risk, expected files and validation are known.</t>
        </is>
      </c>
      <c r="B2" s="547" t="n"/>
      <c r="C2" s="547" t="n"/>
      <c r="D2" s="547" t="n"/>
      <c r="E2" s="547" t="n"/>
      <c r="F2" s="547" t="n"/>
      <c r="G2" s="547" t="n"/>
    </row>
    <row r="3" ht="28" customHeight="1" s="401">
      <c r="A3" s="413" t="inlineStr">
        <is>
          <t>Step</t>
        </is>
      </c>
      <c r="B3" s="413" t="inlineStr">
        <is>
          <t>Name</t>
        </is>
      </c>
      <c r="C3" s="413" t="inlineStr">
        <is>
          <t>Simple Requirement</t>
        </is>
      </c>
      <c r="D3" s="413" t="inlineStr">
        <is>
          <t>Phase</t>
        </is>
      </c>
      <c r="E3" s="413" t="inlineStr">
        <is>
          <t>Output</t>
        </is>
      </c>
      <c r="F3" s="413" t="inlineStr">
        <is>
          <t>Status</t>
        </is>
      </c>
      <c r="G3" s="413" t="inlineStr">
        <is>
          <t>Notes</t>
        </is>
      </c>
    </row>
    <row r="4" ht="38" customHeight="1" s="401">
      <c r="A4" s="419" t="inlineStr">
        <is>
          <t>CI-01</t>
        </is>
      </c>
      <c r="B4" s="419" t="inlineStr">
        <is>
          <t>Parse request</t>
        </is>
      </c>
      <c r="C4" s="419" t="inlineStr">
        <is>
          <t>Convert requested change into explicit expected behavior.</t>
        </is>
      </c>
      <c r="D4" s="419" t="inlineStr">
        <is>
          <t>MVP</t>
        </is>
      </c>
      <c r="E4" s="419" t="inlineStr">
        <is>
          <t>No code change yet</t>
        </is>
      </c>
      <c r="F4" s="419" t="inlineStr">
        <is>
          <t>Not Started</t>
        </is>
      </c>
      <c r="G4" s="419" t="str"/>
    </row>
    <row r="5" ht="38" customHeight="1" s="401">
      <c r="A5" s="419" t="inlineStr">
        <is>
          <t>CI-02</t>
        </is>
      </c>
      <c r="B5" s="419" t="inlineStr">
        <is>
          <t>Map to IR</t>
        </is>
      </c>
      <c r="C5" s="419" t="inlineStr">
        <is>
          <t>Find affected roles, screens, entities, APIs, events and integrations.</t>
        </is>
      </c>
      <c r="D5" s="419" t="inlineStr">
        <is>
          <t>MVP</t>
        </is>
      </c>
      <c r="E5" s="419" t="inlineStr">
        <is>
          <t>Impact candidates</t>
        </is>
      </c>
      <c r="F5" s="419" t="inlineStr">
        <is>
          <t>Not Started</t>
        </is>
      </c>
      <c r="G5" s="419" t="str"/>
    </row>
    <row r="6" ht="38" customHeight="1" s="401">
      <c r="A6" s="419" t="inlineStr">
        <is>
          <t>CI-03</t>
        </is>
      </c>
      <c r="B6" s="419" t="inlineStr">
        <is>
          <t>Dependency graph</t>
        </is>
      </c>
      <c r="C6" s="419" t="inlineStr">
        <is>
          <t>Find dependent modules/symbols/routes/tables/tests.</t>
        </is>
      </c>
      <c r="D6" s="419" t="inlineStr">
        <is>
          <t>MVP</t>
        </is>
      </c>
      <c r="E6" s="419" t="inlineStr">
        <is>
          <t>Expected change set</t>
        </is>
      </c>
      <c r="F6" s="419" t="inlineStr">
        <is>
          <t>Not Started</t>
        </is>
      </c>
      <c r="G6" s="419" t="str"/>
    </row>
    <row r="7" ht="38" customHeight="1" s="401">
      <c r="A7" s="419" t="inlineStr">
        <is>
          <t>CI-04</t>
        </is>
      </c>
      <c r="B7" s="419" t="inlineStr">
        <is>
          <t>Risk classify</t>
        </is>
      </c>
      <c r="C7" s="419" t="inlineStr">
        <is>
          <t>UI-only / business logic / schema / auth / payments / infra.</t>
        </is>
      </c>
      <c r="D7" s="419" t="inlineStr">
        <is>
          <t>MVP</t>
        </is>
      </c>
      <c r="E7" s="419" t="inlineStr">
        <is>
          <t>Risk level</t>
        </is>
      </c>
      <c r="F7" s="419" t="inlineStr">
        <is>
          <t>Not Started</t>
        </is>
      </c>
      <c r="G7" s="419" t="str"/>
    </row>
    <row r="8" ht="38" customHeight="1" s="401">
      <c r="A8" s="419" t="inlineStr">
        <is>
          <t>CI-05</t>
        </is>
      </c>
      <c r="B8" s="419" t="inlineStr">
        <is>
          <t>Set blast radius</t>
        </is>
      </c>
      <c r="C8" s="419" t="inlineStr">
        <is>
          <t>Expected files/modules + allowed exception threshold.</t>
        </is>
      </c>
      <c r="D8" s="419" t="inlineStr">
        <is>
          <t>MVP</t>
        </is>
      </c>
      <c r="E8" s="419" t="inlineStr">
        <is>
          <t>Edit policy</t>
        </is>
      </c>
      <c r="F8" s="419" t="inlineStr">
        <is>
          <t>Not Started</t>
        </is>
      </c>
      <c r="G8" s="419" t="str"/>
    </row>
    <row r="9" ht="38" customHeight="1" s="401">
      <c r="A9" s="419" t="inlineStr">
        <is>
          <t>CI-06</t>
        </is>
      </c>
      <c r="B9" s="419" t="inlineStr">
        <is>
          <t>Select tests</t>
        </is>
      </c>
      <c r="C9" s="419" t="inlineStr">
        <is>
          <t>Choose relevant existing tests and required new tests.</t>
        </is>
      </c>
      <c r="D9" s="419" t="inlineStr">
        <is>
          <t>MVP</t>
        </is>
      </c>
      <c r="E9" s="419" t="inlineStr">
        <is>
          <t>Validation plan</t>
        </is>
      </c>
      <c r="F9" s="419" t="inlineStr">
        <is>
          <t>Not Started</t>
        </is>
      </c>
      <c r="G9" s="419" t="str"/>
    </row>
    <row r="10" ht="38" customHeight="1" s="401">
      <c r="A10" s="419" t="inlineStr">
        <is>
          <t>CI-07</t>
        </is>
      </c>
      <c r="B10" s="419" t="inlineStr">
        <is>
          <t>Generate patch</t>
        </is>
      </c>
      <c r="C10" s="419" t="inlineStr">
        <is>
          <t>Use structured symbol/AST edits.</t>
        </is>
      </c>
      <c r="D10" s="419" t="inlineStr">
        <is>
          <t>MVP</t>
        </is>
      </c>
      <c r="E10" s="419" t="inlineStr">
        <is>
          <t>Minimal diff</t>
        </is>
      </c>
      <c r="F10" s="419" t="inlineStr">
        <is>
          <t>Not Started</t>
        </is>
      </c>
      <c r="G10" s="419" t="str"/>
    </row>
    <row r="11" ht="38" customHeight="1" s="401">
      <c r="A11" s="419" t="inlineStr">
        <is>
          <t>CI-08</t>
        </is>
      </c>
      <c r="B11" s="419" t="inlineStr">
        <is>
          <t>Compare actual impact</t>
        </is>
      </c>
      <c r="C11" s="419" t="inlineStr">
        <is>
          <t>Unexpected file/module/API/schema changes cause reject/review.</t>
        </is>
      </c>
      <c r="D11" s="419" t="inlineStr">
        <is>
          <t>MVP</t>
        </is>
      </c>
      <c r="E11" s="419" t="inlineStr">
        <is>
          <t>Safety decision</t>
        </is>
      </c>
      <c r="F11" s="419" t="inlineStr">
        <is>
          <t>Not Started</t>
        </is>
      </c>
      <c r="G11" s="419" t="str"/>
    </row>
    <row r="12" ht="38" customHeight="1" s="401">
      <c r="A12" s="419" t="inlineStr">
        <is>
          <t>CI-09</t>
        </is>
      </c>
      <c r="B12" s="419" t="inlineStr">
        <is>
          <t>Compile + static checks</t>
        </is>
      </c>
      <c r="C12" s="419" t="inlineStr">
        <is>
          <t>Validate all affected targets.</t>
        </is>
      </c>
      <c r="D12" s="419" t="inlineStr">
        <is>
          <t>MVP</t>
        </is>
      </c>
      <c r="E12" s="419" t="inlineStr">
        <is>
          <t>Build verdict</t>
        </is>
      </c>
      <c r="F12" s="419" t="inlineStr">
        <is>
          <t>Not Started</t>
        </is>
      </c>
      <c r="G12" s="419" t="str"/>
    </row>
    <row r="13" ht="38" customHeight="1" s="401">
      <c r="A13" s="419" t="inlineStr">
        <is>
          <t>CI-10</t>
        </is>
      </c>
      <c r="B13" s="419" t="inlineStr">
        <is>
          <t>Regression</t>
        </is>
      </c>
      <c r="C13" s="419" t="inlineStr">
        <is>
          <t>Run impacted + mandatory critical flow tests.</t>
        </is>
      </c>
      <c r="D13" s="419" t="inlineStr">
        <is>
          <t>MVP</t>
        </is>
      </c>
      <c r="E13" s="419" t="inlineStr">
        <is>
          <t>Regression verdict</t>
        </is>
      </c>
      <c r="F13" s="419" t="inlineStr">
        <is>
          <t>Not Started</t>
        </is>
      </c>
      <c r="G13" s="419" t="str"/>
    </row>
    <row r="14" ht="38" customHeight="1" s="401">
      <c r="A14" s="419" t="inlineStr">
        <is>
          <t>CI-11</t>
        </is>
      </c>
      <c r="B14" s="419" t="inlineStr">
        <is>
          <t>Review + merge</t>
        </is>
      </c>
      <c r="C14" s="419" t="inlineStr">
        <is>
          <t>Only accepted change enters main branch.</t>
        </is>
      </c>
      <c r="D14" s="419" t="inlineStr">
        <is>
          <t>MVP</t>
        </is>
      </c>
      <c r="E14" s="419" t="inlineStr">
        <is>
          <t>Stable checkpoint</t>
        </is>
      </c>
      <c r="F14" s="419" t="inlineStr">
        <is>
          <t>Not Started</t>
        </is>
      </c>
      <c r="G14" s="419" t="str"/>
    </row>
  </sheetData>
  <mergeCells count="2">
    <mergeCell ref="A2:G2"/>
    <mergeCell ref="A1:G1"/>
  </mergeCells>
  <conditionalFormatting sqref="F4:F14">
    <cfRule type="expression" priority="1" dxfId="0">
      <formula>F4="Done"</formula>
    </cfRule>
    <cfRule type="expression" priority="2" dxfId="1">
      <formula>F4="In Progress"</formula>
    </cfRule>
    <cfRule type="expression" priority="3" dxfId="2">
      <formula>F4="Blocked"</formula>
    </cfRule>
    <cfRule type="expression" priority="4" dxfId="3">
      <formula>F4="Deferred"</formula>
    </cfRule>
  </conditionalFormatting>
  <dataValidations count="1">
    <dataValidation sqref="F4:F14" showDropDown="0" showInputMessage="0" showErrorMessage="0" allowBlank="0" type="list">
      <formula1>"Not Started,In Progress,Blocked,Done,Deferred"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401" min="1" max="1"/>
    <col width="31" customWidth="1" style="401" min="2" max="2"/>
    <col width="34" customWidth="1" style="401" min="3" max="3"/>
    <col width="27" customWidth="1" style="401" min="4" max="4"/>
    <col width="28" customWidth="1" style="401" min="5" max="5"/>
    <col width="15" customWidth="1" style="401" min="6" max="6"/>
    <col width="17" customWidth="1" style="401" min="7" max="7"/>
    <col width="40" customWidth="1" style="401" min="8" max="8"/>
  </cols>
  <sheetData>
    <row r="1" ht="30" customHeight="1" s="401">
      <c r="A1" s="552" t="inlineStr">
        <is>
          <t>OmniStackAI V5 — Preview Build Matrix</t>
        </is>
      </c>
      <c r="B1" s="547" t="n"/>
      <c r="C1" s="547" t="n"/>
      <c r="D1" s="547" t="n"/>
      <c r="E1" s="547" t="n"/>
      <c r="F1" s="547" t="n"/>
      <c r="G1" s="547" t="n"/>
      <c r="H1" s="547" t="n"/>
    </row>
    <row r="2" ht="34" customHeight="1" s="401">
      <c r="A2" s="553" t="inlineStr">
        <is>
          <t>Cost-aware verification ladder. Instant Browser Preview is always the first/default user option; real physical device comes before paid cloud devices when it proves the same requirement.</t>
        </is>
      </c>
      <c r="B2" s="547" t="n"/>
      <c r="C2" s="547" t="n"/>
      <c r="D2" s="547" t="n"/>
      <c r="E2" s="547" t="n"/>
      <c r="F2" s="547" t="n"/>
      <c r="G2" s="547" t="n"/>
      <c r="H2" s="547" t="n"/>
    </row>
    <row r="3" ht="28" customHeight="1" s="401">
      <c r="A3" s="434" t="n"/>
      <c r="B3" s="434" t="n"/>
      <c r="C3" s="434" t="n"/>
      <c r="D3" s="434" t="n"/>
      <c r="E3" s="434" t="n"/>
      <c r="F3" s="434" t="n"/>
      <c r="G3" s="434" t="n"/>
      <c r="H3" s="434" t="n"/>
    </row>
    <row r="4" ht="28" customHeight="1" s="401">
      <c r="A4" s="141" t="inlineStr">
        <is>
          <t>Target/Profile</t>
        </is>
      </c>
      <c r="B4" s="142" t="inlineStr">
        <is>
          <t>Instant Browser Preview</t>
        </is>
      </c>
      <c r="C4" s="142" t="inlineStr">
        <is>
          <t>Real Device Path</t>
        </is>
      </c>
      <c r="D4" s="142" t="inlineStr">
        <is>
          <t>Cloud Device</t>
        </is>
      </c>
      <c r="E4" s="142" t="inlineStr">
        <is>
          <t>Real Compile/Build</t>
        </is>
      </c>
      <c r="F4" s="142" t="inlineStr">
        <is>
          <t>Mac Required?</t>
        </is>
      </c>
      <c r="G4" s="142" t="inlineStr">
        <is>
          <t>Relative Cost</t>
        </is>
      </c>
      <c r="H4" s="143" t="inlineStr">
        <is>
          <t>Proof / Limitation</t>
        </is>
      </c>
    </row>
    <row r="5" ht="42" customHeight="1" s="401">
      <c r="A5" s="144" t="inlineStr">
        <is>
          <t>Next.js web/admin</t>
        </is>
      </c>
      <c r="B5" s="145" t="inlineStr">
        <is>
          <t>Actual running code URL</t>
        </is>
      </c>
      <c r="C5" s="145" t="inlineStr">
        <is>
          <t>Open URL / QR in browser</t>
        </is>
      </c>
      <c r="D5" s="145" t="inlineStr">
        <is>
          <t>Normally unnecessary</t>
        </is>
      </c>
      <c r="E5" s="145" t="inlineStr">
        <is>
          <t>Linux/Node</t>
        </is>
      </c>
      <c r="F5" s="145" t="inlineStr">
        <is>
          <t>No</t>
        </is>
      </c>
      <c r="G5" s="145" t="inlineStr">
        <is>
          <t>Lowest</t>
        </is>
      </c>
      <c r="H5" s="146" t="inlineStr">
        <is>
          <t>Browser preview is real web runtime</t>
        </is>
      </c>
    </row>
    <row r="6" ht="42" customHeight="1" s="401">
      <c r="A6" s="223" t="inlineStr">
        <is>
          <t>Expo / React Native</t>
        </is>
      </c>
      <c r="B6" s="514" t="inlineStr">
        <is>
          <t>Expo Web or interactive preview</t>
        </is>
      </c>
      <c r="C6" s="514" t="inlineStr">
        <is>
          <t>QR -&gt; Expo Go / custom dev client</t>
        </is>
      </c>
      <c r="D6" s="514" t="inlineStr">
        <is>
          <t>Optional Android/iOS</t>
        </is>
      </c>
      <c r="E6" s="514" t="inlineStr">
        <is>
          <t>Android Linux; iOS via EAS/macOS</t>
        </is>
      </c>
      <c r="F6" s="514" t="inlineStr">
        <is>
          <t>Only iOS native build</t>
        </is>
      </c>
      <c r="G6" s="514" t="inlineStr">
        <is>
          <t>Very low-low</t>
        </is>
      </c>
      <c r="H6" s="225" t="inlineStr">
        <is>
          <t>Native fingerprint decides rebuild</t>
        </is>
      </c>
    </row>
    <row r="7" ht="42" customHeight="1" s="401">
      <c r="A7" s="147" t="inlineStr">
        <is>
          <t>Bare React Native</t>
        </is>
      </c>
      <c r="B7" s="455" t="inlineStr">
        <is>
          <t>Interactive/browser where compatible</t>
        </is>
      </c>
      <c r="C7" s="455" t="inlineStr">
        <is>
          <t>Android APK QR; iOS TestFlight/dev build</t>
        </is>
      </c>
      <c r="D7" s="455" t="inlineStr">
        <is>
          <t>Optional</t>
        </is>
      </c>
      <c r="E7" s="455" t="inlineStr">
        <is>
          <t>Android Linux; iOS macOS</t>
        </is>
      </c>
      <c r="F7" s="455" t="inlineStr">
        <is>
          <t>iOS only</t>
        </is>
      </c>
      <c r="G7" s="455" t="inlineStr">
        <is>
          <t>Low-medium</t>
        </is>
      </c>
      <c r="H7" s="149" t="inlineStr">
        <is>
          <t>Native modules need real build</t>
        </is>
      </c>
    </row>
    <row r="8" ht="42" customHeight="1" s="401">
      <c r="A8" s="223" t="inlineStr">
        <is>
          <t>Flutter</t>
        </is>
      </c>
      <c r="B8" s="514" t="inlineStr">
        <is>
          <t>Flutter Web if selected or IR preview</t>
        </is>
      </c>
      <c r="C8" s="514" t="inlineStr">
        <is>
          <t>Android APK QR; iOS TestFlight/dev build</t>
        </is>
      </c>
      <c r="D8" s="514" t="inlineStr">
        <is>
          <t>Optional</t>
        </is>
      </c>
      <c r="E8" s="514" t="inlineStr">
        <is>
          <t>Android Linux; iOS macOS</t>
        </is>
      </c>
      <c r="F8" s="514" t="inlineStr">
        <is>
          <t>iOS only</t>
        </is>
      </c>
      <c r="G8" s="514" t="inlineStr">
        <is>
          <t>Low-medium</t>
        </is>
      </c>
      <c r="H8" s="225" t="inlineStr">
        <is>
          <t>No universal Expo-Go equivalent</t>
        </is>
      </c>
    </row>
    <row r="9" ht="42" customHeight="1" s="401">
      <c r="A9" s="147" t="inlineStr">
        <is>
          <t>Native Android</t>
        </is>
      </c>
      <c r="B9" s="455" t="inlineStr">
        <is>
          <t>IR/browser interactive representation</t>
        </is>
      </c>
      <c r="C9" s="455" t="inlineStr">
        <is>
          <t>QR -&gt; signed test APK</t>
        </is>
      </c>
      <c r="D9" s="455" t="inlineStr">
        <is>
          <t>Optional Linux/KVM emulator</t>
        </is>
      </c>
      <c r="E9" s="455" t="inlineStr">
        <is>
          <t>Gradle/Linux</t>
        </is>
      </c>
      <c r="F9" s="455" t="inlineStr">
        <is>
          <t>No</t>
        </is>
      </c>
      <c r="G9" s="455" t="inlineStr">
        <is>
          <t>Medium</t>
        </is>
      </c>
      <c r="H9" s="149" t="inlineStr">
        <is>
          <t>Browser does not prove Android API/hardware</t>
        </is>
      </c>
    </row>
    <row r="10" ht="42" customHeight="1" s="401">
      <c r="A10" s="223" t="inlineStr">
        <is>
          <t>Native iOS</t>
        </is>
      </c>
      <c r="B10" s="514" t="inlineStr">
        <is>
          <t>IR/browser interactive representation</t>
        </is>
      </c>
      <c r="C10" s="514" t="inlineStr">
        <is>
          <t>TestFlight/dev provisioning -&gt; real iPhone</t>
        </is>
      </c>
      <c r="D10" s="514" t="inlineStr">
        <is>
          <t>Optional iOS Simulator</t>
        </is>
      </c>
      <c r="E10" s="514" t="inlineStr">
        <is>
          <t>Xcode/macOS</t>
        </is>
      </c>
      <c r="F10" s="514" t="inlineStr">
        <is>
          <t>Yes</t>
        </is>
      </c>
      <c r="G10" s="514" t="inlineStr">
        <is>
          <t>Medium-high</t>
        </is>
      </c>
      <c r="H10" s="225" t="inlineStr">
        <is>
          <t>Apple tooling/signing unavoidable for real build</t>
        </is>
      </c>
    </row>
    <row r="11" ht="42" customHeight="1" s="401">
      <c r="A11" s="156" t="inlineStr">
        <is>
          <t>Hardware/OS-specific</t>
        </is>
      </c>
      <c r="B11" s="157" t="inlineStr">
        <is>
          <t>Preview for UI only</t>
        </is>
      </c>
      <c r="C11" s="157" t="inlineStr">
        <is>
          <t>Matching physical device recommended</t>
        </is>
      </c>
      <c r="D11" s="157" t="inlineStr">
        <is>
          <t>Use exact emulator/simulator/device when needed</t>
        </is>
      </c>
      <c r="E11" s="157" t="inlineStr">
        <is>
          <t>Real target toolchain</t>
        </is>
      </c>
      <c r="F11" s="157" t="inlineStr">
        <is>
          <t>Depends</t>
        </is>
      </c>
      <c r="G11" s="157" t="inlineStr">
        <is>
          <t>High only when required</t>
        </is>
      </c>
      <c r="H11" s="158" t="inlineStr">
        <is>
          <t>Verification policy must escalate</t>
        </is>
      </c>
    </row>
    <row r="12">
      <c r="A12" s="423" t="n"/>
      <c r="B12" s="423" t="n"/>
      <c r="C12" s="423" t="n"/>
      <c r="D12" s="423" t="n"/>
      <c r="E12" s="423" t="n"/>
      <c r="F12" s="423" t="n"/>
      <c r="G12" s="423" t="n"/>
      <c r="H12" s="423" t="n"/>
    </row>
    <row r="13">
      <c r="A13" s="422" t="n"/>
      <c r="B13" s="422" t="n"/>
      <c r="C13" s="422" t="n"/>
      <c r="D13" s="422" t="n"/>
      <c r="E13" s="422" t="n"/>
      <c r="F13" s="422" t="n"/>
      <c r="G13" s="422" t="n"/>
      <c r="H13" s="422" t="n"/>
    </row>
    <row r="14">
      <c r="A14" s="423" t="n"/>
      <c r="B14" s="423" t="n"/>
      <c r="C14" s="423" t="n"/>
      <c r="D14" s="423" t="n"/>
      <c r="E14" s="423" t="n"/>
      <c r="F14" s="423" t="n"/>
      <c r="G14" s="423" t="n"/>
      <c r="H14" s="423" t="n"/>
    </row>
    <row r="15">
      <c r="A15" s="421" t="n"/>
      <c r="B15" s="421" t="n"/>
      <c r="C15" s="421" t="n"/>
      <c r="D15" s="421" t="n"/>
      <c r="E15" s="421" t="n"/>
      <c r="F15" s="421" t="n"/>
      <c r="G15" s="421" t="n"/>
      <c r="H15" s="421" t="n"/>
    </row>
    <row r="16">
      <c r="A16" s="421" t="n"/>
      <c r="B16" s="421" t="n"/>
      <c r="C16" s="421" t="n"/>
      <c r="D16" s="421" t="n"/>
      <c r="E16" s="421" t="n"/>
      <c r="F16" s="421" t="n"/>
      <c r="G16" s="421" t="n"/>
      <c r="H16" s="421" t="n"/>
    </row>
  </sheetData>
  <mergeCells count="2">
    <mergeCell ref="A2:H2"/>
    <mergeCell ref="A1:H1"/>
  </mergeCells>
  <conditionalFormatting sqref="H4:H11">
    <cfRule type="expression" priority="1" dxfId="0">
      <formula>H4="Done"</formula>
    </cfRule>
    <cfRule type="expression" priority="2" dxfId="1">
      <formula>H4="In Progress"</formula>
    </cfRule>
    <cfRule type="expression" priority="3" dxfId="2">
      <formula>H4="Blocked"</formula>
    </cfRule>
    <cfRule type="expression" priority="4" dxfId="3">
      <formula>H4="Deferred"</formula>
    </cfRule>
  </conditionalFormatting>
  <dataValidations count="1">
    <dataValidation sqref="H4:H11" showDropDown="0" showInputMessage="0" showErrorMessage="0" allowBlank="0" type="list">
      <formula1>"Not Started,In Progress,Blocked,Done,Deferred"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0" customWidth="1" style="401" min="1" max="1"/>
    <col width="26" customWidth="1" style="401" min="2" max="2"/>
    <col width="56" customWidth="1" style="401" min="3" max="3"/>
    <col width="13" customWidth="1" style="401" min="4" max="4"/>
    <col width="40" customWidth="1" style="401" min="5" max="5"/>
    <col width="16" customWidth="1" style="401" min="6" max="6"/>
    <col width="34" customWidth="1" style="401" min="7" max="7"/>
  </cols>
  <sheetData>
    <row r="1" ht="30" customHeight="1" s="401">
      <c r="A1" s="558" t="inlineStr">
        <is>
          <t>Testing &amp; Quality Gates</t>
        </is>
      </c>
      <c r="B1" s="547" t="n"/>
      <c r="C1" s="547" t="n"/>
      <c r="D1" s="547" t="n"/>
      <c r="E1" s="547" t="n"/>
      <c r="F1" s="547" t="n"/>
      <c r="G1" s="547" t="n"/>
    </row>
    <row r="2" ht="34" customHeight="1" s="401">
      <c r="A2" s="557" t="inlineStr">
        <is>
          <t>Quality is a release gate, not a prompt suggestion. A task is accepted only after required checks pass.</t>
        </is>
      </c>
      <c r="B2" s="547" t="n"/>
      <c r="C2" s="547" t="n"/>
      <c r="D2" s="547" t="n"/>
      <c r="E2" s="547" t="n"/>
      <c r="F2" s="547" t="n"/>
      <c r="G2" s="547" t="n"/>
    </row>
    <row r="3" ht="28" customHeight="1" s="401">
      <c r="A3" s="413" t="inlineStr">
        <is>
          <t>ID</t>
        </is>
      </c>
      <c r="B3" s="413" t="inlineStr">
        <is>
          <t>Gate</t>
        </is>
      </c>
      <c r="C3" s="413" t="inlineStr">
        <is>
          <t>Requirement</t>
        </is>
      </c>
      <c r="D3" s="413" t="inlineStr">
        <is>
          <t>Phase</t>
        </is>
      </c>
      <c r="E3" s="413" t="inlineStr">
        <is>
          <t>Success Measure</t>
        </is>
      </c>
      <c r="F3" s="413" t="inlineStr">
        <is>
          <t>Status</t>
        </is>
      </c>
      <c r="G3" s="413" t="inlineStr">
        <is>
          <t>Notes</t>
        </is>
      </c>
    </row>
    <row r="4" ht="38" customHeight="1" s="401">
      <c r="A4" s="419" t="inlineStr">
        <is>
          <t>TQ-01</t>
        </is>
      </c>
      <c r="B4" s="419" t="inlineStr">
        <is>
          <t>Compile gate</t>
        </is>
      </c>
      <c r="C4" s="419" t="inlineStr">
        <is>
          <t>All affected targets compile before merge.</t>
        </is>
      </c>
      <c r="D4" s="419" t="inlineStr">
        <is>
          <t>MVP</t>
        </is>
      </c>
      <c r="E4" s="419" t="inlineStr">
        <is>
          <t>100% affected target build success</t>
        </is>
      </c>
      <c r="F4" s="419" t="inlineStr">
        <is>
          <t>Not Started</t>
        </is>
      </c>
      <c r="G4" s="419" t="str"/>
    </row>
    <row r="5" ht="38" customHeight="1" s="401">
      <c r="A5" s="419" t="inlineStr">
        <is>
          <t>TQ-02</t>
        </is>
      </c>
      <c r="B5" s="419" t="inlineStr">
        <is>
          <t>Unit tests</t>
        </is>
      </c>
      <c r="C5" s="419" t="inlineStr">
        <is>
          <t>Business logic functions/classes.</t>
        </is>
      </c>
      <c r="D5" s="419" t="inlineStr">
        <is>
          <t>MVP</t>
        </is>
      </c>
      <c r="E5" s="419" t="inlineStr">
        <is>
          <t>New core logic covered</t>
        </is>
      </c>
      <c r="F5" s="419" t="inlineStr">
        <is>
          <t>Not Started</t>
        </is>
      </c>
      <c r="G5" s="419" t="str"/>
    </row>
    <row r="6" ht="38" customHeight="1" s="401">
      <c r="A6" s="419" t="inlineStr">
        <is>
          <t>TQ-03</t>
        </is>
      </c>
      <c r="B6" s="419" t="inlineStr">
        <is>
          <t>Integration tests</t>
        </is>
      </c>
      <c r="C6" s="419" t="inlineStr">
        <is>
          <t>DB, APIs, queues and provider adapters.</t>
        </is>
      </c>
      <c r="D6" s="419" t="inlineStr">
        <is>
          <t>MVP</t>
        </is>
      </c>
      <c r="E6" s="419" t="inlineStr">
        <is>
          <t>Critical integrations covered</t>
        </is>
      </c>
      <c r="F6" s="419" t="inlineStr">
        <is>
          <t>Not Started</t>
        </is>
      </c>
      <c r="G6" s="419" t="str"/>
    </row>
    <row r="7" ht="38" customHeight="1" s="401">
      <c r="A7" s="419" t="inlineStr">
        <is>
          <t>TQ-04</t>
        </is>
      </c>
      <c r="B7" s="419" t="inlineStr">
        <is>
          <t>API contract tests</t>
        </is>
      </c>
      <c r="C7" s="419" t="inlineStr">
        <is>
          <t>Backend and generated clients stay compatible.</t>
        </is>
      </c>
      <c r="D7" s="419" t="inlineStr">
        <is>
          <t>MVP</t>
        </is>
      </c>
      <c r="E7" s="419" t="inlineStr">
        <is>
          <t>0 incompatible contract drift</t>
        </is>
      </c>
      <c r="F7" s="419" t="inlineStr">
        <is>
          <t>Not Started</t>
        </is>
      </c>
      <c r="G7" s="419" t="str"/>
    </row>
    <row r="8" ht="38" customHeight="1" s="401">
      <c r="A8" s="419" t="inlineStr">
        <is>
          <t>TQ-05</t>
        </is>
      </c>
      <c r="B8" s="419" t="inlineStr">
        <is>
          <t>E2E critical flows</t>
        </is>
      </c>
      <c r="C8" s="419" t="inlineStr">
        <is>
          <t>Login, core transaction, error and logout flows.</t>
        </is>
      </c>
      <c r="D8" s="419" t="inlineStr">
        <is>
          <t>MVP</t>
        </is>
      </c>
      <c r="E8" s="419" t="inlineStr">
        <is>
          <t>Critical smoke suite pass</t>
        </is>
      </c>
      <c r="F8" s="419" t="inlineStr">
        <is>
          <t>Not Started</t>
        </is>
      </c>
      <c r="G8" s="419" t="str"/>
    </row>
    <row r="9" ht="38" customHeight="1" s="401">
      <c r="A9" s="419" t="inlineStr">
        <is>
          <t>TQ-06</t>
        </is>
      </c>
      <c r="B9" s="419" t="inlineStr">
        <is>
          <t>Regression gate</t>
        </is>
      </c>
      <c r="C9" s="419" t="inlineStr">
        <is>
          <t>Previously passing critical tests remain green.</t>
        </is>
      </c>
      <c r="D9" s="419" t="inlineStr">
        <is>
          <t>MVP</t>
        </is>
      </c>
      <c r="E9" s="419" t="inlineStr">
        <is>
          <t>0 known regression on merge</t>
        </is>
      </c>
      <c r="F9" s="419" t="inlineStr">
        <is>
          <t>Not Started</t>
        </is>
      </c>
      <c r="G9" s="419" t="str"/>
    </row>
    <row r="10" ht="38" customHeight="1" s="401">
      <c r="A10" s="419" t="inlineStr">
        <is>
          <t>TQ-07</t>
        </is>
      </c>
      <c r="B10" s="419" t="inlineStr">
        <is>
          <t>Migration tests</t>
        </is>
      </c>
      <c r="C10" s="419" t="inlineStr">
        <is>
          <t>Forward/rollback and data preservation.</t>
        </is>
      </c>
      <c r="D10" s="419" t="inlineStr">
        <is>
          <t>MVP</t>
        </is>
      </c>
      <c r="E10" s="419" t="inlineStr">
        <is>
          <t>No unapproved destructive changes</t>
        </is>
      </c>
      <c r="F10" s="419" t="inlineStr">
        <is>
          <t>Not Started</t>
        </is>
      </c>
      <c r="G10" s="419" t="str"/>
    </row>
    <row r="11" ht="38" customHeight="1" s="401">
      <c r="A11" s="419" t="inlineStr">
        <is>
          <t>TQ-08</t>
        </is>
      </c>
      <c r="B11" s="419" t="inlineStr">
        <is>
          <t>Visual regression</t>
        </is>
      </c>
      <c r="C11" s="419" t="inlineStr">
        <is>
          <t>Screenshot baseline by platform/device.</t>
        </is>
      </c>
      <c r="D11" s="419" t="inlineStr">
        <is>
          <t>MID</t>
        </is>
      </c>
      <c r="E11" s="419" t="inlineStr">
        <is>
          <t>Diff below threshold or approved</t>
        </is>
      </c>
      <c r="F11" s="419" t="inlineStr">
        <is>
          <t>Not Started</t>
        </is>
      </c>
      <c r="G11" s="419" t="str"/>
    </row>
    <row r="12" ht="38" customHeight="1" s="401">
      <c r="A12" s="419" t="inlineStr">
        <is>
          <t>TQ-09</t>
        </is>
      </c>
      <c r="B12" s="419" t="inlineStr">
        <is>
          <t>Accessibility</t>
        </is>
      </c>
      <c r="C12" s="419" t="inlineStr">
        <is>
          <t>Semantic labels, contrast, keyboard/focus where applicable.</t>
        </is>
      </c>
      <c r="D12" s="419" t="inlineStr">
        <is>
          <t>MID</t>
        </is>
      </c>
      <c r="E12" s="419" t="inlineStr">
        <is>
          <t>No critical accessibility findings</t>
        </is>
      </c>
      <c r="F12" s="419" t="inlineStr">
        <is>
          <t>Not Started</t>
        </is>
      </c>
      <c r="G12" s="419" t="str"/>
    </row>
    <row r="13" ht="38" customHeight="1" s="401">
      <c r="A13" s="419" t="inlineStr">
        <is>
          <t>TQ-10</t>
        </is>
      </c>
      <c r="B13" s="419" t="inlineStr">
        <is>
          <t>Performance</t>
        </is>
      </c>
      <c r="C13" s="419" t="inlineStr">
        <is>
          <t>API latency, query, JS bundle, app memory/startup budgets.</t>
        </is>
      </c>
      <c r="D13" s="419" t="inlineStr">
        <is>
          <t>MID</t>
        </is>
      </c>
      <c r="E13" s="419" t="inlineStr">
        <is>
          <t>Within project budgets</t>
        </is>
      </c>
      <c r="F13" s="419" t="inlineStr">
        <is>
          <t>Not Started</t>
        </is>
      </c>
      <c r="G13" s="419" t="str"/>
    </row>
    <row r="14" ht="38" customHeight="1" s="401">
      <c r="A14" s="419" t="inlineStr">
        <is>
          <t>TQ-11</t>
        </is>
      </c>
      <c r="B14" s="419" t="inlineStr">
        <is>
          <t>Security tests</t>
        </is>
      </c>
      <c r="C14" s="419" t="inlineStr">
        <is>
          <t>Authz, input, secret, dependency and DAST checks.</t>
        </is>
      </c>
      <c r="D14" s="419" t="inlineStr">
        <is>
          <t>MID</t>
        </is>
      </c>
      <c r="E14" s="419" t="inlineStr">
        <is>
          <t>No open critical/high release blockers</t>
        </is>
      </c>
      <c r="F14" s="419" t="inlineStr">
        <is>
          <t>Not Started</t>
        </is>
      </c>
      <c r="G14" s="419" t="str"/>
    </row>
    <row r="15" ht="38" customHeight="1" s="401">
      <c r="A15" s="419" t="inlineStr">
        <is>
          <t>TQ-12</t>
        </is>
      </c>
      <c r="B15" s="419" t="inlineStr">
        <is>
          <t>Chaos/recovery</t>
        </is>
      </c>
      <c r="C15" s="419" t="inlineStr">
        <is>
          <t>Dependency failure and retry behavior.</t>
        </is>
      </c>
      <c r="D15" s="419" t="inlineStr">
        <is>
          <t>ADVANCED</t>
        </is>
      </c>
      <c r="E15" s="419" t="inlineStr">
        <is>
          <t>Defined graceful degradation</t>
        </is>
      </c>
      <c r="F15" s="419" t="inlineStr">
        <is>
          <t>Not Started</t>
        </is>
      </c>
      <c r="G15" s="419" t="str"/>
    </row>
    <row r="16" ht="38" customHeight="1" s="401">
      <c r="A16" s="419" t="inlineStr">
        <is>
          <t>TQ-13</t>
        </is>
      </c>
      <c r="B16" s="419" t="inlineStr">
        <is>
          <t>Physical device</t>
        </is>
      </c>
      <c r="C16" s="419" t="inlineStr">
        <is>
          <t>Selected iOS/Android device coverage.</t>
        </is>
      </c>
      <c r="D16" s="419" t="inlineStr">
        <is>
          <t>ADVANCED</t>
        </is>
      </c>
      <c r="E16" s="419" t="inlineStr">
        <is>
          <t>Pass defined device matrix</t>
        </is>
      </c>
      <c r="F16" s="419" t="inlineStr">
        <is>
          <t>Not Started</t>
        </is>
      </c>
      <c r="G16" s="419" t="str"/>
    </row>
    <row r="17" ht="38" customHeight="1" s="401">
      <c r="A17" s="419" t="inlineStr">
        <is>
          <t>TQ-14</t>
        </is>
      </c>
      <c r="B17" s="419" t="inlineStr">
        <is>
          <t>Release qualification</t>
        </is>
      </c>
      <c r="C17" s="419" t="inlineStr">
        <is>
          <t>Full platform compatibility suite before platform release.</t>
        </is>
      </c>
      <c r="D17" s="419" t="inlineStr">
        <is>
          <t>PRODUCTION</t>
        </is>
      </c>
      <c r="E17" s="419" t="inlineStr">
        <is>
          <t>100% mandatory suite pass</t>
        </is>
      </c>
      <c r="F17" s="419" t="inlineStr">
        <is>
          <t>Not Started</t>
        </is>
      </c>
      <c r="G17" s="419" t="str"/>
    </row>
  </sheetData>
  <mergeCells count="2">
    <mergeCell ref="A2:G2"/>
    <mergeCell ref="A1:G1"/>
  </mergeCells>
  <conditionalFormatting sqref="F4:F17">
    <cfRule type="expression" priority="1" dxfId="0">
      <formula>F4="Done"</formula>
    </cfRule>
    <cfRule type="expression" priority="2" dxfId="1">
      <formula>F4="In Progress"</formula>
    </cfRule>
    <cfRule type="expression" priority="3" dxfId="2">
      <formula>F4="Blocked"</formula>
    </cfRule>
    <cfRule type="expression" priority="4" dxfId="3">
      <formula>F4="Deferred"</formula>
    </cfRule>
  </conditionalFormatting>
  <dataValidations count="1">
    <dataValidation sqref="F4:F17" showDropDown="0" showInputMessage="0" showErrorMessage="0" allowBlank="0" type="list">
      <formula1>"Not Started,In Progress,Blocked,Done,Deferred"</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0" customWidth="1" style="401" min="1" max="1"/>
    <col width="28" customWidth="1" style="401" min="2" max="2"/>
    <col width="58" customWidth="1" style="401" min="3" max="3"/>
    <col width="13" customWidth="1" style="401" min="4" max="4"/>
    <col width="44" customWidth="1" style="401" min="5" max="5"/>
    <col width="16" customWidth="1" style="401" min="6" max="6"/>
    <col width="34" customWidth="1" style="401" min="7" max="7"/>
  </cols>
  <sheetData>
    <row r="1" ht="30" customHeight="1" s="401">
      <c r="A1" s="558" t="inlineStr">
        <is>
          <t>Security Requirements</t>
        </is>
      </c>
      <c r="B1" s="547" t="n"/>
      <c r="C1" s="547" t="n"/>
      <c r="D1" s="547" t="n"/>
      <c r="E1" s="547" t="n"/>
      <c r="F1" s="547" t="n"/>
      <c r="G1" s="547" t="n"/>
    </row>
    <row r="2" ht="34" customHeight="1" s="401">
      <c r="A2" s="557" t="inlineStr">
        <is>
          <t>Assume generated code, repository text, dependencies and sandbox activity can be hostile. Agents never get unrestricted secrets or production permissions.</t>
        </is>
      </c>
      <c r="B2" s="547" t="n"/>
      <c r="C2" s="547" t="n"/>
      <c r="D2" s="547" t="n"/>
      <c r="E2" s="547" t="n"/>
      <c r="F2" s="547" t="n"/>
      <c r="G2" s="547" t="n"/>
    </row>
    <row r="3" ht="28" customHeight="1" s="401">
      <c r="A3" s="413" t="inlineStr">
        <is>
          <t>ID</t>
        </is>
      </c>
      <c r="B3" s="413" t="inlineStr">
        <is>
          <t>Control</t>
        </is>
      </c>
      <c r="C3" s="413" t="inlineStr">
        <is>
          <t>Simple Requirement</t>
        </is>
      </c>
      <c r="D3" s="413" t="inlineStr">
        <is>
          <t>Phase</t>
        </is>
      </c>
      <c r="E3" s="413" t="inlineStr">
        <is>
          <t>Acceptance / Evidence</t>
        </is>
      </c>
      <c r="F3" s="413" t="inlineStr">
        <is>
          <t>Status</t>
        </is>
      </c>
      <c r="G3" s="413" t="inlineStr">
        <is>
          <t>Notes</t>
        </is>
      </c>
    </row>
    <row r="4" ht="40" customHeight="1" s="401">
      <c r="A4" s="419" t="inlineStr">
        <is>
          <t>SEC-01</t>
        </is>
      </c>
      <c r="B4" s="419" t="inlineStr">
        <is>
          <t>Tenant isolation</t>
        </is>
      </c>
      <c r="C4" s="419" t="inlineStr">
        <is>
          <t>Separate project data, sandboxes, secrets and storage prefixes.</t>
        </is>
      </c>
      <c r="D4" s="419" t="inlineStr">
        <is>
          <t>MVP</t>
        </is>
      </c>
      <c r="E4" s="419" t="inlineStr">
        <is>
          <t>Cross-tenant access tests pass</t>
        </is>
      </c>
      <c r="F4" s="419" t="inlineStr">
        <is>
          <t>Not Started</t>
        </is>
      </c>
      <c r="G4" s="419" t="str"/>
    </row>
    <row r="5" ht="40" customHeight="1" s="401">
      <c r="A5" s="419" t="inlineStr">
        <is>
          <t>SEC-02</t>
        </is>
      </c>
      <c r="B5" s="419" t="inlineStr">
        <is>
          <t>Ephemeral sandboxes</t>
        </is>
      </c>
      <c r="C5" s="419" t="inlineStr">
        <is>
          <t>Destroy task environment after use; immutable base images.</t>
        </is>
      </c>
      <c r="D5" s="419" t="inlineStr">
        <is>
          <t>MVP</t>
        </is>
      </c>
      <c r="E5" s="419" t="inlineStr">
        <is>
          <t>No state leak between tasks</t>
        </is>
      </c>
      <c r="F5" s="419" t="inlineStr">
        <is>
          <t>Not Started</t>
        </is>
      </c>
      <c r="G5" s="419" t="str"/>
    </row>
    <row r="6" ht="40" customHeight="1" s="401">
      <c r="A6" s="419" t="inlineStr">
        <is>
          <t>SEC-03</t>
        </is>
      </c>
      <c r="B6" s="419" t="inlineStr">
        <is>
          <t>Least privilege tools</t>
        </is>
      </c>
      <c r="C6" s="419" t="inlineStr">
        <is>
          <t>Each agent gets only required tools/actions.</t>
        </is>
      </c>
      <c r="D6" s="419" t="inlineStr">
        <is>
          <t>MVP</t>
        </is>
      </c>
      <c r="E6" s="419" t="inlineStr">
        <is>
          <t>Capability manifest enforced</t>
        </is>
      </c>
      <c r="F6" s="419" t="inlineStr">
        <is>
          <t>Not Started</t>
        </is>
      </c>
      <c r="G6" s="419" t="str"/>
    </row>
    <row r="7" ht="40" customHeight="1" s="401">
      <c r="A7" s="419" t="inlineStr">
        <is>
          <t>SEC-04</t>
        </is>
      </c>
      <c r="B7" s="419" t="inlineStr">
        <is>
          <t>Secret vault</t>
        </is>
      </c>
      <c r="C7" s="419" t="inlineStr">
        <is>
          <t>Encrypt and scope secrets; short-lived tokens to sandboxes.</t>
        </is>
      </c>
      <c r="D7" s="419" t="inlineStr">
        <is>
          <t>MVP</t>
        </is>
      </c>
      <c r="E7" s="419" t="inlineStr">
        <is>
          <t>Secrets never appear in chat/logs</t>
        </is>
      </c>
      <c r="F7" s="419" t="inlineStr">
        <is>
          <t>Not Started</t>
        </is>
      </c>
      <c r="G7" s="419" t="str"/>
    </row>
    <row r="8" ht="40" customHeight="1" s="401">
      <c r="A8" s="419" t="inlineStr">
        <is>
          <t>SEC-05</t>
        </is>
      </c>
      <c r="B8" s="419" t="inlineStr">
        <is>
          <t>Network egress controls</t>
        </is>
      </c>
      <c r="C8" s="419" t="inlineStr">
        <is>
          <t>Block unexpected outbound access from untrusted builds.</t>
        </is>
      </c>
      <c r="D8" s="419" t="inlineStr">
        <is>
          <t>MID</t>
        </is>
      </c>
      <c r="E8" s="419" t="inlineStr">
        <is>
          <t>Policy logged and enforceable</t>
        </is>
      </c>
      <c r="F8" s="419" t="inlineStr">
        <is>
          <t>Not Started</t>
        </is>
      </c>
      <c r="G8" s="419" t="str"/>
    </row>
    <row r="9" ht="40" customHeight="1" s="401">
      <c r="A9" s="419" t="inlineStr">
        <is>
          <t>SEC-06</t>
        </is>
      </c>
      <c r="B9" s="419" t="inlineStr">
        <is>
          <t>Prompt injection defense</t>
        </is>
      </c>
      <c r="C9" s="419" t="inlineStr">
        <is>
          <t>Treat repository/docs as untrusted content, not system instructions.</t>
        </is>
      </c>
      <c r="D9" s="419" t="inlineStr">
        <is>
          <t>MVP</t>
        </is>
      </c>
      <c r="E9" s="419" t="inlineStr">
        <is>
          <t>Tool policy cannot be overridden by repo text</t>
        </is>
      </c>
      <c r="F9" s="419" t="inlineStr">
        <is>
          <t>Not Started</t>
        </is>
      </c>
      <c r="G9" s="419" t="str"/>
    </row>
    <row r="10" ht="40" customHeight="1" s="401">
      <c r="A10" s="419" t="inlineStr">
        <is>
          <t>SEC-07</t>
        </is>
      </c>
      <c r="B10" s="419" t="inlineStr">
        <is>
          <t>Dependency scanning</t>
        </is>
      </c>
      <c r="C10" s="419" t="inlineStr">
        <is>
          <t>Known CVE and package integrity checks.</t>
        </is>
      </c>
      <c r="D10" s="419" t="inlineStr">
        <is>
          <t>MVP</t>
        </is>
      </c>
      <c r="E10" s="419" t="inlineStr">
        <is>
          <t>Critical vulnerabilities block release</t>
        </is>
      </c>
      <c r="F10" s="419" t="inlineStr">
        <is>
          <t>Not Started</t>
        </is>
      </c>
      <c r="G10" s="419" t="str"/>
    </row>
    <row r="11" ht="40" customHeight="1" s="401">
      <c r="A11" s="419" t="inlineStr">
        <is>
          <t>SEC-08</t>
        </is>
      </c>
      <c r="B11" s="419" t="inlineStr">
        <is>
          <t>SAST</t>
        </is>
      </c>
      <c r="C11" s="419" t="inlineStr">
        <is>
          <t>Static security analysis for generated/changed code.</t>
        </is>
      </c>
      <c r="D11" s="419" t="inlineStr">
        <is>
          <t>MVP</t>
        </is>
      </c>
      <c r="E11" s="419" t="inlineStr">
        <is>
          <t>No open critical release blockers</t>
        </is>
      </c>
      <c r="F11" s="419" t="inlineStr">
        <is>
          <t>Not Started</t>
        </is>
      </c>
      <c r="G11" s="419" t="str"/>
    </row>
    <row r="12" ht="40" customHeight="1" s="401">
      <c r="A12" s="419" t="inlineStr">
        <is>
          <t>SEC-09</t>
        </is>
      </c>
      <c r="B12" s="419" t="inlineStr">
        <is>
          <t>DAST</t>
        </is>
      </c>
      <c r="C12" s="419" t="inlineStr">
        <is>
          <t>Dynamic scan staging deployments.</t>
        </is>
      </c>
      <c r="D12" s="419" t="inlineStr">
        <is>
          <t>MID</t>
        </is>
      </c>
      <c r="E12" s="419" t="inlineStr">
        <is>
          <t>No open critical/high blockers</t>
        </is>
      </c>
      <c r="F12" s="419" t="inlineStr">
        <is>
          <t>Not Started</t>
        </is>
      </c>
      <c r="G12" s="419" t="str"/>
    </row>
    <row r="13" ht="40" customHeight="1" s="401">
      <c r="A13" s="419" t="inlineStr">
        <is>
          <t>SEC-10</t>
        </is>
      </c>
      <c r="B13" s="419" t="inlineStr">
        <is>
          <t>SBOM</t>
        </is>
      </c>
      <c r="C13" s="419" t="inlineStr">
        <is>
          <t>Generate per release with licenses/versions.</t>
        </is>
      </c>
      <c r="D13" s="419" t="inlineStr">
        <is>
          <t>MID</t>
        </is>
      </c>
      <c r="E13" s="419" t="inlineStr">
        <is>
          <t>Artifact attached to release</t>
        </is>
      </c>
      <c r="F13" s="419" t="inlineStr">
        <is>
          <t>Not Started</t>
        </is>
      </c>
      <c r="G13" s="419" t="str"/>
    </row>
    <row r="14" ht="40" customHeight="1" s="401">
      <c r="A14" s="419" t="inlineStr">
        <is>
          <t>SEC-11</t>
        </is>
      </c>
      <c r="B14" s="419" t="inlineStr">
        <is>
          <t>Audit log</t>
        </is>
      </c>
      <c r="C14" s="419" t="inlineStr">
        <is>
          <t>Who/what model changed/deployed/accessed secrets.</t>
        </is>
      </c>
      <c r="D14" s="419" t="inlineStr">
        <is>
          <t>MVP</t>
        </is>
      </c>
      <c r="E14" s="419" t="inlineStr">
        <is>
          <t>Tamper-resistant audit events</t>
        </is>
      </c>
      <c r="F14" s="419" t="inlineStr">
        <is>
          <t>Not Started</t>
        </is>
      </c>
      <c r="G14" s="419" t="str"/>
    </row>
    <row r="15" ht="40" customHeight="1" s="401">
      <c r="A15" s="419" t="inlineStr">
        <is>
          <t>SEC-12</t>
        </is>
      </c>
      <c r="B15" s="419" t="inlineStr">
        <is>
          <t>Signing isolation</t>
        </is>
      </c>
      <c r="C15" s="419" t="inlineStr">
        <is>
          <t>Android/iOS signing keys accessible only to release service.</t>
        </is>
      </c>
      <c r="D15" s="419" t="inlineStr">
        <is>
          <t>MVP</t>
        </is>
      </c>
      <c r="E15" s="419" t="inlineStr">
        <is>
          <t>Agent cannot read/export raw private key</t>
        </is>
      </c>
      <c r="F15" s="419" t="inlineStr">
        <is>
          <t>Not Started</t>
        </is>
      </c>
      <c r="G15" s="419" t="str"/>
    </row>
    <row r="16" ht="40" customHeight="1" s="401">
      <c r="A16" s="419" t="inlineStr">
        <is>
          <t>SEC-13</t>
        </is>
      </c>
      <c r="B16" s="419" t="inlineStr">
        <is>
          <t>Encryption</t>
        </is>
      </c>
      <c r="C16" s="419" t="inlineStr">
        <is>
          <t>TLS in transit; encrypted DB/object storage/backups.</t>
        </is>
      </c>
      <c r="D16" s="419" t="inlineStr">
        <is>
          <t>MVP</t>
        </is>
      </c>
      <c r="E16" s="419" t="inlineStr">
        <is>
          <t>Policy enforced</t>
        </is>
      </c>
      <c r="F16" s="419" t="inlineStr">
        <is>
          <t>Not Started</t>
        </is>
      </c>
      <c r="G16" s="419" t="str"/>
    </row>
    <row r="17" ht="40" customHeight="1" s="401">
      <c r="A17" s="419" t="inlineStr">
        <is>
          <t>SEC-14</t>
        </is>
      </c>
      <c r="B17" s="419" t="inlineStr">
        <is>
          <t>Data retention/deletion</t>
        </is>
      </c>
      <c r="C17" s="419" t="inlineStr">
        <is>
          <t>Project/account retention and deletion rules.</t>
        </is>
      </c>
      <c r="D17" s="419" t="inlineStr">
        <is>
          <t>PRODUCTION</t>
        </is>
      </c>
      <c r="E17" s="419" t="inlineStr">
        <is>
          <t>Verified deletion workflow</t>
        </is>
      </c>
      <c r="F17" s="419" t="inlineStr">
        <is>
          <t>Not Started</t>
        </is>
      </c>
      <c r="G17" s="419" t="str"/>
    </row>
    <row r="18" ht="40" customHeight="1" s="401">
      <c r="A18" s="419" t="inlineStr">
        <is>
          <t>SEC-15</t>
        </is>
      </c>
      <c r="B18" s="419" t="inlineStr">
        <is>
          <t>SSO/RBAC</t>
        </is>
      </c>
      <c r="C18" s="419" t="inlineStr">
        <is>
          <t>Enterprise identity and approval roles.</t>
        </is>
      </c>
      <c r="D18" s="419" t="inlineStr">
        <is>
          <t>ADVANCED</t>
        </is>
      </c>
      <c r="E18" s="419" t="inlineStr">
        <is>
          <t>Role tests pass</t>
        </is>
      </c>
      <c r="F18" s="419" t="inlineStr">
        <is>
          <t>Not Started</t>
        </is>
      </c>
      <c r="G18" s="419" t="str"/>
    </row>
  </sheetData>
  <mergeCells count="2">
    <mergeCell ref="A2:G2"/>
    <mergeCell ref="A1:G1"/>
  </mergeCells>
  <conditionalFormatting sqref="F4:F18">
    <cfRule type="expression" priority="1" dxfId="0">
      <formula>F4="Done"</formula>
    </cfRule>
    <cfRule type="expression" priority="2" dxfId="1">
      <formula>F4="In Progress"</formula>
    </cfRule>
    <cfRule type="expression" priority="3" dxfId="2">
      <formula>F4="Blocked"</formula>
    </cfRule>
    <cfRule type="expression" priority="4" dxfId="3">
      <formula>F4="Deferred"</formula>
    </cfRule>
  </conditionalFormatting>
  <dataValidations count="1">
    <dataValidation sqref="F4:F18" showDropDown="0" showInputMessage="0" showErrorMessage="0" allowBlank="0" type="list">
      <formula1>"Not Started,In Progress,Blocked,Done,Deferred"</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0" customWidth="1" style="401" min="1" max="1"/>
    <col width="24" customWidth="1" style="401" min="2" max="2"/>
    <col width="48" customWidth="1" style="401" min="3" max="3"/>
    <col width="13" customWidth="1" style="401" min="4" max="4"/>
    <col width="54" customWidth="1" style="401" min="5" max="5"/>
    <col width="16" customWidth="1" style="401" min="6" max="6"/>
    <col width="34" customWidth="1" style="401" min="7" max="7"/>
  </cols>
  <sheetData>
    <row r="1" ht="30" customHeight="1" s="401">
      <c r="A1" s="556" t="inlineStr">
        <is>
          <t>Recommended Platform Technology Stack</t>
        </is>
      </c>
      <c r="B1" s="547" t="n"/>
      <c r="C1" s="547" t="n"/>
      <c r="D1" s="547" t="n"/>
      <c r="E1" s="547" t="n"/>
      <c r="F1" s="547" t="n"/>
      <c r="G1" s="547" t="n"/>
    </row>
    <row r="2" ht="34" customHeight="1" s="401">
      <c r="A2" s="557" t="inlineStr">
        <is>
          <t>Optimized rule: Go + Python are enough for the core platform. Add Node.js/Kafka/dedicated vector DB only when a real requirement justifies the extra operational cost.</t>
        </is>
      </c>
      <c r="B2" s="547" t="n"/>
      <c r="C2" s="547" t="n"/>
      <c r="D2" s="547" t="n"/>
      <c r="E2" s="547" t="n"/>
      <c r="F2" s="547" t="n"/>
      <c r="G2" s="547" t="n"/>
    </row>
    <row r="3" ht="28" customHeight="1" s="401">
      <c r="A3" s="413" t="inlineStr">
        <is>
          <t>ID</t>
        </is>
      </c>
      <c r="B3" s="413" t="inlineStr">
        <is>
          <t>Layer</t>
        </is>
      </c>
      <c r="C3" s="413" t="inlineStr">
        <is>
          <t>Recommended Technology</t>
        </is>
      </c>
      <c r="D3" s="413" t="inlineStr">
        <is>
          <t>Phase</t>
        </is>
      </c>
      <c r="E3" s="413" t="inlineStr">
        <is>
          <t>Why / Usage</t>
        </is>
      </c>
      <c r="F3" s="413" t="inlineStr">
        <is>
          <t>Status</t>
        </is>
      </c>
      <c r="G3" s="413" t="inlineStr">
        <is>
          <t>Notes</t>
        </is>
      </c>
    </row>
    <row r="4" ht="40" customHeight="1" s="401">
      <c r="A4" s="419" t="inlineStr">
        <is>
          <t>INF-01</t>
        </is>
      </c>
      <c r="B4" s="419" t="inlineStr">
        <is>
          <t>Web frontend</t>
        </is>
      </c>
      <c r="C4" s="419" t="inlineStr">
        <is>
          <t>Next.js + TypeScript + Monaco + xterm.js + WebRTC client</t>
        </is>
      </c>
      <c r="D4" s="419" t="inlineStr">
        <is>
          <t>MVP</t>
        </is>
      </c>
      <c r="E4" s="419" t="inlineStr">
        <is>
          <t>Browser IDE/control surface</t>
        </is>
      </c>
      <c r="F4" s="419" t="inlineStr">
        <is>
          <t>Not Started</t>
        </is>
      </c>
      <c r="G4" s="419" t="str"/>
    </row>
    <row r="5" ht="40" customHeight="1" s="401">
      <c r="A5" s="419" t="inlineStr">
        <is>
          <t>INF-02</t>
        </is>
      </c>
      <c r="B5" s="419" t="inlineStr">
        <is>
          <t>Control plane</t>
        </is>
      </c>
      <c r="C5" s="419" t="inlineStr">
        <is>
          <t>Go</t>
        </is>
      </c>
      <c r="D5" s="419" t="inlineStr">
        <is>
          <t>MVP</t>
        </is>
      </c>
      <c r="E5" s="419" t="inlineStr">
        <is>
          <t>Projects, auth, billing, scheduling, WebSockets, deployment APIs</t>
        </is>
      </c>
      <c r="F5" s="419" t="inlineStr">
        <is>
          <t>Not Started</t>
        </is>
      </c>
      <c r="G5" s="419" t="str"/>
    </row>
    <row r="6" ht="40" customHeight="1" s="401">
      <c r="A6" s="419" t="inlineStr">
        <is>
          <t>INF-03</t>
        </is>
      </c>
      <c r="B6" s="419" t="inlineStr">
        <is>
          <t>AI orchestration</t>
        </is>
      </c>
      <c r="C6" s="419" t="inlineStr">
        <is>
          <t>Python</t>
        </is>
      </c>
      <c r="D6" s="419" t="inlineStr">
        <is>
          <t>MVP</t>
        </is>
      </c>
      <c r="E6" s="419" t="inlineStr">
        <is>
          <t>Agents, model gateway, code intelligence, evaluation</t>
        </is>
      </c>
      <c r="F6" s="419" t="inlineStr">
        <is>
          <t>Not Started</t>
        </is>
      </c>
      <c r="G6" s="419" t="str"/>
    </row>
    <row r="7" ht="40" customHeight="1" s="401">
      <c r="A7" s="419" t="inlineStr">
        <is>
          <t>INF-04</t>
        </is>
      </c>
      <c r="B7" s="419" t="inlineStr">
        <is>
          <t>Node.js</t>
        </is>
      </c>
      <c r="C7" s="419" t="inlineStr">
        <is>
          <t>Optional, not core platform requirement</t>
        </is>
      </c>
      <c r="D7" s="419" t="inlineStr">
        <is>
          <t>MID</t>
        </is>
      </c>
      <c r="E7" s="419" t="inlineStr">
        <is>
          <t>Use only for integrations/services where it materially helps</t>
        </is>
      </c>
      <c r="F7" s="419" t="inlineStr">
        <is>
          <t>Not Started</t>
        </is>
      </c>
      <c r="G7" s="419" t="str"/>
    </row>
    <row r="8" ht="40" customHeight="1" s="401">
      <c r="A8" s="419" t="inlineStr">
        <is>
          <t>INF-05</t>
        </is>
      </c>
      <c r="B8" s="419" t="inlineStr">
        <is>
          <t>Primary DB</t>
        </is>
      </c>
      <c r="C8" s="419" t="inlineStr">
        <is>
          <t>PostgreSQL</t>
        </is>
      </c>
      <c r="D8" s="419" t="inlineStr">
        <is>
          <t>MVP</t>
        </is>
      </c>
      <c r="E8" s="419" t="inlineStr">
        <is>
          <t>Platform records + IR + billing + audit</t>
        </is>
      </c>
      <c r="F8" s="419" t="inlineStr">
        <is>
          <t>Not Started</t>
        </is>
      </c>
      <c r="G8" s="419" t="str"/>
    </row>
    <row r="9" ht="40" customHeight="1" s="401">
      <c r="A9" s="419" t="inlineStr">
        <is>
          <t>INF-06</t>
        </is>
      </c>
      <c r="B9" s="419" t="inlineStr">
        <is>
          <t>Vector search</t>
        </is>
      </c>
      <c r="C9" s="419" t="inlineStr">
        <is>
          <t>pgvector first</t>
        </is>
      </c>
      <c r="D9" s="419" t="inlineStr">
        <is>
          <t>MVP</t>
        </is>
      </c>
      <c r="E9" s="419" t="inlineStr">
        <is>
          <t>Reduce operational complexity</t>
        </is>
      </c>
      <c r="F9" s="419" t="inlineStr">
        <is>
          <t>Not Started</t>
        </is>
      </c>
      <c r="G9" s="419" t="str"/>
    </row>
    <row r="10" ht="40" customHeight="1" s="401">
      <c r="A10" s="419" t="inlineStr">
        <is>
          <t>INF-07</t>
        </is>
      </c>
      <c r="B10" s="419" t="inlineStr">
        <is>
          <t>Cache/state</t>
        </is>
      </c>
      <c r="C10" s="419" t="inlineStr">
        <is>
          <t>Redis</t>
        </is>
      </c>
      <c r="D10" s="419" t="inlineStr">
        <is>
          <t>MVP</t>
        </is>
      </c>
      <c r="E10" s="419" t="inlineStr">
        <is>
          <t>Cache, locks, rate limits, ephemeral agent state</t>
        </is>
      </c>
      <c r="F10" s="419" t="inlineStr">
        <is>
          <t>Not Started</t>
        </is>
      </c>
      <c r="G10" s="419" t="str"/>
    </row>
    <row r="11" ht="40" customHeight="1" s="401">
      <c r="A11" s="419" t="inlineStr">
        <is>
          <t>INF-08</t>
        </is>
      </c>
      <c r="B11" s="419" t="inlineStr">
        <is>
          <t>Messaging</t>
        </is>
      </c>
      <c r="C11" s="419" t="inlineStr">
        <is>
          <t>NATS / managed queue first</t>
        </is>
      </c>
      <c r="D11" s="419" t="inlineStr">
        <is>
          <t>MVP</t>
        </is>
      </c>
      <c r="E11" s="419" t="inlineStr">
        <is>
          <t>Simple job/event backbone</t>
        </is>
      </c>
      <c r="F11" s="419" t="inlineStr">
        <is>
          <t>Not Started</t>
        </is>
      </c>
      <c r="G11" s="419" t="str"/>
    </row>
    <row r="12" ht="40" customHeight="1" s="401">
      <c r="A12" s="419" t="inlineStr">
        <is>
          <t>INF-09</t>
        </is>
      </c>
      <c r="B12" s="419" t="inlineStr">
        <is>
          <t>Kafka</t>
        </is>
      </c>
      <c r="C12" s="419" t="inlineStr">
        <is>
          <t>Add only when throughput/replay/retention needs justify it</t>
        </is>
      </c>
      <c r="D12" s="419" t="inlineStr">
        <is>
          <t>ADVANCED</t>
        </is>
      </c>
      <c r="E12" s="419" t="inlineStr">
        <is>
          <t>Avoid premature ops burden</t>
        </is>
      </c>
      <c r="F12" s="419" t="inlineStr">
        <is>
          <t>Not Started</t>
        </is>
      </c>
      <c r="G12" s="419" t="str"/>
    </row>
    <row r="13" ht="40" customHeight="1" s="401">
      <c r="A13" s="419" t="inlineStr">
        <is>
          <t>INF-10</t>
        </is>
      </c>
      <c r="B13" s="419" t="inlineStr">
        <is>
          <t>Object storage</t>
        </is>
      </c>
      <c r="C13" s="419" t="inlineStr">
        <is>
          <t>S3-compatible</t>
        </is>
      </c>
      <c r="D13" s="419" t="inlineStr">
        <is>
          <t>MVP</t>
        </is>
      </c>
      <c r="E13" s="419" t="inlineStr">
        <is>
          <t>Build/test/log/archive artifacts</t>
        </is>
      </c>
      <c r="F13" s="419" t="inlineStr">
        <is>
          <t>Not Started</t>
        </is>
      </c>
      <c r="G13" s="419" t="str"/>
    </row>
    <row r="14" ht="40" customHeight="1" s="401">
      <c r="A14" s="419" t="inlineStr">
        <is>
          <t>INF-11</t>
        </is>
      </c>
      <c r="B14" s="419" t="inlineStr">
        <is>
          <t>Linux execution</t>
        </is>
      </c>
      <c r="C14" s="419" t="inlineStr">
        <is>
          <t>Managed Kubernetes or equivalent isolated worker fleet</t>
        </is>
      </c>
      <c r="D14" s="419" t="inlineStr">
        <is>
          <t>MVP</t>
        </is>
      </c>
      <c r="E14" s="419" t="inlineStr">
        <is>
          <t>Web/backend/Android/build sandboxes</t>
        </is>
      </c>
      <c r="F14" s="419" t="inlineStr">
        <is>
          <t>Not Started</t>
        </is>
      </c>
      <c r="G14" s="419" t="str"/>
    </row>
    <row r="15" ht="40" customHeight="1" s="401">
      <c r="A15" s="419" t="inlineStr">
        <is>
          <t>INF-12</t>
        </is>
      </c>
      <c r="B15" s="419" t="inlineStr">
        <is>
          <t>Mac execution</t>
        </is>
      </c>
      <c r="C15" s="419" t="inlineStr">
        <is>
          <t>Cloud/hosted Mac pool</t>
        </is>
      </c>
      <c r="D15" s="419" t="inlineStr">
        <is>
          <t>MVP</t>
        </is>
      </c>
      <c r="E15" s="419" t="inlineStr">
        <is>
          <t>Swift compile, simulator, tests, signing</t>
        </is>
      </c>
      <c r="F15" s="419" t="inlineStr">
        <is>
          <t>Not Started</t>
        </is>
      </c>
      <c r="G15" s="419" t="str"/>
    </row>
    <row r="16" ht="40" customHeight="1" s="401">
      <c r="A16" s="419" t="inlineStr">
        <is>
          <t>INF-13</t>
        </is>
      </c>
      <c r="B16" s="419" t="inlineStr">
        <is>
          <t>Sandbox hardening</t>
        </is>
      </c>
      <c r="C16" s="419" t="inlineStr">
        <is>
          <t>gVisor/Kata/Firecracker</t>
        </is>
      </c>
      <c r="D16" s="419" t="inlineStr">
        <is>
          <t>ADVANCED</t>
        </is>
      </c>
      <c r="E16" s="419" t="inlineStr">
        <is>
          <t>High isolation for untrusted execution</t>
        </is>
      </c>
      <c r="F16" s="419" t="inlineStr">
        <is>
          <t>Not Started</t>
        </is>
      </c>
      <c r="G16" s="419" t="str"/>
    </row>
    <row r="17" ht="40" customHeight="1" s="401">
      <c r="A17" s="419" t="inlineStr">
        <is>
          <t>INF-14</t>
        </is>
      </c>
      <c r="B17" s="419" t="inlineStr">
        <is>
          <t>Observability</t>
        </is>
      </c>
      <c r="C17" s="419" t="inlineStr">
        <is>
          <t>OpenTelemetry + Prometheus/Grafana + central logs</t>
        </is>
      </c>
      <c r="D17" s="419" t="inlineStr">
        <is>
          <t>MVP</t>
        </is>
      </c>
      <c r="E17" s="419" t="inlineStr">
        <is>
          <t>Task and service telemetry</t>
        </is>
      </c>
      <c r="F17" s="419" t="inlineStr">
        <is>
          <t>Not Started</t>
        </is>
      </c>
      <c r="G17" s="419" t="str"/>
    </row>
    <row r="18" ht="40" customHeight="1" s="401">
      <c r="A18" s="419" t="inlineStr">
        <is>
          <t>INF-15</t>
        </is>
      </c>
      <c r="B18" s="419" t="inlineStr">
        <is>
          <t>Secrets</t>
        </is>
      </c>
      <c r="C18" s="419" t="inlineStr">
        <is>
          <t>Cloud KMS/Vault</t>
        </is>
      </c>
      <c r="D18" s="419" t="inlineStr">
        <is>
          <t>MVP</t>
        </is>
      </c>
      <c r="E18" s="419" t="inlineStr">
        <is>
          <t>Scoped secret delivery</t>
        </is>
      </c>
      <c r="F18" s="419" t="inlineStr">
        <is>
          <t>Not Started</t>
        </is>
      </c>
      <c r="G18" s="419" t="str"/>
    </row>
    <row r="19" ht="40" customHeight="1" s="401">
      <c r="A19" s="419" t="inlineStr">
        <is>
          <t>INF-16</t>
        </is>
      </c>
      <c r="B19" s="419" t="inlineStr">
        <is>
          <t>CDN/WAF</t>
        </is>
      </c>
      <c r="C19" s="419" t="inlineStr">
        <is>
          <t>Managed CDN + WAF</t>
        </is>
      </c>
      <c r="D19" s="419" t="inlineStr">
        <is>
          <t>MID</t>
        </is>
      </c>
      <c r="E19" s="419" t="inlineStr">
        <is>
          <t>Preview/static delivery and edge protection</t>
        </is>
      </c>
      <c r="F19" s="419" t="inlineStr">
        <is>
          <t>Not Started</t>
        </is>
      </c>
      <c r="G19" s="419" t="str"/>
    </row>
    <row r="20">
      <c r="A20" s="423" t="inlineStr">
        <is>
          <t>INF-17</t>
        </is>
      </c>
      <c r="B20" s="423" t="inlineStr">
        <is>
          <t>Git provider</t>
        </is>
      </c>
      <c r="C20" s="423" t="inlineStr">
        <is>
          <t>GitHub/GitLab adapter; platform-managed Git optional</t>
        </is>
      </c>
      <c r="D20" s="423" t="inlineStr">
        <is>
          <t>MVP</t>
        </is>
      </c>
      <c r="E20" s="423" t="inlineStr">
        <is>
          <t>One repo per customer project; task branch/PR/checkpoint orchestration</t>
        </is>
      </c>
      <c r="F20" s="423" t="inlineStr">
        <is>
          <t>Not Started</t>
        </is>
      </c>
      <c r="G20" s="423" t="n"/>
    </row>
    <row r="21">
      <c r="A21" s="422" t="inlineStr">
        <is>
          <t>INF-18</t>
        </is>
      </c>
      <c r="B21" s="422" t="inlineStr">
        <is>
          <t>Monorepo orchestration</t>
        </is>
      </c>
      <c r="C21" s="422" t="inlineStr">
        <is>
          <t>Taskfile/Make + pnpm/Turborepo + Go workspaces + uv/Poetry</t>
        </is>
      </c>
      <c r="D21" s="422" t="inlineStr">
        <is>
          <t>MVP</t>
        </is>
      </c>
      <c r="E21" s="422" t="inlineStr">
        <is>
          <t>Cross-language repo without premature Bazel complexity</t>
        </is>
      </c>
      <c r="F21" s="422" t="inlineStr">
        <is>
          <t>Not Started</t>
        </is>
      </c>
      <c r="G21" s="422" t="n"/>
    </row>
    <row r="22">
      <c r="A22" s="423" t="inlineStr">
        <is>
          <t>INF-19</t>
        </is>
      </c>
      <c r="B22" s="423" t="inlineStr">
        <is>
          <t>Flutter toolchain</t>
        </is>
      </c>
      <c r="C22" s="423" t="inlineStr">
        <is>
          <t>Flutter SDK + Dart + Android toolchain + macOS iOS worker</t>
        </is>
      </c>
      <c r="D22" s="423" t="inlineStr">
        <is>
          <t>MVP</t>
        </is>
      </c>
      <c r="E22" s="423" t="inlineStr">
        <is>
          <t>Default cost-efficient mobile target</t>
        </is>
      </c>
      <c r="F22" s="423" t="inlineStr">
        <is>
          <t>Not Started</t>
        </is>
      </c>
      <c r="G22" s="423" t="n"/>
    </row>
    <row r="23">
      <c r="A23" s="422" t="inlineStr">
        <is>
          <t>INF-20</t>
        </is>
      </c>
      <c r="B23" s="422" t="inlineStr">
        <is>
          <t>React Native toolchain</t>
        </is>
      </c>
      <c r="C23" s="422" t="inlineStr">
        <is>
          <t>Node/pnpm + RN/Expo + Android toolchain + macOS iOS worker</t>
        </is>
      </c>
      <c r="D23" s="422" t="inlineStr">
        <is>
          <t>MVP</t>
        </is>
      </c>
      <c r="E23" s="422" t="inlineStr">
        <is>
          <t>Alternative cross-platform target; strong TS/web sharing</t>
        </is>
      </c>
      <c r="F23" s="422" t="inlineStr">
        <is>
          <t>Not Started</t>
        </is>
      </c>
      <c r="G23" s="422" t="n"/>
    </row>
    <row r="24">
      <c r="A24" s="423" t="inlineStr">
        <is>
          <t>INF-21</t>
        </is>
      </c>
      <c r="B24" s="423" t="inlineStr">
        <is>
          <t>Native toolchains</t>
        </is>
      </c>
      <c r="C24" s="423" t="inlineStr">
        <is>
          <t>Kotlin/Compose Android + Swift/SwiftUI iOS</t>
        </is>
      </c>
      <c r="D24" s="423" t="inlineStr">
        <is>
          <t>MVP/MID</t>
        </is>
      </c>
      <c r="E24" s="423" t="inlineStr">
        <is>
          <t>Complex/performance/platform-specific projects; beta then GA</t>
        </is>
      </c>
      <c r="F24" s="423" t="inlineStr">
        <is>
          <t>Not Started</t>
        </is>
      </c>
      <c r="G24" s="423" t="n"/>
    </row>
    <row r="25">
      <c r="A25" s="422" t="inlineStr">
        <is>
          <t>INF-22</t>
        </is>
      </c>
      <c r="B25" s="422" t="inlineStr">
        <is>
          <t>Build graph cache</t>
        </is>
      </c>
      <c r="C25" s="422" t="inlineStr">
        <is>
          <t>Remote dependency/build cache keyed by commit + toolchain</t>
        </is>
      </c>
      <c r="D25" s="422" t="inlineStr">
        <is>
          <t>MID</t>
        </is>
      </c>
      <c r="E25" s="422" t="inlineStr">
        <is>
          <t>Reduce Linux/Mac minutes and repeated work</t>
        </is>
      </c>
      <c r="F25" s="422" t="inlineStr">
        <is>
          <t>Not Started</t>
        </is>
      </c>
      <c r="G25" s="422" t="n"/>
    </row>
    <row r="27">
      <c r="A27" s="482" t="inlineStr">
        <is>
          <t>Runtime Provider</t>
        </is>
      </c>
      <c r="B27" s="482" t="inlineStr">
        <is>
          <t>SandboxProvider abstraction</t>
        </is>
      </c>
      <c r="C27" s="482" t="inlineStr">
        <is>
          <t>MVP</t>
        </is>
      </c>
      <c r="D27" s="482" t="inlineStr">
        <is>
          <t>Browser/Linux/macOS/local/BYOC adapters</t>
        </is>
      </c>
      <c r="E27" s="482" t="inlineStr">
        <is>
          <t>No vendor lock-in</t>
        </is>
      </c>
      <c r="F27" s="482" t="inlineStr">
        <is>
          <t>Mandatory</t>
        </is>
      </c>
    </row>
    <row r="28">
      <c r="A28" s="482" t="inlineStr">
        <is>
          <t>Durable Task State</t>
        </is>
      </c>
      <c r="B28" s="482" t="inlineStr">
        <is>
          <t>PostgreSQL event ledger + object storage artifacts</t>
        </is>
      </c>
      <c r="C28" s="482" t="inlineStr">
        <is>
          <t>MVP</t>
        </is>
      </c>
      <c r="D28" s="482" t="inlineStr">
        <is>
          <t>Checkpoint/resume/idempotency</t>
        </is>
      </c>
      <c r="E28" s="482" t="inlineStr">
        <is>
          <t>Survive crashes/retries</t>
        </is>
      </c>
      <c r="F28" s="482" t="inlineStr">
        <is>
          <t>Mandatory</t>
        </is>
      </c>
    </row>
    <row r="29">
      <c r="A29" s="482" t="inlineStr">
        <is>
          <t>MCP Gateway</t>
        </is>
      </c>
      <c r="B29" s="482" t="inlineStr">
        <is>
          <t>Governed tool extension boundary</t>
        </is>
      </c>
      <c r="C29" s="482" t="inlineStr">
        <is>
          <t>MVP foundation</t>
        </is>
      </c>
      <c r="D29" s="482" t="inlineStr">
        <is>
          <t>Verified/private MCP later</t>
        </is>
      </c>
      <c r="E29" s="482" t="inlineStr">
        <is>
          <t>Deny by default</t>
        </is>
      </c>
      <c r="F29" s="482" t="inlineStr">
        <is>
          <t>Mandatory</t>
        </is>
      </c>
    </row>
    <row r="30">
      <c r="A30" s="482" t="inlineStr">
        <is>
          <t>Local/Private Execution</t>
        </is>
      </c>
      <c r="B30" s="482" t="inlineStr">
        <is>
          <t>Signed Local Agent / BYOC runners</t>
        </is>
      </c>
      <c r="C30" s="482" t="inlineStr">
        <is>
          <t>MID/ADV</t>
        </is>
      </c>
      <c r="D30" s="482" t="inlineStr">
        <is>
          <t>Explicit trust mode</t>
        </is>
      </c>
      <c r="E30" s="482" t="inlineStr">
        <is>
          <t>Privacy/cost/residency</t>
        </is>
      </c>
      <c r="F30" s="482" t="inlineStr">
        <is>
          <t>Optional by plan</t>
        </is>
      </c>
    </row>
  </sheetData>
  <mergeCells count="2">
    <mergeCell ref="A2:G2"/>
    <mergeCell ref="A1:G1"/>
  </mergeCells>
  <conditionalFormatting sqref="F4:F19">
    <cfRule type="expression" priority="1" dxfId="0">
      <formula>F4="Done"</formula>
    </cfRule>
    <cfRule type="expression" priority="2" dxfId="1">
      <formula>F4="In Progress"</formula>
    </cfRule>
    <cfRule type="expression" priority="3" dxfId="2">
      <formula>F4="Blocked"</formula>
    </cfRule>
    <cfRule type="expression" priority="4" dxfId="3">
      <formula>F4="Deferred"</formula>
    </cfRule>
  </conditionalFormatting>
  <dataValidations count="1">
    <dataValidation sqref="F4:F19" showDropDown="0" showInputMessage="0" showErrorMessage="0" allowBlank="0" type="list">
      <formula1>"Not Started,In Progress,Blocked,Done,Deferred"</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0" customWidth="1" style="401" min="1" max="1"/>
    <col width="29" customWidth="1" style="401" min="2" max="2"/>
    <col width="37" customWidth="1" style="401" min="3" max="3"/>
    <col width="29" customWidth="1" style="401" min="4" max="4"/>
    <col width="32" customWidth="1" style="401" min="5" max="5"/>
    <col width="26" customWidth="1" style="401" min="6" max="6"/>
    <col width="14" customWidth="1" style="401" min="7" max="7"/>
  </cols>
  <sheetData>
    <row r="1" ht="30" customHeight="1" s="401">
      <c r="A1" s="552" t="inlineStr">
        <is>
          <t>OmniStackAI V5 — Model Costs</t>
        </is>
      </c>
      <c r="B1" s="547" t="n"/>
      <c r="C1" s="547" t="n"/>
      <c r="D1" s="547" t="n"/>
      <c r="E1" s="547" t="n"/>
      <c r="F1" s="547" t="n"/>
      <c r="G1" s="547" t="n"/>
    </row>
    <row r="2" ht="34" customHeight="1" s="401">
      <c r="A2" s="553" t="inlineStr">
        <is>
          <t>LLM escalation ladder + compute budget. Deterministic tools come before LLM calls; expensive reasoning is an escalation, not a default.</t>
        </is>
      </c>
      <c r="B2" s="547" t="n"/>
      <c r="C2" s="547" t="n"/>
      <c r="D2" s="547" t="n"/>
      <c r="E2" s="547" t="n"/>
      <c r="F2" s="547" t="n"/>
      <c r="G2" s="547" t="n"/>
    </row>
    <row r="3" ht="28" customHeight="1" s="401">
      <c r="A3" s="413" t="n"/>
      <c r="B3" s="413" t="n"/>
      <c r="C3" s="413" t="n"/>
      <c r="D3" s="413" t="n"/>
      <c r="E3" s="413" t="n"/>
      <c r="F3" s="413" t="n"/>
      <c r="G3" s="413" t="n"/>
    </row>
    <row r="4" ht="28" customHeight="1" s="401">
      <c r="A4" s="141" t="inlineStr">
        <is>
          <t>Tier / Control</t>
        </is>
      </c>
      <c r="B4" s="142" t="inlineStr">
        <is>
          <t>Engine / Mechanism</t>
        </is>
      </c>
      <c r="C4" s="142" t="inlineStr">
        <is>
          <t>Primary Use</t>
        </is>
      </c>
      <c r="D4" s="142" t="inlineStr">
        <is>
          <t>Trigger to Escalate</t>
        </is>
      </c>
      <c r="E4" s="142" t="inlineStr">
        <is>
          <t>Cost Rule</t>
        </is>
      </c>
      <c r="F4" s="142" t="inlineStr">
        <is>
          <t>Tracked KPI</t>
        </is>
      </c>
      <c r="G4" s="143" t="inlineStr">
        <is>
          <t>Phase</t>
        </is>
      </c>
    </row>
    <row r="5" ht="38" customHeight="1" s="401">
      <c r="A5" s="144" t="inlineStr">
        <is>
          <t>L0</t>
        </is>
      </c>
      <c r="B5" s="145" t="inlineStr">
        <is>
          <t>AST/LSP/compiler/Git/schema/test parser</t>
        </is>
      </c>
      <c r="C5" s="145" t="inlineStr">
        <is>
          <t>facts, references, build/test status, diffs</t>
        </is>
      </c>
      <c r="D5" s="145" t="inlineStr">
        <is>
          <t>reasoning needed</t>
        </is>
      </c>
      <c r="E5" s="145" t="inlineStr">
        <is>
          <t>No LLM for deterministic facts</t>
        </is>
      </c>
      <c r="F5" s="145" t="inlineStr">
        <is>
          <t>LLM calls avoided</t>
        </is>
      </c>
      <c r="G5" s="146" t="inlineStr">
        <is>
          <t>MVP</t>
        </is>
      </c>
    </row>
    <row r="6" ht="38" customHeight="1" s="401">
      <c r="A6" s="223" t="inlineStr">
        <is>
          <t>L1</t>
        </is>
      </c>
      <c r="B6" s="514" t="inlineStr">
        <is>
          <t>Small/cheap model</t>
        </is>
      </c>
      <c r="C6" s="514" t="inlineStr">
        <is>
          <t>classification, ranking, summaries, log compaction</t>
        </is>
      </c>
      <c r="D6" s="514" t="inlineStr">
        <is>
          <t>implementation needed</t>
        </is>
      </c>
      <c r="E6" s="514" t="inlineStr">
        <is>
          <t>small context; cached where safe</t>
        </is>
      </c>
      <c r="F6" s="514" t="inlineStr">
        <is>
          <t>cost/classification</t>
        </is>
      </c>
      <c r="G6" s="225" t="inlineStr">
        <is>
          <t>MVP</t>
        </is>
      </c>
    </row>
    <row r="7" ht="38" customHeight="1" s="401">
      <c r="A7" s="147" t="inlineStr">
        <is>
          <t>L2</t>
        </is>
      </c>
      <c r="B7" s="455" t="inlineStr">
        <is>
          <t>Coding model</t>
        </is>
      </c>
      <c r="C7" s="455" t="inlineStr">
        <is>
          <t>normal scoped implementation/repair</t>
        </is>
      </c>
      <c r="D7" s="455" t="inlineStr">
        <is>
          <t>complex/high risk</t>
        </is>
      </c>
      <c r="E7" s="455" t="inlineStr">
        <is>
          <t>default coding tier</t>
        </is>
      </c>
      <c r="F7" s="455" t="inlineStr">
        <is>
          <t>cost/accepted patch</t>
        </is>
      </c>
      <c r="G7" s="149" t="inlineStr">
        <is>
          <t>MVP</t>
        </is>
      </c>
    </row>
    <row r="8" ht="38" customHeight="1" s="401">
      <c r="A8" s="223" t="inlineStr">
        <is>
          <t>L3</t>
        </is>
      </c>
      <c r="B8" s="514" t="inlineStr">
        <is>
          <t>Strong reasoning model</t>
        </is>
      </c>
      <c r="C8" s="514" t="inlineStr">
        <is>
          <t>architecture, security, concurrency, hard repair</t>
        </is>
      </c>
      <c r="D8" s="514" t="inlineStr">
        <is>
          <t>critical ambiguity</t>
        </is>
      </c>
      <c r="E8" s="514" t="inlineStr">
        <is>
          <t>use only with evidence</t>
        </is>
      </c>
      <c r="F8" s="514" t="inlineStr">
        <is>
          <t>escalation rate</t>
        </is>
      </c>
      <c r="G8" s="225" t="inlineStr">
        <is>
          <t>MVP/MID</t>
        </is>
      </c>
    </row>
    <row r="9" ht="38" customHeight="1" s="401">
      <c r="A9" s="147" t="inlineStr">
        <is>
          <t>L4</t>
        </is>
      </c>
      <c r="B9" s="455" t="inlineStr">
        <is>
          <t>Independent reviewer</t>
        </is>
      </c>
      <c r="C9" s="455" t="inlineStr">
        <is>
          <t>critical release/security/payment/signing</t>
        </is>
      </c>
      <c r="D9" s="455" t="inlineStr">
        <is>
          <t>policy requires</t>
        </is>
      </c>
      <c r="E9" s="455" t="inlineStr">
        <is>
          <t>rare + bounded</t>
        </is>
      </c>
      <c r="F9" s="455" t="inlineStr">
        <is>
          <t>critical review cost</t>
        </is>
      </c>
      <c r="G9" s="149" t="inlineStr">
        <is>
          <t>MID</t>
        </is>
      </c>
    </row>
    <row r="10" ht="38" customHeight="1" s="401">
      <c r="A10" s="223" t="inlineStr">
        <is>
          <t>Context Budget</t>
        </is>
      </c>
      <c r="B10" s="514" t="inlineStr">
        <is>
          <t>Token/context controller</t>
        </is>
      </c>
      <c r="C10" s="514" t="inlineStr">
        <is>
          <t>max input/output/retrieval per stage</t>
        </is>
      </c>
      <c r="D10" s="514" t="inlineStr">
        <is>
          <t>quality low</t>
        </is>
      </c>
      <c r="E10" s="514" t="inlineStr">
        <is>
          <t>progressive retrieval</t>
        </is>
      </c>
      <c r="F10" s="514" t="inlineStr">
        <is>
          <t>tokens/successful task</t>
        </is>
      </c>
      <c r="G10" s="225" t="inlineStr">
        <is>
          <t>MVP</t>
        </is>
      </c>
    </row>
    <row r="11" ht="38" customHeight="1" s="401">
      <c r="A11" s="147" t="inlineStr">
        <is>
          <t>Retry Budget</t>
        </is>
      </c>
      <c r="B11" s="455" t="inlineStr">
        <is>
          <t>Run policy</t>
        </is>
      </c>
      <c r="C11" s="455" t="inlineStr">
        <is>
          <t>bounded agent/model/tool retries</t>
        </is>
      </c>
      <c r="D11" s="455" t="inlineStr">
        <is>
          <t>retry limit hit</t>
        </is>
      </c>
      <c r="E11" s="455" t="inlineStr">
        <is>
          <t>platform failures not repeatedly billed</t>
        </is>
      </c>
      <c r="F11" s="455" t="inlineStr">
        <is>
          <t>retry waste</t>
        </is>
      </c>
      <c r="G11" s="149" t="inlineStr">
        <is>
          <t>MVP</t>
        </is>
      </c>
    </row>
    <row r="12" ht="38" customHeight="1" s="401">
      <c r="A12" s="223" t="inlineStr">
        <is>
          <t>Compute Budget</t>
        </is>
      </c>
      <c r="B12" s="514" t="inlineStr">
        <is>
          <t>Scheduler</t>
        </is>
      </c>
      <c r="C12" s="514" t="inlineStr">
        <is>
          <t>Linux/Android/macOS/device minutes</t>
        </is>
      </c>
      <c r="D12" s="514" t="inlineStr">
        <is>
          <t>stronger proof required</t>
        </is>
      </c>
      <c r="E12" s="514" t="inlineStr">
        <is>
          <t>cheapest capable runtime</t>
        </is>
      </c>
      <c r="F12" s="514" t="inlineStr">
        <is>
          <t>compute/successful task</t>
        </is>
      </c>
      <c r="G12" s="225" t="inlineStr">
        <is>
          <t>MVP</t>
        </is>
      </c>
    </row>
    <row r="13" ht="38" customHeight="1" s="401">
      <c r="A13" s="156" t="inlineStr">
        <is>
          <t>Provider Router</t>
        </is>
      </c>
      <c r="B13" s="157" t="inlineStr">
        <is>
          <t>ModelProvider</t>
        </is>
      </c>
      <c r="C13" s="157" t="inlineStr">
        <is>
          <t>benchmark/cost/latency/availability/customer policy</t>
        </is>
      </c>
      <c r="D13" s="157" t="inlineStr">
        <is>
          <t>provider degradation</t>
        </is>
      </c>
      <c r="E13" s="157" t="inlineStr">
        <is>
          <t>circuit breaker/fallback</t>
        </is>
      </c>
      <c r="F13" s="157" t="inlineStr">
        <is>
          <t>quality-adjusted cost</t>
        </is>
      </c>
      <c r="G13" s="158" t="inlineStr">
        <is>
          <t>MVP</t>
        </is>
      </c>
    </row>
    <row r="14" ht="38" customHeight="1" s="401">
      <c r="A14" s="419" t="n"/>
      <c r="B14" s="419" t="n"/>
      <c r="C14" s="419" t="n"/>
      <c r="D14" s="419" t="n"/>
      <c r="E14" s="419" t="n"/>
      <c r="F14" s="419" t="n"/>
      <c r="G14" s="419" t="n"/>
    </row>
    <row r="15" ht="38" customHeight="1" s="401">
      <c r="A15" s="419" t="n"/>
      <c r="B15" s="419" t="n"/>
      <c r="C15" s="419" t="n"/>
      <c r="D15" s="419" t="n"/>
      <c r="E15" s="419" t="n"/>
      <c r="F15" s="419" t="n"/>
      <c r="G15" s="419" t="n"/>
    </row>
  </sheetData>
  <mergeCells count="2">
    <mergeCell ref="A2:G2"/>
    <mergeCell ref="A1:G1"/>
  </mergeCells>
  <conditionalFormatting sqref="F4:F15">
    <cfRule type="expression" priority="1" dxfId="0">
      <formula>F4="Done"</formula>
    </cfRule>
    <cfRule type="expression" priority="2" dxfId="1">
      <formula>F4="In Progress"</formula>
    </cfRule>
    <cfRule type="expression" priority="3" dxfId="2">
      <formula>F4="Blocked"</formula>
    </cfRule>
    <cfRule type="expression" priority="4" dxfId="3">
      <formula>F4="Deferred"</formula>
    </cfRule>
  </conditionalFormatting>
  <dataValidations count="1">
    <dataValidation sqref="F4:F15" showDropDown="0" showInputMessage="0" showErrorMessage="0" allowBlank="0" type="list">
      <formula1>"Not Started,In Progress,Blocked,Done,Deferred"</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0" customWidth="1" style="401" min="1" max="1"/>
    <col width="30" customWidth="1" style="401" min="2" max="2"/>
    <col width="60" customWidth="1" style="401" min="3" max="3"/>
    <col width="18" customWidth="1" style="401" min="4" max="4"/>
    <col width="13" customWidth="1" style="401" min="5" max="5"/>
    <col width="30" customWidth="1" style="401" min="6" max="6"/>
    <col width="16" customWidth="1" style="401" min="7" max="7"/>
    <col width="34" customWidth="1" style="401" min="8" max="8"/>
  </cols>
  <sheetData>
    <row r="1" ht="30" customHeight="1" s="401">
      <c r="A1" s="558" t="inlineStr">
        <is>
          <t>Analytics &amp; Product Health KPIs</t>
        </is>
      </c>
      <c r="B1" s="547" t="n"/>
      <c r="C1" s="547" t="n"/>
      <c r="D1" s="547" t="n"/>
      <c r="E1" s="547" t="n"/>
      <c r="F1" s="547" t="n"/>
      <c r="G1" s="547" t="n"/>
      <c r="H1" s="547" t="n"/>
    </row>
    <row r="2" ht="34" customHeight="1" s="401">
      <c r="A2" s="557" t="inlineStr">
        <is>
          <t>These metrics tell us whether the platform is becoming more accurate, cheaper and more reliable as it grows.</t>
        </is>
      </c>
      <c r="B2" s="547" t="n"/>
      <c r="C2" s="547" t="n"/>
      <c r="D2" s="547" t="n"/>
      <c r="E2" s="547" t="n"/>
      <c r="F2" s="547" t="n"/>
      <c r="G2" s="547" t="n"/>
      <c r="H2" s="547" t="n"/>
    </row>
    <row r="3" ht="28" customHeight="1" s="401">
      <c r="A3" s="413" t="inlineStr">
        <is>
          <t>ID</t>
        </is>
      </c>
      <c r="B3" s="413" t="inlineStr">
        <is>
          <t>Metric</t>
        </is>
      </c>
      <c r="C3" s="413" t="inlineStr">
        <is>
          <t>Definition</t>
        </is>
      </c>
      <c r="D3" s="413" t="inlineStr">
        <is>
          <t>Category</t>
        </is>
      </c>
      <c r="E3" s="413" t="inlineStr">
        <is>
          <t>Phase</t>
        </is>
      </c>
      <c r="F3" s="413" t="inlineStr">
        <is>
          <t>Target / Direction</t>
        </is>
      </c>
      <c r="G3" s="413" t="inlineStr">
        <is>
          <t>Current</t>
        </is>
      </c>
      <c r="H3" s="413" t="inlineStr">
        <is>
          <t>Notes</t>
        </is>
      </c>
    </row>
    <row r="4" ht="38" customHeight="1" s="401">
      <c r="A4" s="419" t="inlineStr">
        <is>
          <t>KPI-01</t>
        </is>
      </c>
      <c r="B4" s="419" t="inlineStr">
        <is>
          <t>Build Success - First Attempt</t>
        </is>
      </c>
      <c r="C4" s="419" t="inlineStr">
        <is>
          <t>% tasks whose affected targets compile on first generated patch</t>
        </is>
      </c>
      <c r="D4" s="419" t="inlineStr">
        <is>
          <t>Quality</t>
        </is>
      </c>
      <c r="E4" s="419" t="inlineStr">
        <is>
          <t>MVP</t>
        </is>
      </c>
      <c r="F4" s="419" t="inlineStr">
        <is>
          <t>&gt;=70% then improve</t>
        </is>
      </c>
      <c r="G4" s="419" t="str"/>
      <c r="H4" s="419" t="str"/>
    </row>
    <row r="5" ht="38" customHeight="1" s="401">
      <c r="A5" s="419" t="inlineStr">
        <is>
          <t>KPI-02</t>
        </is>
      </c>
      <c r="B5" s="419" t="inlineStr">
        <is>
          <t>Final Task Success</t>
        </is>
      </c>
      <c r="C5" s="419" t="inlineStr">
        <is>
          <t>% accepted tasks completed within bounded retries</t>
        </is>
      </c>
      <c r="D5" s="419" t="inlineStr">
        <is>
          <t>Quality</t>
        </is>
      </c>
      <c r="E5" s="419" t="inlineStr">
        <is>
          <t>MVP</t>
        </is>
      </c>
      <c r="F5" s="419" t="inlineStr">
        <is>
          <t>&gt;=95%</t>
        </is>
      </c>
      <c r="G5" s="419" t="str"/>
      <c r="H5" s="419" t="str"/>
    </row>
    <row r="6" ht="38" customHeight="1" s="401">
      <c r="A6" s="419" t="inlineStr">
        <is>
          <t>KPI-03</t>
        </is>
      </c>
      <c r="B6" s="419" t="inlineStr">
        <is>
          <t>Regression Escape Rate</t>
        </is>
      </c>
      <c r="C6" s="419" t="inlineStr">
        <is>
          <t>Accepted tasks later linked to broken existing behavior</t>
        </is>
      </c>
      <c r="D6" s="419" t="inlineStr">
        <is>
          <t>Quality</t>
        </is>
      </c>
      <c r="E6" s="419" t="inlineStr">
        <is>
          <t>MVP</t>
        </is>
      </c>
      <c r="F6" s="419" t="inlineStr">
        <is>
          <t>&lt;2%, target &lt;0.5%</t>
        </is>
      </c>
      <c r="G6" s="419" t="str"/>
      <c r="H6" s="419" t="str"/>
    </row>
    <row r="7" ht="38" customHeight="1" s="401">
      <c r="A7" s="419" t="inlineStr">
        <is>
          <t>KPI-04</t>
        </is>
      </c>
      <c r="B7" s="419" t="inlineStr">
        <is>
          <t>Unexpected Blast Radius</t>
        </is>
      </c>
      <c r="C7" s="419" t="inlineStr">
        <is>
          <t>% tasks changing files/modules outside predicted impact</t>
        </is>
      </c>
      <c r="D7" s="419" t="inlineStr">
        <is>
          <t>Quality</t>
        </is>
      </c>
      <c r="E7" s="419" t="inlineStr">
        <is>
          <t>MVP</t>
        </is>
      </c>
      <c r="F7" s="419" t="inlineStr">
        <is>
          <t>&lt;5%, target &lt;1%</t>
        </is>
      </c>
      <c r="G7" s="419" t="str"/>
      <c r="H7" s="419" t="str"/>
    </row>
    <row r="8" ht="38" customHeight="1" s="401">
      <c r="A8" s="419" t="inlineStr">
        <is>
          <t>KPI-05</t>
        </is>
      </c>
      <c r="B8" s="419" t="inlineStr">
        <is>
          <t>Rollback/Revert Rate</t>
        </is>
      </c>
      <c r="C8" s="419" t="inlineStr">
        <is>
          <t>% accepted tasks reverted by user/system</t>
        </is>
      </c>
      <c r="D8" s="419" t="inlineStr">
        <is>
          <t>Quality</t>
        </is>
      </c>
      <c r="E8" s="419" t="inlineStr">
        <is>
          <t>MVP</t>
        </is>
      </c>
      <c r="F8" s="419" t="inlineStr">
        <is>
          <t>Trend down</t>
        </is>
      </c>
      <c r="G8" s="419" t="str"/>
      <c r="H8" s="419" t="str"/>
    </row>
    <row r="9" ht="38" customHeight="1" s="401">
      <c r="A9" s="419" t="inlineStr">
        <is>
          <t>KPI-06</t>
        </is>
      </c>
      <c r="B9" s="419" t="inlineStr">
        <is>
          <t>Median Task Cycle Time</t>
        </is>
      </c>
      <c r="C9" s="419" t="inlineStr">
        <is>
          <t>Prompt approval to accepted commit</t>
        </is>
      </c>
      <c r="D9" s="419" t="inlineStr">
        <is>
          <t>Speed</t>
        </is>
      </c>
      <c r="E9" s="419" t="inlineStr">
        <is>
          <t>MVP</t>
        </is>
      </c>
      <c r="F9" s="419" t="inlineStr">
        <is>
          <t>Track by task class</t>
        </is>
      </c>
      <c r="G9" s="419" t="str"/>
      <c r="H9" s="419" t="str"/>
    </row>
    <row r="10" ht="38" customHeight="1" s="401">
      <c r="A10" s="419" t="inlineStr">
        <is>
          <t>KPI-07</t>
        </is>
      </c>
      <c r="B10" s="419" t="inlineStr">
        <is>
          <t>LLM Cost per Successful Task</t>
        </is>
      </c>
      <c r="C10" s="419" t="inlineStr">
        <is>
          <t>Provider spend / successful tasks</t>
        </is>
      </c>
      <c r="D10" s="419" t="inlineStr">
        <is>
          <t>Cost</t>
        </is>
      </c>
      <c r="E10" s="419" t="inlineStr">
        <is>
          <t>MVP</t>
        </is>
      </c>
      <c r="F10" s="419" t="inlineStr">
        <is>
          <t>Trend down</t>
        </is>
      </c>
      <c r="G10" s="419" t="str"/>
      <c r="H10" s="419" t="str"/>
    </row>
    <row r="11" ht="38" customHeight="1" s="401">
      <c r="A11" s="419" t="inlineStr">
        <is>
          <t>KPI-08</t>
        </is>
      </c>
      <c r="B11" s="419" t="inlineStr">
        <is>
          <t>Compute Cost per Task</t>
        </is>
      </c>
      <c r="C11" s="419" t="inlineStr">
        <is>
          <t>Linux + Mac + storage + bandwidth</t>
        </is>
      </c>
      <c r="D11" s="419" t="inlineStr">
        <is>
          <t>Cost</t>
        </is>
      </c>
      <c r="E11" s="419" t="inlineStr">
        <is>
          <t>MVP</t>
        </is>
      </c>
      <c r="F11" s="419" t="inlineStr">
        <is>
          <t>Trend down</t>
        </is>
      </c>
      <c r="G11" s="419" t="str"/>
      <c r="H11" s="419" t="str"/>
    </row>
    <row r="12" ht="38" customHeight="1" s="401">
      <c r="A12" s="419" t="inlineStr">
        <is>
          <t>KPI-09</t>
        </is>
      </c>
      <c r="B12" s="419" t="inlineStr">
        <is>
          <t>Mac Minutes per iOS Task</t>
        </is>
      </c>
      <c r="C12" s="419" t="inlineStr">
        <is>
          <t>Cloud Mac usage per successful iOS task</t>
        </is>
      </c>
      <c r="D12" s="419" t="inlineStr">
        <is>
          <t>Cost</t>
        </is>
      </c>
      <c r="E12" s="419" t="inlineStr">
        <is>
          <t>MVP</t>
        </is>
      </c>
      <c r="F12" s="419" t="inlineStr">
        <is>
          <t>Minimize via compile caching</t>
        </is>
      </c>
      <c r="G12" s="419" t="str"/>
      <c r="H12" s="419" t="str"/>
    </row>
    <row r="13" ht="38" customHeight="1" s="401">
      <c r="A13" s="419" t="inlineStr">
        <is>
          <t>KPI-10</t>
        </is>
      </c>
      <c r="B13" s="419" t="inlineStr">
        <is>
          <t>Browser Preview to Native Run Ratio</t>
        </is>
      </c>
      <c r="C13" s="419" t="inlineStr">
        <is>
          <t>How often cheap preview avoids native sessions</t>
        </is>
      </c>
      <c r="D13" s="419" t="inlineStr">
        <is>
          <t>Cost</t>
        </is>
      </c>
      <c r="E13" s="419" t="inlineStr">
        <is>
          <t>MID</t>
        </is>
      </c>
      <c r="F13" s="419" t="inlineStr">
        <is>
          <t>Increase without hurting quality</t>
        </is>
      </c>
      <c r="G13" s="419" t="str"/>
      <c r="H13" s="419" t="str"/>
    </row>
    <row r="14" ht="38" customHeight="1" s="401">
      <c r="A14" s="419" t="inlineStr">
        <is>
          <t>KPI-11</t>
        </is>
      </c>
      <c r="B14" s="419" t="inlineStr">
        <is>
          <t>Deployment Success Rate</t>
        </is>
      </c>
      <c r="C14" s="419" t="inlineStr">
        <is>
          <t>Successful deployment without manual repair</t>
        </is>
      </c>
      <c r="D14" s="419" t="inlineStr">
        <is>
          <t>Reliability</t>
        </is>
      </c>
      <c r="E14" s="419" t="inlineStr">
        <is>
          <t>MVP</t>
        </is>
      </c>
      <c r="F14" s="419" t="inlineStr">
        <is>
          <t>&gt;=98%</t>
        </is>
      </c>
      <c r="G14" s="419" t="str"/>
      <c r="H14" s="419" t="str"/>
    </row>
    <row r="15" ht="38" customHeight="1" s="401">
      <c r="A15" s="419" t="inlineStr">
        <is>
          <t>KPI-12</t>
        </is>
      </c>
      <c r="B15" s="419" t="inlineStr">
        <is>
          <t>Production Incident Rate</t>
        </is>
      </c>
      <c r="C15" s="419" t="inlineStr">
        <is>
          <t>Incidents per deployed project/version</t>
        </is>
      </c>
      <c r="D15" s="419" t="inlineStr">
        <is>
          <t>Reliability</t>
        </is>
      </c>
      <c r="E15" s="419" t="inlineStr">
        <is>
          <t>PRODUCTION</t>
        </is>
      </c>
      <c r="F15" s="419" t="inlineStr">
        <is>
          <t>Trend down</t>
        </is>
      </c>
      <c r="G15" s="419" t="str"/>
      <c r="H15" s="419" t="str"/>
    </row>
    <row r="16" ht="38" customHeight="1" s="401">
      <c r="A16" s="419" t="inlineStr">
        <is>
          <t>KPI-13</t>
        </is>
      </c>
      <c r="B16" s="419" t="inlineStr">
        <is>
          <t>Test Coverage of Changed Logic</t>
        </is>
      </c>
      <c r="C16" s="419" t="inlineStr">
        <is>
          <t>Changed core logic exercised by tests</t>
        </is>
      </c>
      <c r="D16" s="419" t="inlineStr">
        <is>
          <t>Quality</t>
        </is>
      </c>
      <c r="E16" s="419" t="inlineStr">
        <is>
          <t>MID</t>
        </is>
      </c>
      <c r="F16" s="419" t="inlineStr">
        <is>
          <t>Project-defined threshold</t>
        </is>
      </c>
      <c r="G16" s="419" t="str"/>
      <c r="H16" s="419" t="str"/>
    </row>
    <row r="17" ht="38" customHeight="1" s="401">
      <c r="A17" s="419" t="inlineStr">
        <is>
          <t>KPI-14</t>
        </is>
      </c>
      <c r="B17" s="419" t="inlineStr">
        <is>
          <t>Security Release Blockers</t>
        </is>
      </c>
      <c r="C17" s="419" t="inlineStr">
        <is>
          <t>Critical/high findings reaching production</t>
        </is>
      </c>
      <c r="D17" s="419" t="inlineStr">
        <is>
          <t>Security</t>
        </is>
      </c>
      <c r="E17" s="419" t="inlineStr">
        <is>
          <t>MVP</t>
        </is>
      </c>
      <c r="F17" s="419" t="inlineStr">
        <is>
          <t>0 critical</t>
        </is>
      </c>
      <c r="G17" s="419" t="str"/>
      <c r="H17" s="419" t="str"/>
    </row>
    <row r="18" ht="38" customHeight="1" s="401">
      <c r="A18" s="419" t="inlineStr">
        <is>
          <t>KPI-15</t>
        </is>
      </c>
      <c r="B18" s="419" t="inlineStr">
        <is>
          <t>Model Routing Savings</t>
        </is>
      </c>
      <c r="C18" s="419" t="inlineStr">
        <is>
          <t>Cost saved vs always using premium model</t>
        </is>
      </c>
      <c r="D18" s="419" t="inlineStr">
        <is>
          <t>Cost</t>
        </is>
      </c>
      <c r="E18" s="419" t="inlineStr">
        <is>
          <t>MID</t>
        </is>
      </c>
      <c r="F18" s="419" t="inlineStr">
        <is>
          <t>&gt;20%</t>
        </is>
      </c>
      <c r="G18" s="419" t="str"/>
      <c r="H18" s="419" t="str"/>
    </row>
    <row r="19" ht="38" customHeight="1" s="401">
      <c r="A19" s="419" t="inlineStr">
        <is>
          <t>KPI-16</t>
        </is>
      </c>
      <c r="B19" s="419" t="inlineStr">
        <is>
          <t>Agent Retry Rate</t>
        </is>
      </c>
      <c r="C19" s="419" t="inlineStr">
        <is>
          <t>Average internal retries/task</t>
        </is>
      </c>
      <c r="D19" s="419" t="inlineStr">
        <is>
          <t>Quality/Cost</t>
        </is>
      </c>
      <c r="E19" s="419" t="inlineStr">
        <is>
          <t>MVP</t>
        </is>
      </c>
      <c r="F19" s="419" t="inlineStr">
        <is>
          <t>Trend down</t>
        </is>
      </c>
      <c r="G19" s="419" t="str"/>
      <c r="H19" s="419" t="str"/>
    </row>
    <row r="20" ht="38" customHeight="1" s="401">
      <c r="A20" s="419" t="inlineStr">
        <is>
          <t>KPI-17</t>
        </is>
      </c>
      <c r="B20" s="419" t="inlineStr">
        <is>
          <t>Support Tickets per 100 Active Projects</t>
        </is>
      </c>
      <c r="C20" s="419" t="inlineStr">
        <is>
          <t>Operational friction</t>
        </is>
      </c>
      <c r="D20" s="419" t="inlineStr">
        <is>
          <t>Support</t>
        </is>
      </c>
      <c r="E20" s="419" t="inlineStr">
        <is>
          <t>MID</t>
        </is>
      </c>
      <c r="F20" s="419" t="inlineStr">
        <is>
          <t>Trend down</t>
        </is>
      </c>
      <c r="G20" s="419" t="str"/>
      <c r="H20" s="419" t="str"/>
    </row>
    <row r="21" ht="38" customHeight="1" s="401">
      <c r="A21" s="419" t="inlineStr">
        <is>
          <t>KPI-18</t>
        </is>
      </c>
      <c r="B21" s="419" t="inlineStr">
        <is>
          <t>Gross Margin by Plan</t>
        </is>
      </c>
      <c r="C21" s="419" t="inlineStr">
        <is>
          <t>Revenue minus model/compute/support variable cost</t>
        </is>
      </c>
      <c r="D21" s="419" t="inlineStr">
        <is>
          <t>Business</t>
        </is>
      </c>
      <c r="E21" s="419" t="inlineStr">
        <is>
          <t>PRODUCTION</t>
        </is>
      </c>
      <c r="F21" s="419" t="inlineStr">
        <is>
          <t>Plan target</t>
        </is>
      </c>
      <c r="G21" s="419" t="str"/>
      <c r="H21" s="419" t="str"/>
    </row>
    <row r="22" ht="38" customHeight="1" s="401">
      <c r="A22" s="419" t="inlineStr">
        <is>
          <t>KPI-19</t>
        </is>
      </c>
      <c r="B22" s="419" t="inlineStr">
        <is>
          <t>Time to First Working App</t>
        </is>
      </c>
      <c r="C22" s="419" t="inlineStr">
        <is>
          <t>Signup to working multi-target preview</t>
        </is>
      </c>
      <c r="D22" s="419" t="inlineStr">
        <is>
          <t>Growth</t>
        </is>
      </c>
      <c r="E22" s="419" t="inlineStr">
        <is>
          <t>MVP</t>
        </is>
      </c>
      <c r="F22" s="419" t="inlineStr">
        <is>
          <t>Track p50/p90</t>
        </is>
      </c>
      <c r="G22" s="419" t="str"/>
      <c r="H22" s="419" t="str"/>
    </row>
    <row r="23" ht="38" customHeight="1" s="401">
      <c r="A23" s="419" t="inlineStr">
        <is>
          <t>KPI-20</t>
        </is>
      </c>
      <c r="B23" s="419" t="inlineStr">
        <is>
          <t>Existing Repo Task Success</t>
        </is>
      </c>
      <c r="C23" s="419" t="inlineStr">
        <is>
          <t>Accepted safe changes on imported codebases</t>
        </is>
      </c>
      <c r="D23" s="419" t="inlineStr">
        <is>
          <t>Quality</t>
        </is>
      </c>
      <c r="E23" s="419" t="inlineStr">
        <is>
          <t>ADVANCED</t>
        </is>
      </c>
      <c r="F23" s="419" t="inlineStr">
        <is>
          <t>&gt;=90%</t>
        </is>
      </c>
      <c r="G23" s="419" t="str"/>
      <c r="H23" s="419" t="str"/>
    </row>
  </sheetData>
  <mergeCells count="2">
    <mergeCell ref="A2:H2"/>
    <mergeCell ref="A1:H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0" customWidth="1" style="401" min="1" max="1"/>
    <col width="32" customWidth="1" style="401" min="2" max="2"/>
    <col width="58" customWidth="1" style="401" min="3" max="3"/>
    <col width="62" customWidth="1" style="401" min="4" max="4"/>
    <col width="20" customWidth="1" style="401" min="5" max="5"/>
    <col width="14" customWidth="1" style="401" min="6" max="6"/>
    <col width="54" customWidth="1" style="401" min="7" max="7"/>
    <col width="16" customWidth="1" style="401" min="8" max="8"/>
  </cols>
  <sheetData>
    <row r="1" ht="30" customHeight="1" s="401">
      <c r="A1" s="558" t="inlineStr">
        <is>
          <t>Competitor / Failure-Mode Risk Register</t>
        </is>
      </c>
      <c r="B1" s="547" t="n"/>
      <c r="C1" s="547" t="n"/>
      <c r="D1" s="547" t="n"/>
      <c r="E1" s="547" t="n"/>
      <c r="F1" s="547" t="n"/>
      <c r="G1" s="547" t="n"/>
      <c r="H1" s="547" t="n"/>
    </row>
    <row r="2" ht="34" customHeight="1" s="401">
      <c r="A2" s="557" t="inlineStr">
        <is>
          <t>Competitor notes use public Emergent documentation where available. Internal design risks are included because they commonly affect autonomous coding systems.</t>
        </is>
      </c>
      <c r="B2" s="547" t="n"/>
      <c r="C2" s="547" t="n"/>
      <c r="D2" s="547" t="n"/>
      <c r="E2" s="547" t="n"/>
      <c r="F2" s="547" t="n"/>
      <c r="G2" s="547" t="n"/>
      <c r="H2" s="547" t="n"/>
    </row>
    <row r="3" ht="28" customHeight="1" s="401">
      <c r="A3" s="413" t="inlineStr">
        <is>
          <t>ID</t>
        </is>
      </c>
      <c r="B3" s="413" t="inlineStr">
        <is>
          <t>Observed Risk / Limitation</t>
        </is>
      </c>
      <c r="C3" s="413" t="inlineStr">
        <is>
          <t>Evidence / Meaning</t>
        </is>
      </c>
      <c r="D3" s="413" t="inlineStr">
        <is>
          <t>Our Prevention / Advantage</t>
        </is>
      </c>
      <c r="E3" s="413" t="inlineStr">
        <is>
          <t>Impact</t>
        </is>
      </c>
      <c r="F3" s="413" t="inlineStr">
        <is>
          <t>Phase</t>
        </is>
      </c>
      <c r="G3" s="413" t="inlineStr">
        <is>
          <t>Source</t>
        </is>
      </c>
      <c r="H3" s="413" t="inlineStr">
        <is>
          <t>Status</t>
        </is>
      </c>
    </row>
    <row r="4" ht="52" customHeight="1" s="401">
      <c r="A4" s="419" t="inlineStr">
        <is>
          <t>RK-01</t>
        </is>
      </c>
      <c r="B4" s="419" t="inlineStr">
        <is>
          <t>Fixed mobile stack</t>
        </is>
      </c>
      <c r="C4" s="419" t="inlineStr">
        <is>
          <t>Emergent documents Expo/React Native + FastAPI + MongoDB and no native Kotlin/Swift.</t>
        </is>
      </c>
      <c r="D4" s="419" t="inlineStr">
        <is>
          <t>Framework-neutral IR + Auto recommendation: Flutter/RN by default for cost/speed, Native when complexity justifies it.</t>
        </is>
      </c>
      <c r="E4" s="419" t="inlineStr">
        <is>
          <t>Product differentiation</t>
        </is>
      </c>
      <c r="F4" s="419" t="inlineStr">
        <is>
          <t>MVP</t>
        </is>
      </c>
      <c r="G4" s="419" t="inlineStr">
        <is>
          <t>https://help.emergent.sh/mobile-app-development</t>
        </is>
      </c>
      <c r="H4" s="419" t="inlineStr">
        <is>
          <t>Not Started</t>
        </is>
      </c>
    </row>
    <row r="5" ht="52" customHeight="1" s="401">
      <c r="A5" s="419" t="inlineStr">
        <is>
          <t>RK-02</t>
        </is>
      </c>
      <c r="B5" s="419" t="inlineStr">
        <is>
          <t>Long-project context limits</t>
        </is>
      </c>
      <c r="C5" s="419" t="inlineStr">
        <is>
          <t>Emergent documents context limits/forking for complex long projects.</t>
        </is>
      </c>
      <c r="D5" s="419" t="inlineStr">
        <is>
          <t>IR + ADRs + symbol graph + summaries + semantic retrieval; chat is not source of truth.</t>
        </is>
      </c>
      <c r="E5" s="419" t="inlineStr">
        <is>
          <t>Reliability</t>
        </is>
      </c>
      <c r="F5" s="419" t="inlineStr">
        <is>
          <t>MVP</t>
        </is>
      </c>
      <c r="G5" s="419" t="inlineStr">
        <is>
          <t>https://help.emergent.sh/context-limits</t>
        </is>
      </c>
      <c r="H5" s="419" t="inlineStr">
        <is>
          <t>Not Started</t>
        </is>
      </c>
    </row>
    <row r="6" ht="52" customHeight="1" s="401">
      <c r="A6" s="419" t="inlineStr">
        <is>
          <t>RK-03</t>
        </is>
      </c>
      <c r="B6" s="419" t="inlineStr">
        <is>
          <t>Destructive rollback</t>
        </is>
      </c>
      <c r="C6" s="419" t="inlineStr">
        <is>
          <t>Emergent rollback docs say later work is lost and rollback cannot be undone.</t>
        </is>
      </c>
      <c r="D6" s="419" t="inlineStr">
        <is>
          <t>Git branch per task + revert + cherry-pick + immutable checkpoints.</t>
        </is>
      </c>
      <c r="E6" s="419" t="inlineStr">
        <is>
          <t>Developer trust</t>
        </is>
      </c>
      <c r="F6" s="419" t="inlineStr">
        <is>
          <t>MVP</t>
        </is>
      </c>
      <c r="G6" s="419" t="inlineStr">
        <is>
          <t>https://help.emergent.sh/rollback-feature</t>
        </is>
      </c>
      <c r="H6" s="419" t="inlineStr">
        <is>
          <t>Not Started</t>
        </is>
      </c>
    </row>
    <row r="7" ht="52" customHeight="1" s="401">
      <c r="A7" s="419" t="inlineStr">
        <is>
          <t>RK-04</t>
        </is>
      </c>
      <c r="B7" s="419" t="inlineStr">
        <is>
          <t>Credit waste during rebuild</t>
        </is>
      </c>
      <c r="C7" s="419" t="inlineStr">
        <is>
          <t>Emergent docs note rebuilding after rollback spends credits again.</t>
        </is>
      </c>
      <c r="D7" s="419" t="inlineStr">
        <is>
          <t>Bounded retries included in task price; do not bill internal failed attempts separately.</t>
        </is>
      </c>
      <c r="E7" s="419" t="inlineStr">
        <is>
          <t>Pricing trust</t>
        </is>
      </c>
      <c r="F7" s="419" t="inlineStr">
        <is>
          <t>MVP</t>
        </is>
      </c>
      <c r="G7" s="419" t="inlineStr">
        <is>
          <t>https://help.emergent.sh/rollback-feature</t>
        </is>
      </c>
      <c r="H7" s="419" t="inlineStr">
        <is>
          <t>Not Started</t>
        </is>
      </c>
    </row>
    <row r="8" ht="52" customHeight="1" s="401">
      <c r="A8" s="419" t="inlineStr">
        <is>
          <t>RK-05</t>
        </is>
      </c>
      <c r="B8" s="419" t="inlineStr">
        <is>
          <t>Preview/production differences</t>
        </is>
      </c>
      <c r="C8" s="419" t="inlineStr">
        <is>
          <t>Emergent docs describe separate preview/deployed DB and production resource constraints.</t>
        </is>
      </c>
      <c r="D8" s="419" t="inlineStr">
        <is>
          <t>Environment parity contracts, same artifact promoted, staging load/performance checks.</t>
        </is>
      </c>
      <c r="E8" s="419" t="inlineStr">
        <is>
          <t>Deployment reliability</t>
        </is>
      </c>
      <c r="F8" s="419" t="inlineStr">
        <is>
          <t>MID</t>
        </is>
      </c>
      <c r="G8" s="419" t="inlineStr">
        <is>
          <t>https://help.emergent.sh/platform-documentation</t>
        </is>
      </c>
      <c r="H8" s="419" t="inlineStr">
        <is>
          <t>Not Started</t>
        </is>
      </c>
    </row>
    <row r="9" ht="52" customHeight="1" s="401">
      <c r="A9" s="419" t="inlineStr">
        <is>
          <t>RK-06</t>
        </is>
      </c>
      <c r="B9" s="419" t="inlineStr">
        <is>
          <t>Deployment resource issues</t>
        </is>
      </c>
      <c r="C9" s="419" t="inlineStr">
        <is>
          <t>Emergent docs mention heavy libraries/resource limits and shared resources.</t>
        </is>
      </c>
      <c r="D9" s="419" t="inlineStr">
        <is>
          <t>Per-project resource budgets, static size checks, limits surfaced before deployment.</t>
        </is>
      </c>
      <c r="E9" s="419" t="inlineStr">
        <is>
          <t>Scale</t>
        </is>
      </c>
      <c r="F9" s="419" t="inlineStr">
        <is>
          <t>MID</t>
        </is>
      </c>
      <c r="G9" s="419" t="inlineStr">
        <is>
          <t>https://help.emergent.sh/deployment-information</t>
        </is>
      </c>
      <c r="H9" s="419" t="inlineStr">
        <is>
          <t>Not Started</t>
        </is>
      </c>
    </row>
    <row r="10" ht="52" customHeight="1" s="401">
      <c r="A10" s="419" t="inlineStr">
        <is>
          <t>RK-07</t>
        </is>
      </c>
      <c r="B10" s="419" t="inlineStr">
        <is>
          <t>External mobile build steps</t>
        </is>
      </c>
      <c r="C10" s="419" t="inlineStr">
        <is>
          <t>Emergent mobile docs rely on Expo EAS workflow for store binaries.</t>
        </is>
      </c>
      <c r="D10" s="419" t="inlineStr">
        <is>
          <t>Integrated Linux Android + Mac iOS build service; optional local Mac agent.</t>
        </is>
      </c>
      <c r="E10" s="419" t="inlineStr">
        <is>
          <t>Developer experience</t>
        </is>
      </c>
      <c r="F10" s="419" t="inlineStr">
        <is>
          <t>MID</t>
        </is>
      </c>
      <c r="G10" s="419" t="inlineStr">
        <is>
          <t>https://help.emergent.sh/mobile-app-development</t>
        </is>
      </c>
      <c r="H10" s="419" t="inlineStr">
        <is>
          <t>Not Started</t>
        </is>
      </c>
    </row>
    <row r="11" ht="52" customHeight="1" s="401">
      <c r="A11" s="419" t="inlineStr">
        <is>
          <t>RK-08</t>
        </is>
      </c>
      <c r="B11" s="419" t="inlineStr">
        <is>
          <t>Default DB rigidity</t>
        </is>
      </c>
      <c r="C11" s="419" t="inlineStr">
        <is>
          <t>Emergent docs commonly use MongoDB default/fixed mobile stack.</t>
        </is>
      </c>
      <c r="D11" s="419" t="inlineStr">
        <is>
          <t>PostgreSQL default with selectable DB connectors and explicit migration contracts.</t>
        </is>
      </c>
      <c r="E11" s="419" t="inlineStr">
        <is>
          <t>Architecture flexibility</t>
        </is>
      </c>
      <c r="F11" s="419" t="inlineStr">
        <is>
          <t>MID</t>
        </is>
      </c>
      <c r="G11" s="419" t="inlineStr">
        <is>
          <t>https://help.emergent.sh/faqs</t>
        </is>
      </c>
      <c r="H11" s="419" t="inlineStr">
        <is>
          <t>Not Started</t>
        </is>
      </c>
    </row>
    <row r="12" ht="52" customHeight="1" s="401">
      <c r="A12" s="419" t="inlineStr">
        <is>
          <t>RK-09</t>
        </is>
      </c>
      <c r="B12" s="419" t="inlineStr">
        <is>
          <t>Agent drift / unrelated changes</t>
        </is>
      </c>
      <c r="C12" s="419" t="inlineStr">
        <is>
          <t>General risk in autonomous coding systems.</t>
        </is>
      </c>
      <c r="D12" s="419" t="inlineStr">
        <is>
          <t>Change Impact Engine + blast-radius policy + AST patches + independent review.</t>
        </is>
      </c>
      <c r="E12" s="419" t="inlineStr">
        <is>
          <t>Core moat</t>
        </is>
      </c>
      <c r="F12" s="419" t="inlineStr">
        <is>
          <t>MVP</t>
        </is>
      </c>
      <c r="G12" s="419" t="inlineStr">
        <is>
          <t>Internal design principle</t>
        </is>
      </c>
      <c r="H12" s="419" t="inlineStr">
        <is>
          <t>Not Started</t>
        </is>
      </c>
    </row>
    <row r="13" ht="52" customHeight="1" s="401">
      <c r="A13" s="419" t="inlineStr">
        <is>
          <t>RK-10</t>
        </is>
      </c>
      <c r="B13" s="419" t="inlineStr">
        <is>
          <t>Runaway agent loops</t>
        </is>
      </c>
      <c r="C13" s="419" t="inlineStr">
        <is>
          <t>General risk in autonomous agents.</t>
        </is>
      </c>
      <c r="D13" s="419" t="inlineStr">
        <is>
          <t>Hard token/tool/time/retry budgets and recovery stop conditions.</t>
        </is>
      </c>
      <c r="E13" s="419" t="inlineStr">
        <is>
          <t>Cost/reliability</t>
        </is>
      </c>
      <c r="F13" s="419" t="inlineStr">
        <is>
          <t>MVP</t>
        </is>
      </c>
      <c r="G13" s="419" t="inlineStr">
        <is>
          <t>Internal design principle</t>
        </is>
      </c>
      <c r="H13" s="419" t="inlineStr">
        <is>
          <t>Not Started</t>
        </is>
      </c>
    </row>
    <row r="14" ht="52" customHeight="1" s="401">
      <c r="A14" s="419" t="inlineStr">
        <is>
          <t>RK-11</t>
        </is>
      </c>
      <c r="B14" s="419" t="inlineStr">
        <is>
          <t>Secrets exposed to code/LLM</t>
        </is>
      </c>
      <c r="C14" s="419" t="inlineStr">
        <is>
          <t>General AI coding risk.</t>
        </is>
      </c>
      <c r="D14" s="419" t="inlineStr">
        <is>
          <t>Secret broker, redaction, least privilege, no raw secret in prompt/log.</t>
        </is>
      </c>
      <c r="E14" s="419" t="inlineStr">
        <is>
          <t>Security</t>
        </is>
      </c>
      <c r="F14" s="419" t="inlineStr">
        <is>
          <t>MVP</t>
        </is>
      </c>
      <c r="G14" s="419" t="inlineStr">
        <is>
          <t>Internal design principle</t>
        </is>
      </c>
      <c r="H14" s="419" t="inlineStr">
        <is>
          <t>Not Started</t>
        </is>
      </c>
    </row>
    <row r="15" ht="52" customHeight="1" s="401">
      <c r="A15" s="419" t="inlineStr">
        <is>
          <t>RK-12</t>
        </is>
      </c>
      <c r="B15" s="419" t="inlineStr">
        <is>
          <t>Generated code looks good but does not compile</t>
        </is>
      </c>
      <c r="C15" s="419" t="inlineStr">
        <is>
          <t>General AI coding risk.</t>
        </is>
      </c>
      <c r="D15" s="419" t="inlineStr">
        <is>
          <t>Affected-target compile gate before accepting a task.</t>
        </is>
      </c>
      <c r="E15" s="419" t="inlineStr">
        <is>
          <t>Quality</t>
        </is>
      </c>
      <c r="F15" s="419" t="inlineStr">
        <is>
          <t>MVP</t>
        </is>
      </c>
      <c r="G15" s="419" t="inlineStr">
        <is>
          <t>Internal design principle</t>
        </is>
      </c>
      <c r="H15" s="419" t="inlineStr">
        <is>
          <t>Not Started</t>
        </is>
      </c>
    </row>
    <row r="16" ht="52" customHeight="1" s="401">
      <c r="A16" s="419" t="inlineStr">
        <is>
          <t>RK-13</t>
        </is>
      </c>
      <c r="B16" s="419" t="inlineStr">
        <is>
          <t>Cross-platform behavior divergence</t>
        </is>
      </c>
      <c r="C16" s="419" t="inlineStr">
        <is>
          <t>Multiple targets/frameworks can drift or duplicate logic.</t>
        </is>
      </c>
      <c r="D16" s="419" t="inlineStr">
        <is>
          <t>Share contracts/tokens/domain rules, activate only selected framework adapters, run cross-target consistency checks and preserve one IR.</t>
        </is>
      </c>
      <c r="E16" s="419" t="inlineStr">
        <is>
          <t>Quality</t>
        </is>
      </c>
      <c r="F16" s="419" t="inlineStr">
        <is>
          <t>MID</t>
        </is>
      </c>
      <c r="G16" s="419" t="inlineStr">
        <is>
          <t>Internal design principle</t>
        </is>
      </c>
      <c r="H16" s="419" t="inlineStr">
        <is>
          <t>Not Started</t>
        </is>
      </c>
    </row>
    <row r="17" ht="52" customHeight="1" s="401">
      <c r="A17" s="419" t="inlineStr">
        <is>
          <t>RK-14</t>
        </is>
      </c>
      <c r="B17" s="419" t="inlineStr">
        <is>
          <t>Mac compute becomes expensive</t>
        </is>
      </c>
      <c r="C17" s="419" t="inlineStr">
        <is>
          <t>Real iOS build/simulator requires macOS compute.</t>
        </is>
      </c>
      <c r="D17" s="419" t="inlineStr">
        <is>
          <t>Browser preview default, cached compile validation, metered native sessions, local Mac option.</t>
        </is>
      </c>
      <c r="E17" s="419" t="inlineStr">
        <is>
          <t>Unit economics</t>
        </is>
      </c>
      <c r="F17" s="419" t="inlineStr">
        <is>
          <t>MVP/MID</t>
        </is>
      </c>
      <c r="G17" s="419" t="inlineStr">
        <is>
          <t>Internal design principle</t>
        </is>
      </c>
      <c r="H17" s="419" t="inlineStr">
        <is>
          <t>Not Started</t>
        </is>
      </c>
    </row>
  </sheetData>
  <mergeCells count="2">
    <mergeCell ref="A2:H2"/>
    <mergeCell ref="A1:H1"/>
  </mergeCells>
  <conditionalFormatting sqref="H4:H17">
    <cfRule type="expression" priority="1" dxfId="0">
      <formula>H4="Done"</formula>
    </cfRule>
    <cfRule type="expression" priority="2" dxfId="1">
      <formula>H4="In Progress"</formula>
    </cfRule>
    <cfRule type="expression" priority="3" dxfId="2">
      <formula>H4="Blocked"</formula>
    </cfRule>
    <cfRule type="expression" priority="4" dxfId="3">
      <formula>H4="Deferred"</formula>
    </cfRule>
  </conditionalFormatting>
  <dataValidations count="1">
    <dataValidation sqref="H4:H17" showDropDown="0" showInputMessage="0" showErrorMessage="0" allowBlank="0" type="list">
      <formula1>"Not Started,In Progress,Blocked,Done,Deferred"</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0" customWidth="1" style="401" min="1" max="1"/>
    <col width="22" customWidth="1" style="401" min="2" max="2"/>
    <col width="64" customWidth="1" style="401" min="3" max="3"/>
    <col width="14" customWidth="1" style="401" min="4" max="4"/>
    <col width="14" customWidth="1" style="401" min="5" max="5"/>
    <col width="16" customWidth="1" style="401" min="6" max="6"/>
    <col width="44" customWidth="1" style="401" min="7" max="7"/>
  </cols>
  <sheetData>
    <row r="1" ht="30" customHeight="1" s="401">
      <c r="A1" s="558" t="inlineStr">
        <is>
          <t>Production Readiness Gates</t>
        </is>
      </c>
      <c r="B1" s="547" t="n"/>
      <c r="C1" s="547" t="n"/>
      <c r="D1" s="547" t="n"/>
      <c r="E1" s="547" t="n"/>
      <c r="F1" s="547" t="n"/>
      <c r="G1" s="547" t="n"/>
    </row>
    <row r="2" ht="34" customHeight="1" s="401">
      <c r="A2" s="557" t="inlineStr">
        <is>
          <t>Do not call the platform production-ready until every Blocking gate has evidence and is Done.</t>
        </is>
      </c>
      <c r="B2" s="547" t="n"/>
      <c r="C2" s="547" t="n"/>
      <c r="D2" s="547" t="n"/>
      <c r="E2" s="547" t="n"/>
      <c r="F2" s="547" t="n"/>
      <c r="G2" s="547" t="n"/>
    </row>
    <row r="3" ht="28" customHeight="1" s="401">
      <c r="A3" s="413" t="inlineStr">
        <is>
          <t>ID</t>
        </is>
      </c>
      <c r="B3" s="413" t="inlineStr">
        <is>
          <t>Category</t>
        </is>
      </c>
      <c r="C3" s="413" t="inlineStr">
        <is>
          <t>Gate</t>
        </is>
      </c>
      <c r="D3" s="413" t="inlineStr">
        <is>
          <t>Phase</t>
        </is>
      </c>
      <c r="E3" s="413" t="inlineStr">
        <is>
          <t>Severity</t>
        </is>
      </c>
      <c r="F3" s="413" t="inlineStr">
        <is>
          <t>Status</t>
        </is>
      </c>
      <c r="G3" s="413" t="inlineStr">
        <is>
          <t>Evidence / Link</t>
        </is>
      </c>
    </row>
    <row r="4" ht="38" customHeight="1" s="401">
      <c r="A4" s="419" t="inlineStr">
        <is>
          <t>PG-01</t>
        </is>
      </c>
      <c r="B4" s="419" t="inlineStr">
        <is>
          <t>Architecture</t>
        </is>
      </c>
      <c r="C4" s="419" t="inlineStr">
        <is>
          <t>All P0 MVP architecture requirements complete</t>
        </is>
      </c>
      <c r="D4" s="419" t="inlineStr">
        <is>
          <t>PRODUCTION</t>
        </is>
      </c>
      <c r="E4" s="419" t="inlineStr">
        <is>
          <t>Blocking</t>
        </is>
      </c>
      <c r="F4" s="419" t="inlineStr">
        <is>
          <t>Not Started</t>
        </is>
      </c>
      <c r="G4" s="419" t="str"/>
    </row>
    <row r="5" ht="38" customHeight="1" s="401">
      <c r="A5" s="419" t="inlineStr">
        <is>
          <t>PG-02</t>
        </is>
      </c>
      <c r="B5" s="419" t="inlineStr">
        <is>
          <t>Quality</t>
        </is>
      </c>
      <c r="C5" s="419" t="inlineStr">
        <is>
          <t>Critical flows have automated E2E and regression tests</t>
        </is>
      </c>
      <c r="D5" s="419" t="inlineStr">
        <is>
          <t>PRODUCTION</t>
        </is>
      </c>
      <c r="E5" s="419" t="inlineStr">
        <is>
          <t>Blocking</t>
        </is>
      </c>
      <c r="F5" s="419" t="inlineStr">
        <is>
          <t>Not Started</t>
        </is>
      </c>
      <c r="G5" s="419" t="str"/>
    </row>
    <row r="6" ht="38" customHeight="1" s="401">
      <c r="A6" s="419" t="inlineStr">
        <is>
          <t>PG-03</t>
        </is>
      </c>
      <c r="B6" s="419" t="inlineStr">
        <is>
          <t>Quality</t>
        </is>
      </c>
      <c r="C6" s="419" t="inlineStr">
        <is>
          <t>Release qualification suite passes across supported target versions</t>
        </is>
      </c>
      <c r="D6" s="419" t="inlineStr">
        <is>
          <t>PRODUCTION</t>
        </is>
      </c>
      <c r="E6" s="419" t="inlineStr">
        <is>
          <t>Blocking</t>
        </is>
      </c>
      <c r="F6" s="419" t="inlineStr">
        <is>
          <t>Not Started</t>
        </is>
      </c>
      <c r="G6" s="419" t="str"/>
    </row>
    <row r="7" ht="38" customHeight="1" s="401">
      <c r="A7" s="419" t="inlineStr">
        <is>
          <t>PG-04</t>
        </is>
      </c>
      <c r="B7" s="419" t="inlineStr">
        <is>
          <t>Security</t>
        </is>
      </c>
      <c r="C7" s="419" t="inlineStr">
        <is>
          <t>No unresolved critical/high release-blocking security findings</t>
        </is>
      </c>
      <c r="D7" s="419" t="inlineStr">
        <is>
          <t>PRODUCTION</t>
        </is>
      </c>
      <c r="E7" s="419" t="inlineStr">
        <is>
          <t>Blocking</t>
        </is>
      </c>
      <c r="F7" s="419" t="inlineStr">
        <is>
          <t>Not Started</t>
        </is>
      </c>
      <c r="G7" s="419" t="str"/>
    </row>
    <row r="8" ht="38" customHeight="1" s="401">
      <c r="A8" s="419" t="inlineStr">
        <is>
          <t>PG-05</t>
        </is>
      </c>
      <c r="B8" s="419" t="inlineStr">
        <is>
          <t>Security</t>
        </is>
      </c>
      <c r="C8" s="419" t="inlineStr">
        <is>
          <t>Tenant isolation test suite passes</t>
        </is>
      </c>
      <c r="D8" s="419" t="inlineStr">
        <is>
          <t>PRODUCTION</t>
        </is>
      </c>
      <c r="E8" s="419" t="inlineStr">
        <is>
          <t>Blocking</t>
        </is>
      </c>
      <c r="F8" s="419" t="inlineStr">
        <is>
          <t>Not Started</t>
        </is>
      </c>
      <c r="G8" s="419" t="str"/>
    </row>
    <row r="9" ht="38" customHeight="1" s="401">
      <c r="A9" s="419" t="inlineStr">
        <is>
          <t>PG-06</t>
        </is>
      </c>
      <c r="B9" s="419" t="inlineStr">
        <is>
          <t>Security</t>
        </is>
      </c>
      <c r="C9" s="419" t="inlineStr">
        <is>
          <t>External penetration test completed and critical items fixed</t>
        </is>
      </c>
      <c r="D9" s="419" t="inlineStr">
        <is>
          <t>PRODUCTION</t>
        </is>
      </c>
      <c r="E9" s="419" t="inlineStr">
        <is>
          <t>Blocking</t>
        </is>
      </c>
      <c r="F9" s="419" t="inlineStr">
        <is>
          <t>Not Started</t>
        </is>
      </c>
      <c r="G9" s="419" t="str"/>
    </row>
    <row r="10" ht="38" customHeight="1" s="401">
      <c r="A10" s="419" t="inlineStr">
        <is>
          <t>PG-07</t>
        </is>
      </c>
      <c r="B10" s="419" t="inlineStr">
        <is>
          <t>Operations</t>
        </is>
      </c>
      <c r="C10" s="419" t="inlineStr">
        <is>
          <t>On-call, incident runbooks, status communication and postmortem process active</t>
        </is>
      </c>
      <c r="D10" s="419" t="inlineStr">
        <is>
          <t>PRODUCTION</t>
        </is>
      </c>
      <c r="E10" s="419" t="inlineStr">
        <is>
          <t>Blocking</t>
        </is>
      </c>
      <c r="F10" s="419" t="inlineStr">
        <is>
          <t>Not Started</t>
        </is>
      </c>
      <c r="G10" s="419" t="str"/>
    </row>
    <row r="11" ht="38" customHeight="1" s="401">
      <c r="A11" s="419" t="inlineStr">
        <is>
          <t>PG-08</t>
        </is>
      </c>
      <c r="B11" s="419" t="inlineStr">
        <is>
          <t>Reliability</t>
        </is>
      </c>
      <c r="C11" s="419" t="inlineStr">
        <is>
          <t>Backup restore drill completed successfully</t>
        </is>
      </c>
      <c r="D11" s="419" t="inlineStr">
        <is>
          <t>PRODUCTION</t>
        </is>
      </c>
      <c r="E11" s="419" t="inlineStr">
        <is>
          <t>Blocking</t>
        </is>
      </c>
      <c r="F11" s="419" t="inlineStr">
        <is>
          <t>Not Started</t>
        </is>
      </c>
      <c r="G11" s="419" t="str"/>
    </row>
    <row r="12" ht="38" customHeight="1" s="401">
      <c r="A12" s="419" t="inlineStr">
        <is>
          <t>PG-09</t>
        </is>
      </c>
      <c r="B12" s="419" t="inlineStr">
        <is>
          <t>Reliability</t>
        </is>
      </c>
      <c r="C12" s="419" t="inlineStr">
        <is>
          <t>Load test demonstrates target concurrent tasks/builds/previews</t>
        </is>
      </c>
      <c r="D12" s="419" t="inlineStr">
        <is>
          <t>PRODUCTION</t>
        </is>
      </c>
      <c r="E12" s="419" t="inlineStr">
        <is>
          <t>Blocking</t>
        </is>
      </c>
      <c r="F12" s="419" t="inlineStr">
        <is>
          <t>Not Started</t>
        </is>
      </c>
      <c r="G12" s="419" t="str"/>
    </row>
    <row r="13" ht="38" customHeight="1" s="401">
      <c r="A13" s="419" t="inlineStr">
        <is>
          <t>PG-10</t>
        </is>
      </c>
      <c r="B13" s="419" t="inlineStr">
        <is>
          <t>Reliability</t>
        </is>
      </c>
      <c r="C13" s="419" t="inlineStr">
        <is>
          <t>Defined SLOs and alerting are live</t>
        </is>
      </c>
      <c r="D13" s="419" t="inlineStr">
        <is>
          <t>PRODUCTION</t>
        </is>
      </c>
      <c r="E13" s="419" t="inlineStr">
        <is>
          <t>Blocking</t>
        </is>
      </c>
      <c r="F13" s="419" t="inlineStr">
        <is>
          <t>Not Started</t>
        </is>
      </c>
      <c r="G13" s="419" t="str"/>
    </row>
    <row r="14" ht="38" customHeight="1" s="401">
      <c r="A14" s="419" t="inlineStr">
        <is>
          <t>PG-11</t>
        </is>
      </c>
      <c r="B14" s="419" t="inlineStr">
        <is>
          <t>Deployment</t>
        </is>
      </c>
      <c r="C14" s="419" t="inlineStr">
        <is>
          <t>Canary/rollback platform release process proven</t>
        </is>
      </c>
      <c r="D14" s="419" t="inlineStr">
        <is>
          <t>PRODUCTION</t>
        </is>
      </c>
      <c r="E14" s="419" t="inlineStr">
        <is>
          <t>Blocking</t>
        </is>
      </c>
      <c r="F14" s="419" t="inlineStr">
        <is>
          <t>Not Started</t>
        </is>
      </c>
      <c r="G14" s="419" t="str"/>
    </row>
    <row r="15" ht="38" customHeight="1" s="401">
      <c r="A15" s="419" t="inlineStr">
        <is>
          <t>PG-12</t>
        </is>
      </c>
      <c r="B15" s="419" t="inlineStr">
        <is>
          <t>Billing</t>
        </is>
      </c>
      <c r="C15" s="419" t="inlineStr">
        <is>
          <t>Usage ledger reconciles provider/compute invoices within tolerance</t>
        </is>
      </c>
      <c r="D15" s="419" t="inlineStr">
        <is>
          <t>PRODUCTION</t>
        </is>
      </c>
      <c r="E15" s="419" t="inlineStr">
        <is>
          <t>Blocking</t>
        </is>
      </c>
      <c r="F15" s="419" t="inlineStr">
        <is>
          <t>Not Started</t>
        </is>
      </c>
      <c r="G15" s="419" t="str"/>
    </row>
    <row r="16" ht="38" customHeight="1" s="401">
      <c r="A16" s="419" t="inlineStr">
        <is>
          <t>PG-13</t>
        </is>
      </c>
      <c r="B16" s="419" t="inlineStr">
        <is>
          <t>Cost</t>
        </is>
      </c>
      <c r="C16" s="419" t="inlineStr">
        <is>
          <t>Spending caps and anomaly kill switches tested</t>
        </is>
      </c>
      <c r="D16" s="419" t="inlineStr">
        <is>
          <t>PRODUCTION</t>
        </is>
      </c>
      <c r="E16" s="419" t="inlineStr">
        <is>
          <t>Blocking</t>
        </is>
      </c>
      <c r="F16" s="419" t="inlineStr">
        <is>
          <t>Not Started</t>
        </is>
      </c>
      <c r="G16" s="419" t="str"/>
    </row>
    <row r="17" ht="38" customHeight="1" s="401">
      <c r="A17" s="419" t="inlineStr">
        <is>
          <t>PG-14</t>
        </is>
      </c>
      <c r="B17" s="419" t="inlineStr">
        <is>
          <t>Privacy</t>
        </is>
      </c>
      <c r="C17" s="419" t="inlineStr">
        <is>
          <t>Deletion/export/retention workflows tested</t>
        </is>
      </c>
      <c r="D17" s="419" t="inlineStr">
        <is>
          <t>PRODUCTION</t>
        </is>
      </c>
      <c r="E17" s="419" t="inlineStr">
        <is>
          <t>Blocking</t>
        </is>
      </c>
      <c r="F17" s="419" t="inlineStr">
        <is>
          <t>Not Started</t>
        </is>
      </c>
      <c r="G17" s="419" t="str"/>
    </row>
    <row r="18" ht="38" customHeight="1" s="401">
      <c r="A18" s="419" t="inlineStr">
        <is>
          <t>PG-15</t>
        </is>
      </c>
      <c r="B18" s="419" t="inlineStr">
        <is>
          <t>Support</t>
        </is>
      </c>
      <c r="C18" s="419" t="inlineStr">
        <is>
          <t>Redacted diagnostic bundle/support workflow ready</t>
        </is>
      </c>
      <c r="D18" s="419" t="inlineStr">
        <is>
          <t>PRODUCTION</t>
        </is>
      </c>
      <c r="E18" s="419" t="inlineStr">
        <is>
          <t>Blocking</t>
        </is>
      </c>
      <c r="F18" s="419" t="inlineStr">
        <is>
          <t>Not Started</t>
        </is>
      </c>
      <c r="G18" s="419" t="str"/>
    </row>
    <row r="19" ht="38" customHeight="1" s="401">
      <c r="A19" s="419" t="inlineStr">
        <is>
          <t>PG-16</t>
        </is>
      </c>
      <c r="B19" s="419" t="inlineStr">
        <is>
          <t>Business</t>
        </is>
      </c>
      <c r="C19" s="419" t="inlineStr">
        <is>
          <t>Plan entitlements and quota enforcement tested</t>
        </is>
      </c>
      <c r="D19" s="419" t="inlineStr">
        <is>
          <t>PRODUCTION</t>
        </is>
      </c>
      <c r="E19" s="419" t="inlineStr">
        <is>
          <t>Blocking</t>
        </is>
      </c>
      <c r="F19" s="419" t="inlineStr">
        <is>
          <t>Not Started</t>
        </is>
      </c>
      <c r="G19" s="419" t="str"/>
    </row>
    <row r="21">
      <c r="A21" s="551" t="inlineStr">
        <is>
          <t>V6 Additional Blocking Evidence</t>
        </is>
      </c>
      <c r="B21" s="547" t="n"/>
      <c r="C21" s="547" t="n"/>
      <c r="D21" s="547" t="n"/>
      <c r="E21" s="547" t="n"/>
      <c r="F21" s="547" t="n"/>
      <c r="G21" s="547" t="n"/>
    </row>
    <row r="22">
      <c r="A22" s="545" t="inlineStr">
        <is>
          <t>ID</t>
        </is>
      </c>
      <c r="B22" s="545" t="inlineStr">
        <is>
          <t>Category</t>
        </is>
      </c>
      <c r="C22" s="545" t="inlineStr">
        <is>
          <t>Gate</t>
        </is>
      </c>
      <c r="D22" s="545" t="inlineStr">
        <is>
          <t>Phase</t>
        </is>
      </c>
      <c r="E22" s="545" t="inlineStr">
        <is>
          <t>Severity</t>
        </is>
      </c>
      <c r="F22" s="545" t="inlineStr">
        <is>
          <t>Status</t>
        </is>
      </c>
      <c r="G22" s="545" t="inlineStr">
        <is>
          <t>Evidence / Link</t>
        </is>
      </c>
    </row>
    <row r="23">
      <c r="A23" s="421" t="inlineStr">
        <is>
          <t>PG-17</t>
        </is>
      </c>
      <c r="B23" s="421" t="inlineStr">
        <is>
          <t>AI Continuity</t>
        </is>
      </c>
      <c r="C23" s="421" t="inlineStr">
        <is>
          <t>Fresh AI/developer session resumes current task from Git + durable state without old chat</t>
        </is>
      </c>
      <c r="D23" s="421" t="inlineStr">
        <is>
          <t>PRODUCTION</t>
        </is>
      </c>
      <c r="E23" s="421" t="inlineStr">
        <is>
          <t>Blocking</t>
        </is>
      </c>
      <c r="F23" s="421" t="inlineStr">
        <is>
          <t>Not Started</t>
        </is>
      </c>
      <c r="G23" s="421" t="n"/>
    </row>
    <row r="24">
      <c r="A24" s="421" t="inlineStr">
        <is>
          <t>PG-18</t>
        </is>
      </c>
      <c r="B24" s="421" t="inlineStr">
        <is>
          <t>Model Provider</t>
        </is>
      </c>
      <c r="C24" s="421" t="inlineStr">
        <is>
          <t>Selected local/cloud provider profiles pass conformance, task-class quality and fallback tests</t>
        </is>
      </c>
      <c r="D24" s="421" t="inlineStr">
        <is>
          <t>PRODUCTION</t>
        </is>
      </c>
      <c r="E24" s="421" t="inlineStr">
        <is>
          <t>Blocking</t>
        </is>
      </c>
      <c r="F24" s="421" t="inlineStr">
        <is>
          <t>Not Started</t>
        </is>
      </c>
      <c r="G24" s="421" t="n"/>
    </row>
    <row r="25">
      <c r="A25" s="421" t="inlineStr">
        <is>
          <t>PG-19</t>
        </is>
      </c>
      <c r="B25" s="421" t="inlineStr">
        <is>
          <t>Local Security</t>
        </is>
      </c>
      <c r="C25" s="421" t="inlineStr">
        <is>
          <t>Local/private model endpoint exposure/auth/network policy and model-license review pass</t>
        </is>
      </c>
      <c r="D25" s="421" t="inlineStr">
        <is>
          <t>PRODUCTION</t>
        </is>
      </c>
      <c r="E25" s="421" t="inlineStr">
        <is>
          <t>Blocking</t>
        </is>
      </c>
      <c r="F25" s="421" t="inlineStr">
        <is>
          <t>Not Started</t>
        </is>
      </c>
      <c r="G25" s="421" t="n"/>
    </row>
    <row r="26">
      <c r="A26" s="421" t="inlineStr">
        <is>
          <t>PG-20</t>
        </is>
      </c>
      <c r="B26" s="421" t="inlineStr">
        <is>
          <t>Data Release</t>
        </is>
      </c>
      <c r="C26" s="421" t="inlineStr">
        <is>
          <t>Expand/migrate/contract migration and rollback/roll-forward rehearsal passes for stateful changes</t>
        </is>
      </c>
      <c r="D26" s="421" t="inlineStr">
        <is>
          <t>PRODUCTION</t>
        </is>
      </c>
      <c r="E26" s="421" t="inlineStr">
        <is>
          <t>Blocking</t>
        </is>
      </c>
      <c r="F26" s="421" t="inlineStr">
        <is>
          <t>Not Started</t>
        </is>
      </c>
      <c r="G26" s="421" t="n"/>
    </row>
    <row r="27">
      <c r="A27" s="421" t="inlineStr">
        <is>
          <t>PG-21</t>
        </is>
      </c>
      <c r="B27" s="421" t="inlineStr">
        <is>
          <t>Agentic Security</t>
        </is>
      </c>
      <c r="C27" s="421" t="inlineStr">
        <is>
          <t>Prompt/tool poisoning, secret exfiltration, replay/approval-confusion and provider-compromise tests pass</t>
        </is>
      </c>
      <c r="D27" s="421" t="inlineStr">
        <is>
          <t>PRODUCTION</t>
        </is>
      </c>
      <c r="E27" s="421" t="inlineStr">
        <is>
          <t>Blocking</t>
        </is>
      </c>
      <c r="F27" s="421" t="inlineStr">
        <is>
          <t>Not Started</t>
        </is>
      </c>
      <c r="G27" s="421" t="n"/>
    </row>
  </sheetData>
  <mergeCells count="3">
    <mergeCell ref="A2:G2"/>
    <mergeCell ref="A21:G21"/>
    <mergeCell ref="A1:G1"/>
  </mergeCells>
  <conditionalFormatting sqref="F4:F19">
    <cfRule type="expression" priority="1" dxfId="0">
      <formula>F4="Done"</formula>
    </cfRule>
    <cfRule type="expression" priority="2" dxfId="1">
      <formula>F4="In Progress"</formula>
    </cfRule>
    <cfRule type="expression" priority="3" dxfId="2">
      <formula>F4="Blocked"</formula>
    </cfRule>
    <cfRule type="expression" priority="4" dxfId="3">
      <formula>F4="Deferred"</formula>
    </cfRule>
  </conditionalFormatting>
  <dataValidations count="2">
    <dataValidation sqref="F4:F19" showDropDown="0" showInputMessage="0" showErrorMessage="0" allowBlank="0" type="list">
      <formula1>"Not Started,In Progress,Blocked,Done,Deferred"</formula1>
    </dataValidation>
    <dataValidation sqref="F23:F27" showDropDown="0" showInputMessage="0" showErrorMessage="0" allowBlank="0" type="list">
      <formula1>"Not Started,In Progress,Blocked,Done,Deferred"</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9" customWidth="1" style="401" min="1" max="1"/>
    <col width="64" customWidth="1" style="401" min="2" max="2"/>
    <col width="54" customWidth="1" style="401" min="3" max="3"/>
  </cols>
  <sheetData>
    <row r="1" ht="30" customHeight="1" s="401">
      <c r="A1" s="552" t="inlineStr">
        <is>
          <t>OmniStackAI V5 — Sources &amp; Research</t>
        </is>
      </c>
      <c r="B1" s="547" t="n"/>
      <c r="C1" s="547" t="n"/>
    </row>
    <row r="2" ht="34" customHeight="1" s="401">
      <c r="A2" s="553" t="inlineStr">
        <is>
          <t>Public competitor facts must be revalidated before marketing use. These are public sources, not reverse engineering.</t>
        </is>
      </c>
      <c r="B2" s="547" t="n"/>
      <c r="C2" s="547" t="n"/>
    </row>
    <row r="3" ht="28" customHeight="1" s="401">
      <c r="A3" s="413" t="n"/>
      <c r="B3" s="413" t="n"/>
      <c r="C3" s="413" t="n"/>
    </row>
    <row r="4" ht="28" customHeight="1" s="401">
      <c r="A4" s="141" t="inlineStr">
        <is>
          <t>Source / Topic</t>
        </is>
      </c>
      <c r="B4" s="142" t="inlineStr">
        <is>
          <t>URL</t>
        </is>
      </c>
      <c r="C4" s="143" t="inlineStr">
        <is>
          <t>Use</t>
        </is>
      </c>
    </row>
    <row r="5" ht="40" customHeight="1" s="401">
      <c r="A5" s="144" t="inlineStr">
        <is>
          <t>Emergent enterprise stack</t>
        </is>
      </c>
      <c r="B5" s="145" t="inlineStr">
        <is>
          <t>https://emergent.sh/enterprise</t>
        </is>
      </c>
      <c r="C5" s="146" t="inlineStr">
        <is>
          <t>React, Node/FastAPI, MongoDB, Expo/RN, Git ownership</t>
        </is>
      </c>
    </row>
    <row r="6" ht="40" customHeight="1" s="401">
      <c r="A6" s="147" t="inlineStr">
        <is>
          <t>Emergent K8s environments</t>
        </is>
      </c>
      <c r="B6" s="455" t="inlineStr">
        <is>
          <t>https://emergent.sh/blog/real-environments-for-ai-agents-and-why-we-bet-on-kubernetes</t>
        </is>
      </c>
      <c r="C6" s="149" t="inlineStr">
        <is>
          <t>full Linux pods, warm pool, isolation, preview</t>
        </is>
      </c>
    </row>
    <row r="7" ht="40" customHeight="1" s="401">
      <c r="A7" s="147" t="inlineStr">
        <is>
          <t>Emergent deployment + Temporal</t>
        </is>
      </c>
      <c r="B7" s="455" t="inlineStr">
        <is>
          <t>https://emergent.sh/blog/why-we-rebuilt-our-deployment-engine</t>
        </is>
      </c>
      <c r="C7" s="149" t="inlineStr">
        <is>
          <t>immutable runs, blue-green, Temporal</t>
        </is>
      </c>
    </row>
    <row r="8" ht="40" customHeight="1" s="401">
      <c r="A8" s="147" t="inlineStr">
        <is>
          <t>Emergent E3</t>
        </is>
      </c>
      <c r="B8" s="455" t="inlineStr">
        <is>
          <t>https://emergent.sh/blog/introducing-e-3-autonomous-app-building-on-emergent</t>
        </is>
      </c>
      <c r="C8" s="149" t="inlineStr">
        <is>
          <t>long orchestration, phases, testing</t>
        </is>
      </c>
    </row>
    <row r="9" ht="40" customHeight="1" s="401">
      <c r="A9" s="147" t="inlineStr">
        <is>
          <t>Emergent context</t>
        </is>
      </c>
      <c r="B9" s="455" t="inlineStr">
        <is>
          <t>https://help.emergent.sh/context-limits</t>
        </is>
      </c>
      <c r="C9" s="149" t="inlineStr">
        <is>
          <t>200K context, compression/forks, filtered subagents</t>
        </is>
      </c>
    </row>
    <row r="10">
      <c r="A10" s="147" t="inlineStr">
        <is>
          <t>Lovable overview</t>
        </is>
      </c>
      <c r="B10" s="455" t="inlineStr">
        <is>
          <t>https://docs.lovable.dev/introduction/welcome</t>
        </is>
      </c>
      <c r="C10" s="149" t="inlineStr">
        <is>
          <t>web full-stack product scope</t>
        </is>
      </c>
    </row>
    <row r="11">
      <c r="A11" s="147" t="inlineStr">
        <is>
          <t>Lovable Cloud</t>
        </is>
      </c>
      <c r="B11" s="455" t="inlineStr">
        <is>
          <t>https://docs.lovable.dev/features/cloud</t>
        </is>
      </c>
      <c r="C11" s="149" t="inlineStr">
        <is>
          <t>managed backend, PostgreSQL foundation</t>
        </is>
      </c>
    </row>
    <row r="12">
      <c r="A12" s="147" t="inlineStr">
        <is>
          <t>Lovable Supabase</t>
        </is>
      </c>
      <c r="B12" s="455" t="inlineStr">
        <is>
          <t>https://docs.lovable.dev/integrations/supabase</t>
        </is>
      </c>
      <c r="C12" s="149" t="inlineStr">
        <is>
          <t>Postgres, reviewed migrations, secrets</t>
        </is>
      </c>
    </row>
    <row r="13">
      <c r="A13" s="147" t="inlineStr">
        <is>
          <t>Bolt technologies</t>
        </is>
      </c>
      <c r="B13" s="455" t="inlineStr">
        <is>
          <t>https://support.bolt.new/building/using-bolt/browser-support</t>
        </is>
      </c>
      <c r="C13" s="149" t="inlineStr">
        <is>
          <t>JS/WebContainers focus, Expo mobile</t>
        </is>
      </c>
    </row>
    <row r="14">
      <c r="A14" s="147" t="inlineStr">
        <is>
          <t>Bolt Expo</t>
        </is>
      </c>
      <c r="B14" s="455" t="inlineStr">
        <is>
          <t>https://support.bolt.new/integrations/expo</t>
        </is>
      </c>
      <c r="C14" s="149" t="inlineStr">
        <is>
          <t>Expo Go QR + EAS</t>
        </is>
      </c>
    </row>
    <row r="15">
      <c r="A15" s="147" t="inlineStr">
        <is>
          <t>Bolt project knowledge</t>
        </is>
      </c>
      <c r="B15" s="455" t="inlineStr">
        <is>
          <t>https://support.bolt.new/building/using-bolt/project-settings</t>
        </is>
      </c>
      <c r="C15" s="149" t="inlineStr">
        <is>
          <t>Project Knowledge + context cleanup</t>
        </is>
      </c>
    </row>
    <row r="16">
      <c r="A16" s="147" t="inlineStr">
        <is>
          <t>Replit Expo</t>
        </is>
      </c>
      <c r="B16" s="455" t="inlineStr">
        <is>
          <t>https://docs.replit.com/learn/mobile/expo</t>
        </is>
      </c>
      <c r="C16" s="149" t="inlineStr">
        <is>
          <t>Expo Go QR workflow</t>
        </is>
      </c>
    </row>
    <row r="17">
      <c r="A17" s="147" t="inlineStr">
        <is>
          <t>Replit checkpoints</t>
        </is>
      </c>
      <c r="B17" s="455" t="inlineStr">
        <is>
          <t>https://docs.replit.com/features/version-control/checkpoints-and-rollbacks</t>
        </is>
      </c>
      <c r="C17" s="149" t="inlineStr">
        <is>
          <t>checkpoint/recovery model</t>
        </is>
      </c>
    </row>
    <row r="18">
      <c r="A18" s="147" t="inlineStr">
        <is>
          <t>Cursor dynamic context</t>
        </is>
      </c>
      <c r="B18" s="455" t="inlineStr">
        <is>
          <t>https://cursor.com/blog/dynamic-context-discovery</t>
        </is>
      </c>
      <c r="C18" s="149" t="inlineStr">
        <is>
          <t>token-efficient context discovery</t>
        </is>
      </c>
    </row>
    <row r="19">
      <c r="A19" s="147" t="inlineStr">
        <is>
          <t>Cursor rules</t>
        </is>
      </c>
      <c r="B19" s="455" t="inlineStr">
        <is>
          <t>https://docs.cursor.com/context/rules</t>
        </is>
      </c>
      <c r="C19" s="149" t="inlineStr">
        <is>
          <t>persistent scoped rules</t>
        </is>
      </c>
    </row>
    <row r="20">
      <c r="A20" s="147" t="inlineStr">
        <is>
          <t>Cursor indexing security</t>
        </is>
      </c>
      <c r="B20" s="455" t="inlineStr">
        <is>
          <t>https://www.cursor.com/security</t>
        </is>
      </c>
      <c r="C20" s="149" t="inlineStr">
        <is>
          <t>Merkle/hash based codebase indexing</t>
        </is>
      </c>
    </row>
    <row r="21">
      <c r="A21" s="147" t="inlineStr">
        <is>
          <t>Windsurf memories</t>
        </is>
      </c>
      <c r="B21" s="455" t="inlineStr">
        <is>
          <t>https://docs.windsurf.com/windsurf/cascade/memories</t>
        </is>
      </c>
      <c r="C21" s="149" t="inlineStr">
        <is>
          <t>memories/rules across conversations</t>
        </is>
      </c>
    </row>
    <row r="22">
      <c r="A22" s="147" t="inlineStr">
        <is>
          <t>Windsurf context</t>
        </is>
      </c>
      <c r="B22" s="455" t="inlineStr">
        <is>
          <t>https://docs.windsurf.com/context-awareness/overview</t>
        </is>
      </c>
      <c r="C22" s="149" t="inlineStr">
        <is>
          <t>RAG/codebase context awareness</t>
        </is>
      </c>
    </row>
    <row r="23">
      <c r="A23" s="147" t="inlineStr">
        <is>
          <t>StackBlitz WebContainers</t>
        </is>
      </c>
      <c r="B23" s="455" t="inlineStr">
        <is>
          <t>https://webcontainers.io/</t>
        </is>
      </c>
      <c r="C23" s="149" t="inlineStr">
        <is>
          <t>browser-side Node/WASM runtime reference</t>
        </is>
      </c>
    </row>
    <row r="24">
      <c r="A24" s="147" t="inlineStr">
        <is>
          <t>Temporal docs</t>
        </is>
      </c>
      <c r="B24" s="455" t="inlineStr">
        <is>
          <t>https://docs.temporal.io/</t>
        </is>
      </c>
      <c r="C24" s="149" t="inlineStr">
        <is>
          <t>durable workflow reference</t>
        </is>
      </c>
    </row>
    <row r="25">
      <c r="A25" s="147" t="inlineStr">
        <is>
          <t>PostgreSQL</t>
        </is>
      </c>
      <c r="B25" s="455" t="inlineStr">
        <is>
          <t>https://www.postgresql.org/docs/</t>
        </is>
      </c>
      <c r="C25" s="149" t="inlineStr">
        <is>
          <t>platform database reference</t>
        </is>
      </c>
    </row>
    <row r="26">
      <c r="A26" s="147" t="inlineStr">
        <is>
          <t>pgvector</t>
        </is>
      </c>
      <c r="B26" s="455" t="inlineStr">
        <is>
          <t>https://github.com/pgvector/pgvector</t>
        </is>
      </c>
      <c r="C26" s="149" t="inlineStr">
        <is>
          <t>vector extension reference</t>
        </is>
      </c>
    </row>
    <row r="27">
      <c r="A27" s="147" t="inlineStr">
        <is>
          <t>OWASP Top 10</t>
        </is>
      </c>
      <c r="B27" s="455" t="inlineStr">
        <is>
          <t>https://owasp.org/www-project-top-ten/</t>
        </is>
      </c>
      <c r="C27" s="149" t="inlineStr">
        <is>
          <t>security baseline</t>
        </is>
      </c>
    </row>
    <row r="28">
      <c r="A28" s="147" t="inlineStr">
        <is>
          <t>Team reference - bolt.diy</t>
        </is>
      </c>
      <c r="B28" s="455" t="inlineStr">
        <is>
          <t>https://github.com/stackblitz-labs/bolt.diy</t>
        </is>
      </c>
      <c r="C28" s="149" t="inlineStr">
        <is>
          <t>reference architecture study</t>
        </is>
      </c>
    </row>
    <row r="29">
      <c r="A29" s="147" t="inlineStr">
        <is>
          <t>Team reference - OpenHands</t>
        </is>
      </c>
      <c r="B29" s="455" t="inlineStr">
        <is>
          <t>https://github.com/All-Hands-AI/OpenHands</t>
        </is>
      </c>
      <c r="C29" s="149" t="inlineStr">
        <is>
          <t>coding-agent loop/runtime study</t>
        </is>
      </c>
    </row>
    <row r="30">
      <c r="A30" s="147" t="inlineStr">
        <is>
          <t>Team reference - E2B</t>
        </is>
      </c>
      <c r="B30" s="455" t="inlineStr">
        <is>
          <t>https://e2b.dev/docs</t>
        </is>
      </c>
      <c r="C30" s="149" t="inlineStr">
        <is>
          <t>managed Linux sandbox benchmark</t>
        </is>
      </c>
    </row>
    <row r="31">
      <c r="A31" s="156" t="inlineStr">
        <is>
          <t>Team reference - Daytona</t>
        </is>
      </c>
      <c r="B31" s="157" t="inlineStr">
        <is>
          <t>https://www.daytona.io/docs</t>
        </is>
      </c>
      <c r="C31" s="158" t="inlineStr">
        <is>
          <t>managed workspace/sandbox benchmark</t>
        </is>
      </c>
    </row>
  </sheetData>
  <mergeCells count="2">
    <mergeCell ref="A1:C1"/>
    <mergeCell ref="A2:C2"/>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8" customWidth="1" style="401" min="1" max="1"/>
    <col width="24" customWidth="1" style="401" min="2" max="2"/>
    <col width="34" customWidth="1" style="401" min="3" max="3"/>
    <col width="40" customWidth="1" style="401" min="4" max="4"/>
    <col width="28" customWidth="1" style="401" min="5" max="5"/>
    <col width="18" customWidth="1" style="401" min="6" max="6"/>
    <col width="18" customWidth="1" style="401" min="7" max="7"/>
    <col width="14" customWidth="1" style="401" min="8" max="8"/>
    <col width="18" customWidth="1" style="401" min="9" max="9"/>
    <col width="42" customWidth="1" style="401" min="10" max="10"/>
  </cols>
  <sheetData>
    <row r="1">
      <c r="A1" s="559" t="inlineStr">
        <is>
          <t>Mobile / Web Framework Strategy</t>
        </is>
      </c>
      <c r="B1" s="547" t="n"/>
      <c r="C1" s="547" t="n"/>
      <c r="D1" s="547" t="n"/>
      <c r="E1" s="547" t="n"/>
      <c r="F1" s="547" t="n"/>
      <c r="G1" s="547" t="n"/>
      <c r="H1" s="547" t="n"/>
      <c r="I1" s="547" t="n"/>
      <c r="J1" s="547" t="n"/>
    </row>
    <row r="2">
      <c r="A2" s="560" t="inlineStr">
        <is>
          <t>Default rule: use Auto/Recommended. Prefer a cross-platform mobile codebase for small/medium products; recommend Native only when measured requirements justify the added engineering and build cost. Industry name alone is not enough.</t>
        </is>
      </c>
      <c r="B2" s="547" t="n"/>
      <c r="C2" s="547" t="n"/>
      <c r="D2" s="547" t="n"/>
      <c r="E2" s="547" t="n"/>
      <c r="F2" s="547" t="n"/>
      <c r="G2" s="547" t="n"/>
      <c r="H2" s="547" t="n"/>
      <c r="I2" s="547" t="n"/>
      <c r="J2" s="547" t="n"/>
    </row>
    <row r="3">
      <c r="A3" s="434" t="inlineStr">
        <is>
          <t>Profile</t>
        </is>
      </c>
      <c r="B3" s="434" t="inlineStr">
        <is>
          <t>Mobile Codebase</t>
        </is>
      </c>
      <c r="C3" s="434" t="inlineStr">
        <is>
          <t>Best Fit</t>
        </is>
      </c>
      <c r="D3" s="434" t="inlineStr">
        <is>
          <t>Avoid / Escalate When</t>
        </is>
      </c>
      <c r="E3" s="434" t="inlineStr">
        <is>
          <t>Public Web</t>
        </is>
      </c>
      <c r="F3" s="434" t="inlineStr">
        <is>
          <t>Admin</t>
        </is>
      </c>
      <c r="G3" s="434" t="inlineStr">
        <is>
          <t>Real iOS Needs Mac?</t>
        </is>
      </c>
      <c r="H3" s="434" t="inlineStr">
        <is>
          <t>Relative Cost</t>
        </is>
      </c>
      <c r="I3" s="434" t="inlineStr">
        <is>
          <t>Recommended Phase</t>
        </is>
      </c>
      <c r="J3" s="434" t="inlineStr">
        <is>
          <t>Key Rule</t>
        </is>
      </c>
    </row>
    <row r="4">
      <c r="A4" s="423" t="inlineStr">
        <is>
          <t>Auto / Recommended</t>
        </is>
      </c>
      <c r="B4" s="423" t="inlineStr">
        <is>
          <t>Chosen by decision engine</t>
        </is>
      </c>
      <c r="C4" s="423" t="inlineStr">
        <is>
          <t>Default for every new project</t>
        </is>
      </c>
      <c r="D4" s="423" t="inlineStr">
        <is>
          <t>User explicitly overrides or existing repo fixes stack</t>
        </is>
      </c>
      <c r="E4" s="423" t="inlineStr">
        <is>
          <t>Next.js default</t>
        </is>
      </c>
      <c r="F4" s="423" t="inlineStr">
        <is>
          <t>Next.js</t>
        </is>
      </c>
      <c r="G4" s="423" t="inlineStr">
        <is>
          <t>Depends on selected mobile target</t>
        </is>
      </c>
      <c r="H4" s="423" t="inlineStr">
        <is>
          <t>Lowest safe option</t>
        </is>
      </c>
      <c r="I4" s="423" t="inlineStr">
        <is>
          <t>MVP</t>
        </is>
      </c>
      <c r="J4" s="423" t="inlineStr">
        <is>
          <t>Explain the recommendation and estimated cost before generation.</t>
        </is>
      </c>
    </row>
    <row r="5">
      <c r="A5" s="422" t="inlineStr">
        <is>
          <t>Flutter</t>
        </is>
      </c>
      <c r="B5" s="422" t="inlineStr">
        <is>
          <t>One Dart codebase for Android+iOS</t>
        </is>
      </c>
      <c r="C5" s="422" t="inlineStr">
        <is>
          <t>Small/medium apps, custom consistent UI, fast delivery, mobile-first teams</t>
        </is>
      </c>
      <c r="D5" s="422" t="inlineStr">
        <is>
          <t>Very deep platform APIs, complex background work, heavy native SDK constraints</t>
        </is>
      </c>
      <c r="E5" s="422" t="inlineStr">
        <is>
          <t>Next.js default; Flutter Web optional</t>
        </is>
      </c>
      <c r="F5" s="422" t="inlineStr">
        <is>
          <t>Next.js</t>
        </is>
      </c>
      <c r="G5" s="422" t="inlineStr">
        <is>
          <t>Yes for real iOS build/run</t>
        </is>
      </c>
      <c r="H5" s="422" t="inlineStr">
        <is>
          <t>Low-Medium</t>
        </is>
      </c>
      <c r="I5" s="422" t="inlineStr">
        <is>
          <t>MVP</t>
        </is>
      </c>
      <c r="J5" s="422" t="inlineStr">
        <is>
          <t>Do not force Flutter Web/admin just because mobile uses Flutter.</t>
        </is>
      </c>
    </row>
    <row r="6">
      <c r="A6" s="423" t="inlineStr">
        <is>
          <t>React Native</t>
        </is>
      </c>
      <c r="B6" s="423" t="inlineStr">
        <is>
          <t>One TS/JS codebase for Android+iOS</t>
        </is>
      </c>
      <c r="C6" s="423" t="inlineStr">
        <is>
          <t>React/TS teams, product UI, strong ecosystem, more web logic/component reuse</t>
        </is>
      </c>
      <c r="D6" s="423" t="inlineStr">
        <is>
          <t>Very deep native integrations, unusually heavy background/performance constraints</t>
        </is>
      </c>
      <c r="E6" s="423" t="inlineStr">
        <is>
          <t>Next.js default; RN Web/Expo Web optional</t>
        </is>
      </c>
      <c r="F6" s="423" t="inlineStr">
        <is>
          <t>Next.js</t>
        </is>
      </c>
      <c r="G6" s="423" t="inlineStr">
        <is>
          <t>Yes for real iOS build/run</t>
        </is>
      </c>
      <c r="H6" s="423" t="inlineStr">
        <is>
          <t>Low-Medium</t>
        </is>
      </c>
      <c r="I6" s="423" t="inlineStr">
        <is>
          <t>MVP</t>
        </is>
      </c>
      <c r="J6" s="423" t="inlineStr">
        <is>
          <t>Best cross-platform choice when TypeScript/React reuse matters.</t>
        </is>
      </c>
    </row>
    <row r="7">
      <c r="A7" s="422" t="inlineStr">
        <is>
          <t>Native</t>
        </is>
      </c>
      <c r="B7" s="422" t="inlineStr">
        <is>
          <t>Kotlin Android + Swift iOS</t>
        </is>
      </c>
      <c r="C7" s="422" t="inlineStr">
        <is>
          <t>Deep device APIs, premium platform UX, hardware, high performance, complex background, strict platform control</t>
        </is>
      </c>
      <c r="D7" s="422" t="inlineStr">
        <is>
          <t>Budget/time are primary and requirements are standard app flows</t>
        </is>
      </c>
      <c r="E7" s="422" t="inlineStr">
        <is>
          <t>Next.js</t>
        </is>
      </c>
      <c r="F7" s="422" t="inlineStr">
        <is>
          <t>Next.js</t>
        </is>
      </c>
      <c r="G7" s="422" t="inlineStr">
        <is>
          <t>Yes</t>
        </is>
      </c>
      <c r="H7" s="422" t="inlineStr">
        <is>
          <t>High</t>
        </is>
      </c>
      <c r="I7" s="422" t="inlineStr">
        <is>
          <t>MVP beta / MID GA</t>
        </is>
      </c>
      <c r="J7" s="422" t="inlineStr">
        <is>
          <t>Do not choose only because app is called fintech or e-commerce; choose from actual requirements.</t>
        </is>
      </c>
    </row>
    <row r="8">
      <c r="A8" s="423" t="inlineStr">
        <is>
          <t>Web/PWA only</t>
        </is>
      </c>
      <c r="B8" s="423" t="inlineStr">
        <is>
          <t>No mobile-native code</t>
        </is>
      </c>
      <c r="C8" s="423" t="inlineStr">
        <is>
          <t>Internal tools, portals, prototypes, installable web experiences</t>
        </is>
      </c>
      <c r="D8" s="423" t="inlineStr">
        <is>
          <t>App Store presence, native sensors/background/device APIs are required</t>
        </is>
      </c>
      <c r="E8" s="423" t="inlineStr">
        <is>
          <t>Next.js/PWA</t>
        </is>
      </c>
      <c r="F8" s="423" t="inlineStr">
        <is>
          <t>Next.js</t>
        </is>
      </c>
      <c r="G8" s="423" t="inlineStr">
        <is>
          <t>No</t>
        </is>
      </c>
      <c r="H8" s="423" t="inlineStr">
        <is>
          <t>Lowest</t>
        </is>
      </c>
      <c r="I8" s="423" t="inlineStr">
        <is>
          <t>MVP</t>
        </is>
      </c>
      <c r="J8" s="423" t="inlineStr">
        <is>
          <t>Offer as lowest-cost alternative when mobile stores/native APIs are unnecessary.</t>
        </is>
      </c>
    </row>
  </sheetData>
  <mergeCells count="2">
    <mergeCell ref="A1:J1"/>
    <mergeCell ref="A2:J2"/>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style="401" min="1" max="1"/>
    <col width="14" customWidth="1" style="401" min="2" max="2"/>
    <col width="14" customWidth="1" style="401" min="3" max="3"/>
    <col width="14" customWidth="1" style="401" min="4" max="4"/>
    <col width="14" customWidth="1" style="401" min="5" max="5"/>
    <col width="16" customWidth="1" style="401" min="6" max="6"/>
    <col width="16" customWidth="1" style="401" min="7" max="7"/>
    <col width="16" customWidth="1" style="401" min="8" max="8"/>
    <col width="48" customWidth="1" style="401" min="9" max="9"/>
    <col width="34" customWidth="1" style="401" min="10" max="10"/>
  </cols>
  <sheetData>
    <row r="1">
      <c r="A1" s="559" t="inlineStr">
        <is>
          <t>Framework Decision Scorecard - Editable Per Project</t>
        </is>
      </c>
      <c r="B1" s="547" t="n"/>
      <c r="C1" s="547" t="n"/>
      <c r="D1" s="547" t="n"/>
      <c r="E1" s="547" t="n"/>
      <c r="F1" s="547" t="n"/>
      <c r="G1" s="547" t="n"/>
      <c r="H1" s="547" t="n"/>
      <c r="I1" s="547" t="n"/>
      <c r="J1" s="547" t="n"/>
    </row>
    <row r="2">
      <c r="A2" s="560" t="inlineStr">
        <is>
          <t>Set Importance from 0-5. Higher weighted score means better technical fit. This is a recommendation aid, not an automatic compliance decision. The architect must still record rationale in an ADR.</t>
        </is>
      </c>
      <c r="B2" s="547" t="n"/>
      <c r="C2" s="547" t="n"/>
      <c r="D2" s="547" t="n"/>
      <c r="E2" s="547" t="n"/>
      <c r="F2" s="547" t="n"/>
      <c r="G2" s="547" t="n"/>
      <c r="H2" s="547" t="n"/>
      <c r="I2" s="547" t="n"/>
      <c r="J2" s="547" t="n"/>
    </row>
    <row r="3">
      <c r="A3" s="434" t="inlineStr">
        <is>
          <t>Criterion</t>
        </is>
      </c>
      <c r="B3" s="434" t="inlineStr">
        <is>
          <t>Importance 0-5</t>
        </is>
      </c>
      <c r="C3" s="434" t="inlineStr">
        <is>
          <t>Flutter Fit 0-5</t>
        </is>
      </c>
      <c r="D3" s="434" t="inlineStr">
        <is>
          <t>RN Fit 0-5</t>
        </is>
      </c>
      <c r="E3" s="434" t="inlineStr">
        <is>
          <t>Native Fit 0-5</t>
        </is>
      </c>
      <c r="F3" s="434" t="inlineStr">
        <is>
          <t>Flutter Weighted</t>
        </is>
      </c>
      <c r="G3" s="434" t="inlineStr">
        <is>
          <t>RN Weighted</t>
        </is>
      </c>
      <c r="H3" s="434" t="inlineStr">
        <is>
          <t>Native Weighted</t>
        </is>
      </c>
      <c r="I3" s="434" t="inlineStr">
        <is>
          <t>Why It Matters</t>
        </is>
      </c>
      <c r="J3" s="434" t="inlineStr">
        <is>
          <t>Project Notes</t>
        </is>
      </c>
    </row>
    <row r="4">
      <c r="A4" s="423" t="inlineStr">
        <is>
          <t>Budget sensitivity</t>
        </is>
      </c>
      <c r="B4" s="423" t="n">
        <v>5</v>
      </c>
      <c r="C4" s="423" t="n">
        <v>5</v>
      </c>
      <c r="D4" s="423" t="n">
        <v>5</v>
      </c>
      <c r="E4" s="423" t="n">
        <v>2</v>
      </c>
      <c r="F4" s="423">
        <f>B4*C4</f>
        <v/>
      </c>
      <c r="G4" s="423">
        <f>B4*D4</f>
        <v/>
      </c>
      <c r="H4" s="423">
        <f>B4*E4</f>
        <v/>
      </c>
      <c r="I4" s="423" t="inlineStr">
        <is>
          <t>Cross-platform usually reduces duplicated mobile implementation.</t>
        </is>
      </c>
      <c r="J4" s="423" t="str"/>
    </row>
    <row r="5">
      <c r="A5" s="422" t="inlineStr">
        <is>
          <t>Speed to market</t>
        </is>
      </c>
      <c r="B5" s="422" t="n">
        <v>5</v>
      </c>
      <c r="C5" s="422" t="n">
        <v>5</v>
      </c>
      <c r="D5" s="422" t="n">
        <v>5</v>
      </c>
      <c r="E5" s="422" t="n">
        <v>2</v>
      </c>
      <c r="F5" s="422">
        <f>B5*C5</f>
        <v/>
      </c>
      <c r="G5" s="422">
        <f>B5*D5</f>
        <v/>
      </c>
      <c r="H5" s="422">
        <f>B5*E5</f>
        <v/>
      </c>
      <c r="I5" s="422" t="inlineStr">
        <is>
          <t>Single mobile codebase is normally faster for standard flows.</t>
        </is>
      </c>
      <c r="J5" s="422" t="str"/>
    </row>
    <row r="6">
      <c r="A6" s="423" t="inlineStr">
        <is>
          <t>React/TypeScript team/reuse</t>
        </is>
      </c>
      <c r="B6" s="423" t="n">
        <v>2</v>
      </c>
      <c r="C6" s="423" t="n">
        <v>2</v>
      </c>
      <c r="D6" s="423" t="n">
        <v>5</v>
      </c>
      <c r="E6" s="423" t="n">
        <v>2</v>
      </c>
      <c r="F6" s="423">
        <f>B6*C6</f>
        <v/>
      </c>
      <c r="G6" s="423">
        <f>B6*D6</f>
        <v/>
      </c>
      <c r="H6" s="423">
        <f>B6*E6</f>
        <v/>
      </c>
      <c r="I6" s="423" t="inlineStr">
        <is>
          <t>RN aligns with React/TS web skills and package sharing.</t>
        </is>
      </c>
      <c r="J6" s="423" t="str"/>
    </row>
    <row r="7">
      <c r="A7" s="422" t="inlineStr">
        <is>
          <t>Highly custom consistent UI</t>
        </is>
      </c>
      <c r="B7" s="422" t="n">
        <v>4</v>
      </c>
      <c r="C7" s="422" t="n">
        <v>5</v>
      </c>
      <c r="D7" s="422" t="n">
        <v>4</v>
      </c>
      <c r="E7" s="422" t="n">
        <v>5</v>
      </c>
      <c r="F7" s="422">
        <f>B7*C7</f>
        <v/>
      </c>
      <c r="G7" s="422">
        <f>B7*D7</f>
        <v/>
      </c>
      <c r="H7" s="422">
        <f>B7*E7</f>
        <v/>
      </c>
      <c r="I7" s="422" t="inlineStr">
        <is>
          <t>Flutter is strong for controlled cross-platform visual consistency.</t>
        </is>
      </c>
      <c r="J7" s="422" t="str"/>
    </row>
    <row r="8">
      <c r="A8" s="423" t="inlineStr">
        <is>
          <t>Web code/component sharing</t>
        </is>
      </c>
      <c r="B8" s="423" t="n">
        <v>3</v>
      </c>
      <c r="C8" s="423" t="n">
        <v>3</v>
      </c>
      <c r="D8" s="423" t="n">
        <v>5</v>
      </c>
      <c r="E8" s="423" t="n">
        <v>1</v>
      </c>
      <c r="F8" s="423">
        <f>B8*C8</f>
        <v/>
      </c>
      <c r="G8" s="423">
        <f>B8*D8</f>
        <v/>
      </c>
      <c r="H8" s="423">
        <f>B8*E8</f>
        <v/>
      </c>
      <c r="I8" s="423" t="inlineStr">
        <is>
          <t>RN/TS can share more with React/Next; Flutter Web is optional.</t>
        </is>
      </c>
      <c r="J8" s="423" t="str"/>
    </row>
    <row r="9">
      <c r="A9" s="422" t="inlineStr">
        <is>
          <t>Deep native API / SDK usage</t>
        </is>
      </c>
      <c r="B9" s="422" t="n">
        <v>2</v>
      </c>
      <c r="C9" s="422" t="n">
        <v>3</v>
      </c>
      <c r="D9" s="422" t="n">
        <v>3</v>
      </c>
      <c r="E9" s="422" t="n">
        <v>5</v>
      </c>
      <c r="F9" s="422">
        <f>B9*C9</f>
        <v/>
      </c>
      <c r="G9" s="422">
        <f>B9*D9</f>
        <v/>
      </c>
      <c r="H9" s="422">
        <f>B9*E9</f>
        <v/>
      </c>
      <c r="I9" s="422" t="inlineStr">
        <is>
          <t>Native lowers bridge/plugin risk for platform-specific integrations.</t>
        </is>
      </c>
      <c r="J9" s="422" t="str"/>
    </row>
    <row r="10">
      <c r="A10" s="423" t="inlineStr">
        <is>
          <t>High performance / latency sensitivity</t>
        </is>
      </c>
      <c r="B10" s="423" t="n">
        <v>3</v>
      </c>
      <c r="C10" s="423" t="n">
        <v>4</v>
      </c>
      <c r="D10" s="423" t="n">
        <v>4</v>
      </c>
      <c r="E10" s="423" t="n">
        <v>5</v>
      </c>
      <c r="F10" s="423">
        <f>B10*C10</f>
        <v/>
      </c>
      <c r="G10" s="423">
        <f>B10*D10</f>
        <v/>
      </c>
      <c r="H10" s="423">
        <f>B10*E10</f>
        <v/>
      </c>
      <c r="I10" s="423" t="inlineStr">
        <is>
          <t>Native gives maximum platform control; modern cross-platform is still strong for most apps.</t>
        </is>
      </c>
      <c r="J10" s="423" t="str"/>
    </row>
    <row r="11">
      <c r="A11" s="422" t="inlineStr">
        <is>
          <t>Complex background execution</t>
        </is>
      </c>
      <c r="B11" s="422" t="n">
        <v>2</v>
      </c>
      <c r="C11" s="422" t="n">
        <v>3</v>
      </c>
      <c r="D11" s="422" t="n">
        <v>3</v>
      </c>
      <c r="E11" s="422" t="n">
        <v>5</v>
      </c>
      <c r="F11" s="422">
        <f>B11*C11</f>
        <v/>
      </c>
      <c r="G11" s="422">
        <f>B11*D11</f>
        <v/>
      </c>
      <c r="H11" s="422">
        <f>B11*E11</f>
        <v/>
      </c>
      <c r="I11" s="422" t="inlineStr">
        <is>
          <t>OS lifecycle/background constraints favor native control.</t>
        </is>
      </c>
      <c r="J11" s="422" t="str"/>
    </row>
    <row r="12">
      <c r="A12" s="423" t="inlineStr">
        <is>
          <t>Hardware: NFC/BLE/sensors/CarPlay/etc.</t>
        </is>
      </c>
      <c r="B12" s="423" t="n">
        <v>1</v>
      </c>
      <c r="C12" s="423" t="n">
        <v>3</v>
      </c>
      <c r="D12" s="423" t="n">
        <v>3</v>
      </c>
      <c r="E12" s="423" t="n">
        <v>5</v>
      </c>
      <c r="F12" s="423">
        <f>B12*C12</f>
        <v/>
      </c>
      <c r="G12" s="423">
        <f>B12*D12</f>
        <v/>
      </c>
      <c r="H12" s="423">
        <f>B12*E12</f>
        <v/>
      </c>
      <c r="I12" s="423" t="inlineStr">
        <is>
          <t>Native integration burden rises with specialized hardware.</t>
        </is>
      </c>
      <c r="J12" s="423" t="str"/>
    </row>
    <row r="13">
      <c r="A13" s="422" t="inlineStr">
        <is>
          <t>Strict platform security/compliance controls</t>
        </is>
      </c>
      <c r="B13" s="422" t="n">
        <v>2</v>
      </c>
      <c r="C13" s="422" t="n">
        <v>4</v>
      </c>
      <c r="D13" s="422" t="n">
        <v>4</v>
      </c>
      <c r="E13" s="422" t="n">
        <v>5</v>
      </c>
      <c r="F13" s="422">
        <f>B13*C13</f>
        <v/>
      </c>
      <c r="G13" s="422">
        <f>B13*D13</f>
        <v/>
      </c>
      <c r="H13" s="422">
        <f>B13*E13</f>
        <v/>
      </c>
      <c r="I13" s="422" t="inlineStr">
        <is>
          <t>Native may simplify platform-specific security controls, but architecture matters more than framework name.</t>
        </is>
      </c>
      <c r="J13" s="422" t="str"/>
    </row>
    <row r="14">
      <c r="A14" s="423" t="inlineStr">
        <is>
          <t>Platform-specific UX/accessibility depth</t>
        </is>
      </c>
      <c r="B14" s="423" t="n">
        <v>3</v>
      </c>
      <c r="C14" s="423" t="n">
        <v>3</v>
      </c>
      <c r="D14" s="423" t="n">
        <v>4</v>
      </c>
      <c r="E14" s="423" t="n">
        <v>5</v>
      </c>
      <c r="F14" s="423">
        <f>B14*C14</f>
        <v/>
      </c>
      <c r="G14" s="423">
        <f>B14*D14</f>
        <v/>
      </c>
      <c r="H14" s="423">
        <f>B14*E14</f>
        <v/>
      </c>
      <c r="I14" s="423" t="inlineStr">
        <is>
          <t>Native provides deepest platform behavior; RN often follows native conventions well.</t>
        </is>
      </c>
      <c r="J14" s="423" t="str"/>
    </row>
    <row r="16">
      <c r="A16" s="429" t="inlineStr">
        <is>
          <t>TOTAL FIT SCORE</t>
        </is>
      </c>
      <c r="B16" s="429" t="n"/>
      <c r="C16" s="429" t="n"/>
      <c r="D16" s="429" t="n"/>
      <c r="E16" s="429" t="n"/>
      <c r="F16" s="429">
        <f>SUM(F4:F14)</f>
        <v/>
      </c>
      <c r="G16" s="429">
        <f>SUM(G4:G14)</f>
        <v/>
      </c>
      <c r="H16" s="429">
        <f>SUM(H4:H14)</f>
        <v/>
      </c>
    </row>
    <row r="18">
      <c r="A18" s="560" t="inlineStr">
        <is>
          <t>Interpretation: choose the highest score unless a blocking requirement exists. If scores are close, prefer the lower-cost cross-platform option and validate risky native capabilities with a proof-of-concept before committing.</t>
        </is>
      </c>
      <c r="B18" s="547" t="n"/>
      <c r="C18" s="547" t="n"/>
      <c r="D18" s="547" t="n"/>
      <c r="E18" s="547" t="n"/>
      <c r="F18" s="547" t="n"/>
      <c r="G18" s="547" t="n"/>
      <c r="H18" s="547" t="n"/>
      <c r="I18" s="547" t="n"/>
      <c r="J18" s="547" t="n"/>
    </row>
  </sheetData>
  <mergeCells count="3">
    <mergeCell ref="A1:J1"/>
    <mergeCell ref="A18:J18"/>
    <mergeCell ref="A2:J2"/>
  </mergeCells>
  <dataValidations count="1">
    <dataValidation sqref="B4:E14" showDropDown="0" showInputMessage="0" showErrorMessage="0" allowBlank="0" operator="between">
      <formula1>0</formula1>
      <formula2>5</formula2>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401" min="1" max="1"/>
    <col width="28" customWidth="1" style="401" min="2" max="2"/>
    <col width="43" customWidth="1" style="401" min="3" max="3"/>
    <col width="34" customWidth="1" style="401" min="4" max="4"/>
    <col width="34" customWidth="1" style="401" min="5" max="5"/>
    <col width="18" customWidth="1" style="401" min="6" max="6"/>
    <col width="40" customWidth="1" style="401" min="7" max="7"/>
    <col width="14" customWidth="1" style="401" min="8" max="8"/>
    <col width="14" customWidth="1" style="401" min="9" max="9"/>
  </cols>
  <sheetData>
    <row r="1" ht="30" customHeight="1" s="401">
      <c r="A1" s="552" t="inlineStr">
        <is>
          <t>OmniStackAI V5 — Repo Architecture</t>
        </is>
      </c>
      <c r="B1" s="547" t="n"/>
      <c r="C1" s="547" t="n"/>
      <c r="D1" s="547" t="n"/>
      <c r="E1" s="547" t="n"/>
      <c r="F1" s="547" t="n"/>
      <c r="G1" s="547" t="n"/>
      <c r="H1" s="547" t="n"/>
      <c r="I1" s="547" t="n"/>
    </row>
    <row r="2" ht="34" customHeight="1" s="401">
      <c r="A2" s="553" t="inlineStr">
        <is>
          <t>Canonical naming: omnistackai-platform for the platform. One repository per customer product, monorepo inside by default.</t>
        </is>
      </c>
      <c r="B2" s="547" t="n"/>
      <c r="C2" s="547" t="n"/>
      <c r="D2" s="547" t="n"/>
      <c r="E2" s="547" t="n"/>
      <c r="F2" s="547" t="n"/>
      <c r="G2" s="547" t="n"/>
      <c r="H2" s="547" t="n"/>
      <c r="I2" s="547" t="n"/>
    </row>
    <row r="3">
      <c r="A3" s="434" t="n"/>
      <c r="B3" s="434" t="n"/>
      <c r="C3" s="434" t="n"/>
      <c r="D3" s="434" t="n"/>
      <c r="E3" s="434" t="n"/>
      <c r="F3" s="434" t="n"/>
      <c r="G3" s="434" t="n"/>
      <c r="H3" s="434" t="n"/>
      <c r="I3" s="434" t="n"/>
    </row>
    <row r="4" ht="28" customHeight="1" s="401">
      <c r="A4" s="141" t="inlineStr">
        <is>
          <t>Scope</t>
        </is>
      </c>
      <c r="B4" s="142" t="inlineStr">
        <is>
          <t>Repository</t>
        </is>
      </c>
      <c r="C4" s="142" t="inlineStr">
        <is>
          <t>Structure</t>
        </is>
      </c>
      <c r="D4" s="142" t="inlineStr">
        <is>
          <t>Branch Strategy</t>
        </is>
      </c>
      <c r="E4" s="142" t="inlineStr">
        <is>
          <t>Split Trigger</t>
        </is>
      </c>
      <c r="F4" s="142" t="inlineStr">
        <is>
          <t>Ownership</t>
        </is>
      </c>
      <c r="G4" s="142" t="inlineStr">
        <is>
          <t>Key Rule</t>
        </is>
      </c>
      <c r="H4" s="143" t="inlineStr">
        <is>
          <t>Phase</t>
        </is>
      </c>
      <c r="I4" s="423" t="n"/>
    </row>
    <row r="5">
      <c r="A5" s="144" t="inlineStr">
        <is>
          <t>OmniStackAI platform</t>
        </is>
      </c>
      <c r="B5" s="145" t="inlineStr">
        <is>
          <t>omnistackai-platform</t>
        </is>
      </c>
      <c r="C5" s="145" t="inlineStr">
        <is>
          <t>apps + services + modules + workers + packages + ai + templates + infra + security</t>
        </is>
      </c>
      <c r="D5" s="145" t="inlineStr">
        <is>
          <t>trunk + short-lived branches</t>
        </is>
      </c>
      <c r="E5" s="145" t="inlineStr">
        <is>
          <t>real scale/security/release ownership boundary</t>
        </is>
      </c>
      <c r="F5" s="145" t="inlineStr">
        <is>
          <t>OmniStackAI</t>
        </is>
      </c>
      <c r="G5" s="145" t="inlineStr">
        <is>
          <t>modules are not microservices by default</t>
        </is>
      </c>
      <c r="H5" s="146" t="inlineStr">
        <is>
          <t>MVP</t>
        </is>
      </c>
      <c r="I5" s="422" t="n"/>
    </row>
    <row r="6">
      <c r="A6" s="223" t="inlineStr">
        <is>
          <t>Customer product</t>
        </is>
      </c>
      <c r="B6" s="514" t="inlineStr">
        <is>
          <t>&lt;org&gt;-&lt;product&gt;</t>
        </is>
      </c>
      <c r="C6" s="514" t="inlineStr">
        <is>
          <t>apps + services + packages + database + infra + tests + docs + .ai</t>
        </is>
      </c>
      <c r="D6" s="514" t="inlineStr">
        <is>
          <t>protected main + ai/&lt;task-id&gt; worktree</t>
        </is>
      </c>
      <c r="E6" s="514" t="inlineStr">
        <is>
          <t>independent teams/compliance/build scale</t>
        </is>
      </c>
      <c r="F6" s="514" t="inlineStr">
        <is>
          <t>customer or transferable</t>
        </is>
      </c>
      <c r="G6" s="514" t="inlineStr">
        <is>
          <t>never mix customer projects in one repo</t>
        </is>
      </c>
      <c r="H6" s="225" t="inlineStr">
        <is>
          <t>MVP</t>
        </is>
      </c>
      <c r="I6" s="423" t="n"/>
    </row>
    <row r="7">
      <c r="A7" s="147" t="inlineStr">
        <is>
          <t>Local Agent</t>
        </is>
      </c>
      <c r="B7" s="455" t="inlineStr">
        <is>
          <t>omnistackai-local-agent (optional split)</t>
        </is>
      </c>
      <c r="C7" s="455" t="inlineStr">
        <is>
          <t>desktop agent + updater + signing lifecycle</t>
        </is>
      </c>
      <c r="D7" s="455" t="inlineStr">
        <is>
          <t>signed releases</t>
        </is>
      </c>
      <c r="E7" s="455" t="inlineStr">
        <is>
          <t>separate security/update lifecycle</t>
        </is>
      </c>
      <c r="F7" s="455" t="inlineStr">
        <is>
          <t>OmniStackAI</t>
        </is>
      </c>
      <c r="G7" s="455" t="inlineStr">
        <is>
          <t>split only when justified</t>
        </is>
      </c>
      <c r="H7" s="149" t="inlineStr">
        <is>
          <t>MID</t>
        </is>
      </c>
      <c r="I7" s="422" t="n"/>
    </row>
    <row r="8">
      <c r="A8" s="239" t="inlineStr">
        <is>
          <t>Enterprise multi-repo</t>
        </is>
      </c>
      <c r="B8" s="240" t="inlineStr">
        <is>
          <t>customer-defined</t>
        </is>
      </c>
      <c r="C8" s="240" t="inlineStr">
        <is>
          <t>existing mature repos</t>
        </is>
      </c>
      <c r="D8" s="240" t="inlineStr">
        <is>
          <t>customer policy</t>
        </is>
      </c>
      <c r="E8" s="240" t="inlineStr">
        <is>
          <t>explicit architecture policy</t>
        </is>
      </c>
      <c r="F8" s="240" t="inlineStr">
        <is>
          <t>customer</t>
        </is>
      </c>
      <c r="G8" s="240" t="inlineStr">
        <is>
          <t>AI must never silently split repos</t>
        </is>
      </c>
      <c r="H8" s="241" t="inlineStr">
        <is>
          <t>ADV</t>
        </is>
      </c>
    </row>
    <row r="9">
      <c r="A9" s="548" t="n"/>
      <c r="B9" s="547" t="n"/>
      <c r="C9" s="547" t="n"/>
      <c r="D9" s="547" t="n"/>
      <c r="E9" s="547" t="n"/>
      <c r="F9" s="547" t="n"/>
      <c r="G9" s="547" t="n"/>
      <c r="H9" s="547" t="n"/>
      <c r="I9" s="547" t="n"/>
    </row>
    <row r="10">
      <c r="A10" s="434" t="n"/>
      <c r="B10" s="434" t="n"/>
      <c r="C10" s="434" t="n"/>
      <c r="D10" s="434" t="n"/>
      <c r="E10" s="434" t="n"/>
      <c r="F10" s="434" t="n"/>
      <c r="G10" s="434" t="n"/>
      <c r="H10" s="434" t="n"/>
      <c r="I10" s="434" t="n"/>
    </row>
    <row r="11">
      <c r="A11" s="423" t="n"/>
      <c r="B11" s="423" t="n"/>
      <c r="C11" s="423" t="n"/>
      <c r="D11" s="423" t="n"/>
      <c r="E11" s="423" t="n"/>
      <c r="F11" s="423" t="n"/>
      <c r="G11" s="423" t="n"/>
      <c r="H11" s="423" t="n"/>
      <c r="I11" s="423" t="n"/>
    </row>
    <row r="12">
      <c r="A12" s="422" t="n"/>
      <c r="B12" s="422" t="n"/>
      <c r="C12" s="422" t="n"/>
      <c r="D12" s="422" t="n"/>
      <c r="E12" s="422" t="n"/>
      <c r="F12" s="422" t="n"/>
      <c r="G12" s="422" t="n"/>
      <c r="H12" s="422" t="n"/>
      <c r="I12" s="422" t="n"/>
    </row>
    <row r="13">
      <c r="A13" s="423" t="n"/>
      <c r="B13" s="423" t="n"/>
      <c r="C13" s="423" t="n"/>
      <c r="D13" s="423" t="n"/>
      <c r="E13" s="423" t="n"/>
      <c r="F13" s="423" t="n"/>
      <c r="G13" s="423" t="n"/>
      <c r="H13" s="423" t="n"/>
      <c r="I13" s="423" t="n"/>
    </row>
    <row r="14">
      <c r="A14" s="422" t="n"/>
      <c r="B14" s="422" t="n"/>
      <c r="C14" s="422" t="n"/>
      <c r="D14" s="422" t="n"/>
      <c r="E14" s="422" t="n"/>
      <c r="F14" s="422" t="n"/>
      <c r="G14" s="422" t="n"/>
      <c r="H14" s="422" t="n"/>
      <c r="I14" s="422" t="n"/>
    </row>
    <row r="15">
      <c r="A15" s="423" t="n"/>
      <c r="B15" s="423" t="n"/>
      <c r="C15" s="423" t="n"/>
      <c r="D15" s="423" t="n"/>
      <c r="E15" s="423" t="n"/>
      <c r="F15" s="423" t="n"/>
      <c r="G15" s="423" t="n"/>
      <c r="H15" s="423" t="n"/>
      <c r="I15" s="423" t="n"/>
    </row>
    <row r="16">
      <c r="A16" s="422" t="n"/>
      <c r="B16" s="422" t="n"/>
      <c r="C16" s="422" t="n"/>
      <c r="D16" s="422" t="n"/>
      <c r="E16" s="422" t="n"/>
      <c r="F16" s="422" t="n"/>
      <c r="G16" s="422" t="n"/>
      <c r="H16" s="422" t="n"/>
      <c r="I16" s="422" t="n"/>
    </row>
  </sheetData>
  <mergeCells count="5">
    <mergeCell ref="A2:I2"/>
    <mergeCell ref="A2:H2"/>
    <mergeCell ref="A1:I1"/>
    <mergeCell ref="A9:I9"/>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8" customWidth="1" style="401" min="1" max="1"/>
    <col width="14" customWidth="1" style="401" min="2" max="2"/>
    <col width="18" customWidth="1" style="401" min="3" max="3"/>
    <col width="14" customWidth="1" style="401" min="4" max="4"/>
    <col width="42" customWidth="1" style="401" min="5" max="5"/>
    <col width="26" customWidth="1" style="401" min="6" max="6"/>
    <col width="18" customWidth="1" style="401" min="7" max="7"/>
    <col width="44" customWidth="1" style="401" min="8" max="8"/>
  </cols>
  <sheetData>
    <row r="1">
      <c r="A1" s="559" t="inlineStr">
        <is>
          <t>Generated Customer Project Monorepo Structure</t>
        </is>
      </c>
      <c r="B1" s="547" t="n"/>
      <c r="C1" s="547" t="n"/>
      <c r="D1" s="547" t="n"/>
      <c r="E1" s="547" t="n"/>
      <c r="F1" s="547" t="n"/>
      <c r="G1" s="547" t="n"/>
      <c r="H1" s="547" t="n"/>
    </row>
    <row r="2">
      <c r="A2" s="560" t="inlineStr">
        <is>
          <t>The root layout stays stable. Only the mobile target folders change. This makes Application IR, context retrieval, testing, Git and deployment predictable across Flutter, React Native and Native projects.</t>
        </is>
      </c>
      <c r="B2" s="547" t="n"/>
      <c r="C2" s="547" t="n"/>
      <c r="D2" s="547" t="n"/>
      <c r="E2" s="547" t="n"/>
      <c r="F2" s="547" t="n"/>
      <c r="G2" s="547" t="n"/>
      <c r="H2" s="547" t="n"/>
    </row>
    <row r="3">
      <c r="A3" s="434" t="inlineStr">
        <is>
          <t>Path</t>
        </is>
      </c>
      <c r="B3" s="434" t="inlineStr">
        <is>
          <t>Flutter Project</t>
        </is>
      </c>
      <c r="C3" s="434" t="inlineStr">
        <is>
          <t>React Native Project</t>
        </is>
      </c>
      <c r="D3" s="434" t="inlineStr">
        <is>
          <t>Native Project</t>
        </is>
      </c>
      <c r="E3" s="434" t="inlineStr">
        <is>
          <t>Purpose</t>
        </is>
      </c>
      <c r="F3" s="434" t="inlineStr">
        <is>
          <t>Owner/Agent</t>
        </is>
      </c>
      <c r="G3" s="434" t="inlineStr">
        <is>
          <t>Phase</t>
        </is>
      </c>
      <c r="H3" s="434" t="inlineStr">
        <is>
          <t>Rule</t>
        </is>
      </c>
    </row>
    <row r="4">
      <c r="A4" s="423" t="inlineStr">
        <is>
          <t>.ai/</t>
        </is>
      </c>
      <c r="B4" s="423" t="inlineStr">
        <is>
          <t>Yes</t>
        </is>
      </c>
      <c r="C4" s="423" t="inlineStr">
        <is>
          <t>Yes</t>
        </is>
      </c>
      <c r="D4" s="423" t="inlineStr">
        <is>
          <t>Yes</t>
        </is>
      </c>
      <c r="E4" s="423" t="inlineStr">
        <is>
          <t>Application IR, ADRs, policies, task metadata and safe project memory.</t>
        </is>
      </c>
      <c r="F4" s="423" t="inlineStr">
        <is>
          <t>Architect/Context Manager</t>
        </is>
      </c>
      <c r="G4" s="423" t="inlineStr">
        <is>
          <t>MVP</t>
        </is>
      </c>
      <c r="H4" s="423" t="inlineStr">
        <is>
          <t>Machine-readable; never store secrets.</t>
        </is>
      </c>
    </row>
    <row r="5">
      <c r="A5" s="422" t="inlineStr">
        <is>
          <t>apps/mobile-flutter/</t>
        </is>
      </c>
      <c r="B5" s="422" t="inlineStr">
        <is>
          <t>Yes</t>
        </is>
      </c>
      <c r="C5" s="422" t="inlineStr">
        <is>
          <t>No</t>
        </is>
      </c>
      <c r="D5" s="422" t="inlineStr">
        <is>
          <t>No</t>
        </is>
      </c>
      <c r="E5" s="422" t="inlineStr">
        <is>
          <t>Single Dart mobile codebase for Android/iOS.</t>
        </is>
      </c>
      <c r="F5" s="422" t="inlineStr">
        <is>
          <t>Cross-platform Mobile Agent</t>
        </is>
      </c>
      <c r="G5" s="422" t="inlineStr">
        <is>
          <t>MVP</t>
        </is>
      </c>
      <c r="H5" s="422" t="inlineStr">
        <is>
          <t>Optional Flutter Web entry only when web_strategy=flutter_web.</t>
        </is>
      </c>
    </row>
    <row r="6">
      <c r="A6" s="423" t="inlineStr">
        <is>
          <t>apps/mobile-react-native/</t>
        </is>
      </c>
      <c r="B6" s="423" t="inlineStr">
        <is>
          <t>No</t>
        </is>
      </c>
      <c r="C6" s="423" t="inlineStr">
        <is>
          <t>Yes</t>
        </is>
      </c>
      <c r="D6" s="423" t="inlineStr">
        <is>
          <t>No</t>
        </is>
      </c>
      <c r="E6" s="423" t="inlineStr">
        <is>
          <t>Single RN/Expo mobile codebase for Android/iOS.</t>
        </is>
      </c>
      <c r="F6" s="423" t="inlineStr">
        <is>
          <t>Cross-platform Mobile Agent</t>
        </is>
      </c>
      <c r="G6" s="423" t="inlineStr">
        <is>
          <t>MVP</t>
        </is>
      </c>
      <c r="H6" s="423" t="inlineStr">
        <is>
          <t>Web adapter is optional; do not make admin depend on it.</t>
        </is>
      </c>
    </row>
    <row r="7">
      <c r="A7" s="422" t="inlineStr">
        <is>
          <t>apps/android/</t>
        </is>
      </c>
      <c r="B7" s="422" t="inlineStr">
        <is>
          <t>No</t>
        </is>
      </c>
      <c r="C7" s="422" t="inlineStr">
        <is>
          <t>No</t>
        </is>
      </c>
      <c r="D7" s="422" t="inlineStr">
        <is>
          <t>Yes</t>
        </is>
      </c>
      <c r="E7" s="422" t="inlineStr">
        <is>
          <t>Native Kotlin + Jetpack Compose app.</t>
        </is>
      </c>
      <c r="F7" s="422" t="inlineStr">
        <is>
          <t>Native Android Agent</t>
        </is>
      </c>
      <c r="G7" s="422" t="inlineStr">
        <is>
          <t>MVP beta / MID GA</t>
        </is>
      </c>
      <c r="H7" s="422" t="inlineStr">
        <is>
          <t>Platform-specific source of truth for Android.</t>
        </is>
      </c>
    </row>
    <row r="8">
      <c r="A8" s="423" t="inlineStr">
        <is>
          <t>apps/ios/</t>
        </is>
      </c>
      <c r="B8" s="423" t="inlineStr">
        <is>
          <t>No</t>
        </is>
      </c>
      <c r="C8" s="423" t="inlineStr">
        <is>
          <t>No</t>
        </is>
      </c>
      <c r="D8" s="423" t="inlineStr">
        <is>
          <t>Yes</t>
        </is>
      </c>
      <c r="E8" s="423" t="inlineStr">
        <is>
          <t>Native Swift + SwiftUI app.</t>
        </is>
      </c>
      <c r="F8" s="423" t="inlineStr">
        <is>
          <t>Native iOS Agent</t>
        </is>
      </c>
      <c r="G8" s="423" t="inlineStr">
        <is>
          <t>MVP beta / MID GA</t>
        </is>
      </c>
      <c r="H8" s="423" t="inlineStr">
        <is>
          <t>Actual iOS compile/run uses macOS.</t>
        </is>
      </c>
    </row>
    <row r="9">
      <c r="A9" s="422" t="inlineStr">
        <is>
          <t>apps/web/</t>
        </is>
      </c>
      <c r="B9" s="422" t="inlineStr">
        <is>
          <t>Yes</t>
        </is>
      </c>
      <c r="C9" s="422" t="inlineStr">
        <is>
          <t>Yes</t>
        </is>
      </c>
      <c r="D9" s="422" t="inlineStr">
        <is>
          <t>Yes</t>
        </is>
      </c>
      <c r="E9" s="422" t="inlineStr">
        <is>
          <t>Customer-facing web/PWA, normally Next.js.</t>
        </is>
      </c>
      <c r="F9" s="422" t="inlineStr">
        <is>
          <t>Web Agent</t>
        </is>
      </c>
      <c r="G9" s="422" t="inlineStr">
        <is>
          <t>MVP</t>
        </is>
      </c>
      <c r="H9" s="422" t="inlineStr">
        <is>
          <t>Can use generated contracts and design tokens.</t>
        </is>
      </c>
    </row>
    <row r="10">
      <c r="A10" s="423" t="inlineStr">
        <is>
          <t>apps/admin/</t>
        </is>
      </c>
      <c r="B10" s="423" t="inlineStr">
        <is>
          <t>Yes</t>
        </is>
      </c>
      <c r="C10" s="423" t="inlineStr">
        <is>
          <t>Yes</t>
        </is>
      </c>
      <c r="D10" s="423" t="inlineStr">
        <is>
          <t>Yes</t>
        </is>
      </c>
      <c r="E10" s="423" t="inlineStr">
        <is>
          <t>Admin/operations console, normally Next.js.</t>
        </is>
      </c>
      <c r="F10" s="423" t="inlineStr">
        <is>
          <t>Web/Admin Agent</t>
        </is>
      </c>
      <c r="G10" s="423" t="inlineStr">
        <is>
          <t>MVP</t>
        </is>
      </c>
      <c r="H10" s="423" t="inlineStr">
        <is>
          <t>Desktop-first; do not force mobile framework.</t>
        </is>
      </c>
    </row>
    <row r="11">
      <c r="A11" s="422" t="inlineStr">
        <is>
          <t>services/api/</t>
        </is>
      </c>
      <c r="B11" s="422" t="inlineStr">
        <is>
          <t>Yes</t>
        </is>
      </c>
      <c r="C11" s="422" t="inlineStr">
        <is>
          <t>Yes</t>
        </is>
      </c>
      <c r="D11" s="422" t="inlineStr">
        <is>
          <t>Yes</t>
        </is>
      </c>
      <c r="E11" s="422" t="inlineStr">
        <is>
          <t>Primary application backend: Go or Python by selected profile.</t>
        </is>
      </c>
      <c r="F11" s="422" t="inlineStr">
        <is>
          <t>Backend Agent</t>
        </is>
      </c>
      <c r="G11" s="422" t="inlineStr">
        <is>
          <t>MVP</t>
        </is>
      </c>
      <c r="H11" s="422" t="inlineStr">
        <is>
          <t>Node/NestJS optional only when justified.</t>
        </is>
      </c>
    </row>
    <row r="12">
      <c r="A12" s="423" t="inlineStr">
        <is>
          <t>services/workers/</t>
        </is>
      </c>
      <c r="B12" s="423" t="inlineStr">
        <is>
          <t>Optional</t>
        </is>
      </c>
      <c r="C12" s="423" t="inlineStr">
        <is>
          <t>Optional</t>
        </is>
      </c>
      <c r="D12" s="423" t="inlineStr">
        <is>
          <t>Optional</t>
        </is>
      </c>
      <c r="E12" s="423" t="inlineStr">
        <is>
          <t>Async jobs, notifications, queues, AI/data jobs.</t>
        </is>
      </c>
      <c r="F12" s="423" t="inlineStr">
        <is>
          <t>Backend Agent</t>
        </is>
      </c>
      <c r="G12" s="423" t="inlineStr">
        <is>
          <t>MVP/MID</t>
        </is>
      </c>
      <c r="H12" s="423" t="inlineStr">
        <is>
          <t>Create only when workload requires it.</t>
        </is>
      </c>
    </row>
    <row r="13">
      <c r="A13" s="422" t="inlineStr">
        <is>
          <t>packages/contracts/</t>
        </is>
      </c>
      <c r="B13" s="422" t="inlineStr">
        <is>
          <t>Yes</t>
        </is>
      </c>
      <c r="C13" s="422" t="inlineStr">
        <is>
          <t>Yes</t>
        </is>
      </c>
      <c r="D13" s="422" t="inlineStr">
        <is>
          <t>Yes</t>
        </is>
      </c>
      <c r="E13" s="422" t="inlineStr">
        <is>
          <t>OpenAPI/AsyncAPI/schema contracts + generated clients.</t>
        </is>
      </c>
      <c r="F13" s="422" t="inlineStr">
        <is>
          <t>Architect/Backend</t>
        </is>
      </c>
      <c r="G13" s="422" t="inlineStr">
        <is>
          <t>MVP</t>
        </is>
      </c>
      <c r="H13" s="422" t="inlineStr">
        <is>
          <t>Cross-platform source of API truth.</t>
        </is>
      </c>
    </row>
    <row r="14">
      <c r="A14" s="423" t="inlineStr">
        <is>
          <t>packages/design-tokens/</t>
        </is>
      </c>
      <c r="B14" s="423" t="inlineStr">
        <is>
          <t>Yes</t>
        </is>
      </c>
      <c r="C14" s="423" t="inlineStr">
        <is>
          <t>Yes</t>
        </is>
      </c>
      <c r="D14" s="423" t="inlineStr">
        <is>
          <t>Yes</t>
        </is>
      </c>
      <c r="E14" s="423" t="inlineStr">
        <is>
          <t>Colors, typography, spacing, icons metadata.</t>
        </is>
      </c>
      <c r="F14" s="423" t="inlineStr">
        <is>
          <t>UI/Framework Agents</t>
        </is>
      </c>
      <c r="G14" s="423" t="inlineStr">
        <is>
          <t>MVP</t>
        </is>
      </c>
      <c r="H14" s="423" t="inlineStr">
        <is>
          <t>Generate framework-specific token packages.</t>
        </is>
      </c>
    </row>
    <row r="15">
      <c r="A15" s="422" t="inlineStr">
        <is>
          <t>packages/domain/</t>
        </is>
      </c>
      <c r="B15" s="422" t="inlineStr">
        <is>
          <t>Yes</t>
        </is>
      </c>
      <c r="C15" s="422" t="inlineStr">
        <is>
          <t>Yes</t>
        </is>
      </c>
      <c r="D15" s="422" t="inlineStr">
        <is>
          <t>Yes</t>
        </is>
      </c>
      <c r="E15" s="422" t="inlineStr">
        <is>
          <t>Framework-neutral domain rules/specification where practical.</t>
        </is>
      </c>
      <c r="F15" s="422" t="inlineStr">
        <is>
          <t>Architect</t>
        </is>
      </c>
      <c r="G15" s="422" t="inlineStr">
        <is>
          <t>MVP</t>
        </is>
      </c>
      <c r="H15" s="422" t="inlineStr">
        <is>
          <t>Avoid sharing runtime code across incompatible languages.</t>
        </is>
      </c>
    </row>
    <row r="16">
      <c r="A16" s="423" t="inlineStr">
        <is>
          <t>database/</t>
        </is>
      </c>
      <c r="B16" s="423" t="inlineStr">
        <is>
          <t>Yes</t>
        </is>
      </c>
      <c r="C16" s="423" t="inlineStr">
        <is>
          <t>Yes</t>
        </is>
      </c>
      <c r="D16" s="423" t="inlineStr">
        <is>
          <t>Yes</t>
        </is>
      </c>
      <c r="E16" s="423" t="inlineStr">
        <is>
          <t>Migrations, seeds, schema documentation.</t>
        </is>
      </c>
      <c r="F16" s="423" t="inlineStr">
        <is>
          <t>Database Agent</t>
        </is>
      </c>
      <c r="G16" s="423" t="inlineStr">
        <is>
          <t>MVP</t>
        </is>
      </c>
      <c r="H16" s="423" t="inlineStr">
        <is>
          <t>Production destructive changes require approval.</t>
        </is>
      </c>
    </row>
    <row r="17">
      <c r="A17" s="422" t="inlineStr">
        <is>
          <t>infra/</t>
        </is>
      </c>
      <c r="B17" s="422" t="inlineStr">
        <is>
          <t>Yes</t>
        </is>
      </c>
      <c r="C17" s="422" t="inlineStr">
        <is>
          <t>Yes</t>
        </is>
      </c>
      <c r="D17" s="422" t="inlineStr">
        <is>
          <t>Yes</t>
        </is>
      </c>
      <c r="E17" s="422" t="inlineStr">
        <is>
          <t>Deployment/IaC/config templates.</t>
        </is>
      </c>
      <c r="F17" s="422" t="inlineStr">
        <is>
          <t>Deployment Agent</t>
        </is>
      </c>
      <c r="G17" s="422" t="inlineStr">
        <is>
          <t>MVP/MID</t>
        </is>
      </c>
      <c r="H17" s="422" t="inlineStr">
        <is>
          <t>No raw secrets in repo.</t>
        </is>
      </c>
    </row>
    <row r="18">
      <c r="A18" s="423" t="inlineStr">
        <is>
          <t>tests/</t>
        </is>
      </c>
      <c r="B18" s="423" t="inlineStr">
        <is>
          <t>Yes</t>
        </is>
      </c>
      <c r="C18" s="423" t="inlineStr">
        <is>
          <t>Yes</t>
        </is>
      </c>
      <c r="D18" s="423" t="inlineStr">
        <is>
          <t>Yes</t>
        </is>
      </c>
      <c r="E18" s="423" t="inlineStr">
        <is>
          <t>Cross-product contract/E2E/fixtures/visual baselines.</t>
        </is>
      </c>
      <c r="F18" s="423" t="inlineStr">
        <is>
          <t>QA Agent</t>
        </is>
      </c>
      <c r="G18" s="423" t="inlineStr">
        <is>
          <t>MVP</t>
        </is>
      </c>
      <c r="H18" s="423" t="inlineStr">
        <is>
          <t>Framework-specific tests remain inside app modules when appropriate.</t>
        </is>
      </c>
    </row>
    <row r="19">
      <c r="A19" s="422" t="inlineStr">
        <is>
          <t>docs/</t>
        </is>
      </c>
      <c r="B19" s="422" t="inlineStr">
        <is>
          <t>Yes</t>
        </is>
      </c>
      <c r="C19" s="422" t="inlineStr">
        <is>
          <t>Yes</t>
        </is>
      </c>
      <c r="D19" s="422" t="inlineStr">
        <is>
          <t>Yes</t>
        </is>
      </c>
      <c r="E19" s="422" t="inlineStr">
        <is>
          <t>Human architecture/product/API documentation.</t>
        </is>
      </c>
      <c r="F19" s="422" t="inlineStr">
        <is>
          <t>Architect/Agents</t>
        </is>
      </c>
      <c r="G19" s="422" t="inlineStr">
        <is>
          <t>MVP</t>
        </is>
      </c>
      <c r="H19" s="422" t="inlineStr">
        <is>
          <t>Generated docs must track accepted code/IR.</t>
        </is>
      </c>
    </row>
  </sheetData>
  <mergeCells count="2">
    <mergeCell ref="A2:H2"/>
    <mergeCell ref="A1:H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0" customWidth="1" style="401" min="1" max="1"/>
    <col width="20" customWidth="1" style="401" min="2" max="2"/>
    <col width="28" customWidth="1" style="401" min="3" max="3"/>
    <col width="48" customWidth="1" style="401" min="4" max="4"/>
    <col width="24" customWidth="1" style="401" min="5" max="5"/>
    <col width="18" customWidth="1" style="401" min="6" max="6"/>
    <col width="24" customWidth="1" style="401" min="7" max="7"/>
    <col width="18" customWidth="1" style="401" min="8" max="8"/>
    <col width="14" customWidth="1" style="401" min="9" max="9"/>
    <col width="46" customWidth="1" style="401" min="10" max="10"/>
  </cols>
  <sheetData>
    <row r="1" ht="30" customHeight="1" s="401">
      <c r="A1" s="561" t="inlineStr">
        <is>
          <t>Framework / Stack Profiles</t>
        </is>
      </c>
      <c r="B1" s="547" t="n"/>
      <c r="C1" s="547" t="n"/>
      <c r="D1" s="547" t="n"/>
      <c r="E1" s="547" t="n"/>
      <c r="F1" s="547" t="n"/>
      <c r="G1" s="547" t="n"/>
      <c r="H1" s="547" t="n"/>
      <c r="I1" s="547" t="n"/>
      <c r="J1" s="547" t="n"/>
    </row>
    <row r="2" ht="36" customHeight="1" s="401">
      <c r="A2" s="562" t="inlineStr">
        <is>
          <t>Product must offer multiple creation profiles. Default is Auto/Recommended; cross-platform is normally cheaper for small/medium apps, while Native is selected by measured technical need or explicit user choice.</t>
        </is>
      </c>
      <c r="B2" s="547" t="n"/>
      <c r="C2" s="547" t="n"/>
      <c r="D2" s="547" t="n"/>
      <c r="E2" s="547" t="n"/>
      <c r="F2" s="547" t="n"/>
      <c r="G2" s="547" t="n"/>
      <c r="H2" s="547" t="n"/>
      <c r="I2" s="547" t="n"/>
      <c r="J2" s="547" t="n"/>
    </row>
    <row r="3" ht="28" customHeight="1" s="401">
      <c r="A3" s="78" t="inlineStr">
        <is>
          <t>Profile</t>
        </is>
      </c>
      <c r="B3" s="78" t="inlineStr">
        <is>
          <t>Maturity</t>
        </is>
      </c>
      <c r="C3" s="78" t="inlineStr">
        <is>
          <t>Mobile Technology</t>
        </is>
      </c>
      <c r="D3" s="78" t="inlineStr">
        <is>
          <t>Mobile Scope</t>
        </is>
      </c>
      <c r="E3" s="78" t="inlineStr">
        <is>
          <t>Public Web</t>
        </is>
      </c>
      <c r="F3" s="78" t="inlineStr">
        <is>
          <t>Admin</t>
        </is>
      </c>
      <c r="G3" s="78" t="inlineStr">
        <is>
          <t>Backend</t>
        </is>
      </c>
      <c r="H3" s="78" t="inlineStr">
        <is>
          <t>DB</t>
        </is>
      </c>
      <c r="I3" s="78" t="inlineStr">
        <is>
          <t>Relative Cost</t>
        </is>
      </c>
      <c r="J3" s="78" t="inlineStr">
        <is>
          <t>Non-Negotiable Rule</t>
        </is>
      </c>
    </row>
    <row r="4">
      <c r="A4" s="446" t="inlineStr">
        <is>
          <t>Auto / Recommended</t>
        </is>
      </c>
      <c r="B4" s="446" t="inlineStr">
        <is>
          <t>Default</t>
        </is>
      </c>
      <c r="C4" s="446" t="inlineStr">
        <is>
          <t>Decision engine</t>
        </is>
      </c>
      <c r="D4" s="446" t="inlineStr">
        <is>
          <t>Usually Flutter or React Native for small/medium standard products; Native when measurable requirements justify it.</t>
        </is>
      </c>
      <c r="E4" s="446" t="inlineStr">
        <is>
          <t>Next.js</t>
        </is>
      </c>
      <c r="F4" s="446" t="inlineStr">
        <is>
          <t>Next.js</t>
        </is>
      </c>
      <c r="G4" s="446" t="inlineStr">
        <is>
          <t>Go or Python</t>
        </is>
      </c>
      <c r="H4" s="446" t="inlineStr">
        <is>
          <t>PostgreSQL</t>
        </is>
      </c>
      <c r="I4" s="446" t="inlineStr">
        <is>
          <t>Lowest safe</t>
        </is>
      </c>
      <c r="J4" s="446" t="inlineStr">
        <is>
          <t>User can override; recommendation + reason stored in IR.</t>
        </is>
      </c>
    </row>
    <row r="5">
      <c r="A5" s="445" t="inlineStr">
        <is>
          <t>Flutter</t>
        </is>
      </c>
      <c r="B5" s="445" t="inlineStr">
        <is>
          <t>MVP Stable</t>
        </is>
      </c>
      <c r="C5" s="445" t="inlineStr">
        <is>
          <t>Dart / Flutter</t>
        </is>
      </c>
      <c r="D5" s="445" t="inlineStr">
        <is>
          <t>Android + iOS single codebase. Optional Flutter Web only for app-like web targets.</t>
        </is>
      </c>
      <c r="E5" s="445" t="inlineStr">
        <is>
          <t>Next.js default</t>
        </is>
      </c>
      <c r="F5" s="445" t="inlineStr">
        <is>
          <t>Next.js</t>
        </is>
      </c>
      <c r="G5" s="445" t="inlineStr">
        <is>
          <t>Go or Python</t>
        </is>
      </c>
      <c r="H5" s="445" t="inlineStr">
        <is>
          <t>PostgreSQL</t>
        </is>
      </c>
      <c r="I5" s="445" t="inlineStr">
        <is>
          <t>Low-Medium</t>
        </is>
      </c>
      <c r="J5" s="445" t="inlineStr">
        <is>
          <t>Strong for custom consistent UI and lower mobile cost.</t>
        </is>
      </c>
    </row>
    <row r="6">
      <c r="A6" s="446" t="inlineStr">
        <is>
          <t>React Native</t>
        </is>
      </c>
      <c r="B6" s="446" t="inlineStr">
        <is>
          <t>MVP Stable / Controlled Beta</t>
        </is>
      </c>
      <c r="C6" s="446" t="inlineStr">
        <is>
          <t>TypeScript / React Native</t>
        </is>
      </c>
      <c r="D6" s="446" t="inlineStr">
        <is>
          <t>Android + iOS single codebase. Expo profile when capability fit is good; bare/native modules when required.</t>
        </is>
      </c>
      <c r="E6" s="446" t="inlineStr">
        <is>
          <t>Next.js default; RN Web optional</t>
        </is>
      </c>
      <c r="F6" s="446" t="inlineStr">
        <is>
          <t>Next.js</t>
        </is>
      </c>
      <c r="G6" s="446" t="inlineStr">
        <is>
          <t>Go/Python; Node optional</t>
        </is>
      </c>
      <c r="H6" s="446" t="inlineStr">
        <is>
          <t>PostgreSQL</t>
        </is>
      </c>
      <c r="I6" s="446" t="inlineStr">
        <is>
          <t>Low-Medium</t>
        </is>
      </c>
      <c r="J6" s="446" t="inlineStr">
        <is>
          <t>Best fit when React/TypeScript reuse matters.</t>
        </is>
      </c>
    </row>
    <row r="7">
      <c r="A7" s="445" t="inlineStr">
        <is>
          <t>Native</t>
        </is>
      </c>
      <c r="B7" s="445" t="inlineStr">
        <is>
          <t>MVP Beta -&gt; MID GA</t>
        </is>
      </c>
      <c r="C7" s="445" t="inlineStr">
        <is>
          <t>Kotlin + Compose / Swift + SwiftUI</t>
        </is>
      </c>
      <c r="D7" s="445" t="inlineStr">
        <is>
          <t>Two mobile codebases. Highest platform control and deepest native capability.</t>
        </is>
      </c>
      <c r="E7" s="445" t="inlineStr">
        <is>
          <t>Next.js</t>
        </is>
      </c>
      <c r="F7" s="445" t="inlineStr">
        <is>
          <t>Next.js</t>
        </is>
      </c>
      <c r="G7" s="445" t="inlineStr">
        <is>
          <t>Go or Python</t>
        </is>
      </c>
      <c r="H7" s="445" t="inlineStr">
        <is>
          <t>PostgreSQL</t>
        </is>
      </c>
      <c r="I7" s="445" t="inlineStr">
        <is>
          <t>High</t>
        </is>
      </c>
      <c r="J7" s="445" t="inlineStr">
        <is>
          <t>Use for measured native/performance/hardware/background/security needs.</t>
        </is>
      </c>
    </row>
    <row r="8">
      <c r="A8" s="446" t="inlineStr">
        <is>
          <t>Web/PWA only</t>
        </is>
      </c>
      <c r="B8" s="446" t="inlineStr">
        <is>
          <t>MVP Stable</t>
        </is>
      </c>
      <c r="C8" s="446" t="inlineStr">
        <is>
          <t>Next.js / PWA</t>
        </is>
      </c>
      <c r="D8" s="446" t="inlineStr">
        <is>
          <t>No store-native mobile runtime.</t>
        </is>
      </c>
      <c r="E8" s="446" t="inlineStr">
        <is>
          <t>Next.js/PWA</t>
        </is>
      </c>
      <c r="F8" s="446" t="inlineStr">
        <is>
          <t>Next.js</t>
        </is>
      </c>
      <c r="G8" s="446" t="inlineStr">
        <is>
          <t>Go or Python</t>
        </is>
      </c>
      <c r="H8" s="446" t="inlineStr">
        <is>
          <t>PostgreSQL</t>
        </is>
      </c>
      <c r="I8" s="446" t="inlineStr">
        <is>
          <t>Lowest</t>
        </is>
      </c>
      <c r="J8" s="446" t="inlineStr">
        <is>
          <t>Offer when native stores/device APIs are unnecessary.</t>
        </is>
      </c>
    </row>
  </sheetData>
  <mergeCells count="2">
    <mergeCell ref="A1:J1"/>
    <mergeCell ref="A2:J2"/>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0" customWidth="1" style="401" min="1" max="1"/>
    <col width="24" customWidth="1" style="401" min="2" max="2"/>
    <col width="26" customWidth="1" style="401" min="3" max="3"/>
    <col width="24" customWidth="1" style="401" min="4" max="4"/>
    <col width="24" customWidth="1" style="401" min="5" max="5"/>
    <col width="28" customWidth="1" style="401" min="6" max="6"/>
    <col width="52" customWidth="1" style="401" min="7" max="7"/>
  </cols>
  <sheetData>
    <row r="1" ht="30" customHeight="1" s="401">
      <c r="A1" s="561" t="inlineStr">
        <is>
          <t>Code Sharing Matrix</t>
        </is>
      </c>
      <c r="B1" s="547" t="n"/>
      <c r="C1" s="547" t="n"/>
      <c r="D1" s="547" t="n"/>
      <c r="E1" s="547" t="n"/>
      <c r="F1" s="547" t="n"/>
      <c r="G1" s="547" t="n"/>
    </row>
    <row r="2" ht="36" customHeight="1" s="401">
      <c r="A2" s="562" t="inlineStr">
        <is>
          <t>Share specifications, contracts, tokens and compatible domain packages first. Do not force one runtime codebase onto targets where it creates worse UX, SEO, accessibility or maintainability.</t>
        </is>
      </c>
      <c r="B2" s="547" t="n"/>
      <c r="C2" s="547" t="n"/>
      <c r="D2" s="547" t="n"/>
      <c r="E2" s="547" t="n"/>
      <c r="F2" s="547" t="n"/>
      <c r="G2" s="547" t="n"/>
    </row>
    <row r="3" ht="28" customHeight="1" s="401">
      <c r="A3" s="78" t="inlineStr">
        <is>
          <t>Artifact / Rule</t>
        </is>
      </c>
      <c r="B3" s="78" t="inlineStr">
        <is>
          <t>Flutter</t>
        </is>
      </c>
      <c r="C3" s="78" t="inlineStr">
        <is>
          <t>React Native</t>
        </is>
      </c>
      <c r="D3" s="78" t="inlineStr">
        <is>
          <t>Native Android</t>
        </is>
      </c>
      <c r="E3" s="78" t="inlineStr">
        <is>
          <t>Native iOS</t>
        </is>
      </c>
      <c r="F3" s="78" t="inlineStr">
        <is>
          <t>Web/Admin</t>
        </is>
      </c>
      <c r="G3" s="78" t="inlineStr">
        <is>
          <t>Rule</t>
        </is>
      </c>
    </row>
    <row r="4">
      <c r="A4" s="446" t="inlineStr">
        <is>
          <t>Application IR / acceptance criteria</t>
        </is>
      </c>
      <c r="B4" s="446" t="inlineStr">
        <is>
          <t>Yes</t>
        </is>
      </c>
      <c r="C4" s="446" t="inlineStr">
        <is>
          <t>Yes</t>
        </is>
      </c>
      <c r="D4" s="446" t="inlineStr">
        <is>
          <t>Yes</t>
        </is>
      </c>
      <c r="E4" s="446" t="inlineStr">
        <is>
          <t>Yes</t>
        </is>
      </c>
      <c r="F4" s="446" t="inlineStr">
        <is>
          <t>Yes</t>
        </is>
      </c>
      <c r="G4" s="446" t="inlineStr">
        <is>
          <t>Primary source of behaomnistackl consistency.</t>
        </is>
      </c>
    </row>
    <row r="5">
      <c r="A5" s="445" t="inlineStr">
        <is>
          <t>OpenAPI / AsyncAPI contracts</t>
        </is>
      </c>
      <c r="B5" s="445" t="inlineStr">
        <is>
          <t>Yes</t>
        </is>
      </c>
      <c r="C5" s="445" t="inlineStr">
        <is>
          <t>Yes</t>
        </is>
      </c>
      <c r="D5" s="445" t="inlineStr">
        <is>
          <t>Yes</t>
        </is>
      </c>
      <c r="E5" s="445" t="inlineStr">
        <is>
          <t>Yes</t>
        </is>
      </c>
      <c r="F5" s="445" t="inlineStr">
        <is>
          <t>Yes</t>
        </is>
      </c>
      <c r="G5" s="445" t="inlineStr">
        <is>
          <t>Generate clients; do not hand-edit generated output.</t>
        </is>
      </c>
    </row>
    <row r="6">
      <c r="A6" s="446" t="inlineStr">
        <is>
          <t>Design tokens</t>
        </is>
      </c>
      <c r="B6" s="446" t="inlineStr">
        <is>
          <t>Generate Dart adapter</t>
        </is>
      </c>
      <c r="C6" s="446" t="inlineStr">
        <is>
          <t>Share token source / TS adapter</t>
        </is>
      </c>
      <c r="D6" s="446" t="inlineStr">
        <is>
          <t>Generate Kotlin adapter</t>
        </is>
      </c>
      <c r="E6" s="446" t="inlineStr">
        <is>
          <t>Generate Swift adapter</t>
        </is>
      </c>
      <c r="F6" s="446" t="inlineStr">
        <is>
          <t>Direct TS/CSS adapter</t>
        </is>
      </c>
      <c r="G6" s="446" t="inlineStr">
        <is>
          <t>Share tokens, not necessarily UI widgets.</t>
        </is>
      </c>
    </row>
    <row r="7">
      <c r="A7" s="445" t="inlineStr">
        <is>
          <t>TypeScript domain/validation</t>
        </is>
      </c>
      <c r="B7" s="445" t="inlineStr">
        <is>
          <t>No runtime sharing</t>
        </is>
      </c>
      <c r="C7" s="445" t="inlineStr">
        <is>
          <t>Yes</t>
        </is>
      </c>
      <c r="D7" s="445" t="inlineStr">
        <is>
          <t>No runtime sharing</t>
        </is>
      </c>
      <c r="E7" s="445" t="inlineStr">
        <is>
          <t>No runtime sharing</t>
        </is>
      </c>
      <c r="F7" s="445" t="inlineStr">
        <is>
          <t>Yes</t>
        </is>
      </c>
      <c r="G7" s="445" t="inlineStr">
        <is>
          <t>Use only where runtime/language compatibility is natural.</t>
        </is>
      </c>
    </row>
    <row r="8">
      <c r="A8" s="446" t="inlineStr">
        <is>
          <t>UI components</t>
        </is>
      </c>
      <c r="B8" s="446" t="inlineStr">
        <is>
          <t>No with Next.js by default</t>
        </is>
      </c>
      <c r="C8" s="446" t="inlineStr">
        <is>
          <t>Selected primitives only</t>
        </is>
      </c>
      <c r="D8" s="446" t="inlineStr">
        <is>
          <t>No</t>
        </is>
      </c>
      <c r="E8" s="446" t="inlineStr">
        <is>
          <t>No</t>
        </is>
      </c>
      <c r="F8" s="446" t="inlineStr">
        <is>
          <t>Web/Admin may share selected web components</t>
        </is>
      </c>
      <c r="G8" s="446" t="inlineStr">
        <is>
          <t>Never sacrifice SEO/accessibility/desktop behavior for a sharing percentage.</t>
        </is>
      </c>
    </row>
    <row r="9">
      <c r="A9" s="445" t="inlineStr">
        <is>
          <t>Localization keys/content</t>
        </is>
      </c>
      <c r="B9" s="445" t="inlineStr">
        <is>
          <t>Yes</t>
        </is>
      </c>
      <c r="C9" s="445" t="inlineStr">
        <is>
          <t>Yes</t>
        </is>
      </c>
      <c r="D9" s="445" t="inlineStr">
        <is>
          <t>Yes</t>
        </is>
      </c>
      <c r="E9" s="445" t="inlineStr">
        <is>
          <t>Yes</t>
        </is>
      </c>
      <c r="F9" s="445" t="inlineStr">
        <is>
          <t>Yes</t>
        </is>
      </c>
      <c r="G9" s="445" t="inlineStr">
        <is>
          <t>Keep one canonical message catalog where practical.</t>
        </is>
      </c>
    </row>
    <row r="10">
      <c r="A10" s="446" t="inlineStr">
        <is>
          <t>Analytics event schema</t>
        </is>
      </c>
      <c r="B10" s="446" t="inlineStr">
        <is>
          <t>Yes</t>
        </is>
      </c>
      <c r="C10" s="446" t="inlineStr">
        <is>
          <t>Yes</t>
        </is>
      </c>
      <c r="D10" s="446" t="inlineStr">
        <is>
          <t>Yes</t>
        </is>
      </c>
      <c r="E10" s="446" t="inlineStr">
        <is>
          <t>Yes</t>
        </is>
      </c>
      <c r="F10" s="446" t="inlineStr">
        <is>
          <t>Yes</t>
        </is>
      </c>
      <c r="G10" s="446" t="inlineStr">
        <is>
          <t>One event name/property schema across targets.</t>
        </is>
      </c>
    </row>
    <row r="11">
      <c r="A11" s="445" t="inlineStr">
        <is>
          <t>Permissions / feature flags</t>
        </is>
      </c>
      <c r="B11" s="445" t="inlineStr">
        <is>
          <t>Generated adapters</t>
        </is>
      </c>
      <c r="C11" s="445" t="inlineStr">
        <is>
          <t>Shared TS package</t>
        </is>
      </c>
      <c r="D11" s="445" t="inlineStr">
        <is>
          <t>Generated adapter</t>
        </is>
      </c>
      <c r="E11" s="445" t="inlineStr">
        <is>
          <t>Generated adapter</t>
        </is>
      </c>
      <c r="F11" s="445" t="inlineStr">
        <is>
          <t>Direct package</t>
        </is>
      </c>
      <c r="G11" s="445" t="inlineStr">
        <is>
          <t>Policy definitions are centralized.</t>
        </is>
      </c>
    </row>
  </sheetData>
  <mergeCells count="2">
    <mergeCell ref="A2:G2"/>
    <mergeCell ref="A1:G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8" customWidth="1" style="401" min="1" max="1"/>
    <col width="27" customWidth="1" style="401" min="2" max="2"/>
    <col width="28" customWidth="1" style="401" min="3" max="3"/>
    <col width="45" customWidth="1" style="401" min="4" max="4"/>
    <col width="36" customWidth="1" style="401" min="5" max="5"/>
    <col width="16" customWidth="1" style="401" min="6" max="6"/>
  </cols>
  <sheetData>
    <row r="1" ht="30" customHeight="1" s="401">
      <c r="A1" s="552" t="inlineStr">
        <is>
          <t>OmniStackAI V5 — Platform Architecture</t>
        </is>
      </c>
      <c r="B1" s="547" t="n"/>
      <c r="C1" s="547" t="n"/>
      <c r="D1" s="547" t="n"/>
      <c r="E1" s="547" t="n"/>
      <c r="F1" s="547" t="n"/>
    </row>
    <row r="2" ht="34" customHeight="1" s="401">
      <c r="A2" s="553" t="inlineStr">
        <is>
          <t>Start with four principal deployables and strong logical modules. Split services only after measured scale/security/ownership need.</t>
        </is>
      </c>
      <c r="B2" s="547" t="n"/>
      <c r="C2" s="547" t="n"/>
      <c r="D2" s="547" t="n"/>
      <c r="E2" s="547" t="n"/>
      <c r="F2" s="547" t="n"/>
    </row>
    <row r="3" ht="28" customHeight="1" s="401">
      <c r="A3" s="78" t="n"/>
      <c r="B3" s="78" t="n"/>
      <c r="C3" s="78" t="n"/>
      <c r="D3" s="78" t="n"/>
      <c r="E3" s="78" t="n"/>
      <c r="F3" s="78" t="n"/>
    </row>
    <row r="4" ht="28" customHeight="1" s="401">
      <c r="A4" s="141" t="inlineStr">
        <is>
          <t>Layer</t>
        </is>
      </c>
      <c r="B4" s="142" t="inlineStr">
        <is>
          <t>Component</t>
        </is>
      </c>
      <c r="C4" s="142" t="inlineStr">
        <is>
          <t>Primary Tech</t>
        </is>
      </c>
      <c r="D4" s="142" t="inlineStr">
        <is>
          <t>Responsibility</t>
        </is>
      </c>
      <c r="E4" s="142" t="inlineStr">
        <is>
          <t>Scaling / Security Boundary</t>
        </is>
      </c>
      <c r="F4" s="143" t="inlineStr">
        <is>
          <t>Phase</t>
        </is>
      </c>
    </row>
    <row r="5">
      <c r="A5" s="144" t="inlineStr">
        <is>
          <t>UI</t>
        </is>
      </c>
      <c r="B5" s="145" t="inlineStr">
        <is>
          <t>console-web</t>
        </is>
      </c>
      <c r="C5" s="145" t="inlineStr">
        <is>
          <t>Next.js + React + TypeScript</t>
        </is>
      </c>
      <c r="D5" s="145" t="inlineStr">
        <is>
          <t>chat, requirements, code, preview, devices, repo, deployments, cost</t>
        </is>
      </c>
      <c r="E5" s="145" t="inlineStr">
        <is>
          <t>CDN/WAF + stateless web</t>
        </is>
      </c>
      <c r="F5" s="146" t="inlineStr">
        <is>
          <t>MVP</t>
        </is>
      </c>
    </row>
    <row r="6">
      <c r="A6" s="223" t="inlineStr">
        <is>
          <t>Control plane</t>
        </is>
      </c>
      <c r="B6" s="514" t="inlineStr">
        <is>
          <t>control-plane</t>
        </is>
      </c>
      <c r="C6" s="514" t="inlineStr">
        <is>
          <t>Go</t>
        </is>
      </c>
      <c r="D6" s="514" t="inlineStr">
        <is>
          <t>auth/org/workspace/project, Git, policy, billing, audit, deployments</t>
        </is>
      </c>
      <c r="E6" s="514" t="inlineStr">
        <is>
          <t>transactional + high concurrency</t>
        </is>
      </c>
      <c r="F6" s="225" t="inlineStr">
        <is>
          <t>MVP</t>
        </is>
      </c>
    </row>
    <row r="7">
      <c r="A7" s="147" t="inlineStr">
        <is>
          <t>AI plane</t>
        </is>
      </c>
      <c r="B7" s="455" t="inlineStr">
        <is>
          <t>agent-engine</t>
        </is>
      </c>
      <c r="C7" s="455" t="inlineStr">
        <is>
          <t>Python</t>
        </is>
      </c>
      <c r="D7" s="455" t="inlineStr">
        <is>
          <t>agent orchestration, context, model adapters, retrieval</t>
        </is>
      </c>
      <c r="E7" s="455" t="inlineStr">
        <is>
          <t>separate model/data egress policy</t>
        </is>
      </c>
      <c r="F7" s="149" t="inlineStr">
        <is>
          <t>MVP</t>
        </is>
      </c>
    </row>
    <row r="8">
      <c r="A8" s="223" t="inlineStr">
        <is>
          <t>Execution plane</t>
        </is>
      </c>
      <c r="B8" s="514" t="inlineStr">
        <is>
          <t>runner-manager</t>
        </is>
      </c>
      <c r="C8" s="514" t="inlineStr">
        <is>
          <t>Go</t>
        </is>
      </c>
      <c r="D8" s="514" t="inlineStr">
        <is>
          <t>RuntimeProvider scheduling, builds, device allocation</t>
        </is>
      </c>
      <c r="E8" s="514" t="inlineStr">
        <is>
          <t>never trust user code</t>
        </is>
      </c>
      <c r="F8" s="225" t="inlineStr">
        <is>
          <t>MVP</t>
        </is>
      </c>
    </row>
    <row r="9">
      <c r="A9" s="147" t="inlineStr">
        <is>
          <t>Module</t>
        </is>
      </c>
      <c r="B9" s="455" t="inlineStr">
        <is>
          <t>context-engine</t>
        </is>
      </c>
      <c r="C9" s="455" t="inlineStr">
        <is>
          <t>Go/Python module</t>
        </is>
      </c>
      <c r="D9" s="455" t="inlineStr">
        <is>
          <t>project memory, retrieval, Context Pack, evidence validation</t>
        </is>
      </c>
      <c r="E9" s="455" t="inlineStr">
        <is>
          <t>can split later</t>
        </is>
      </c>
      <c r="F9" s="149" t="inlineStr">
        <is>
          <t>MVP</t>
        </is>
      </c>
    </row>
    <row r="10">
      <c r="A10" s="223" t="inlineStr">
        <is>
          <t>Module</t>
        </is>
      </c>
      <c r="B10" s="514" t="inlineStr">
        <is>
          <t>model-gateway</t>
        </is>
      </c>
      <c r="C10" s="514" t="inlineStr">
        <is>
          <t>Go/Python module</t>
        </is>
      </c>
      <c r="D10" s="514" t="inlineStr">
        <is>
          <t>routing, budgets, providers, BYOK</t>
        </is>
      </c>
      <c r="E10" s="514" t="inlineStr">
        <is>
          <t>can split for scale/security</t>
        </is>
      </c>
      <c r="F10" s="225" t="inlineStr">
        <is>
          <t>MVP/MID</t>
        </is>
      </c>
    </row>
    <row r="11">
      <c r="A11" s="147" t="inlineStr">
        <is>
          <t>Module</t>
        </is>
      </c>
      <c r="B11" s="455" t="inlineStr">
        <is>
          <t>code-intelligence</t>
        </is>
      </c>
      <c r="C11" s="455" t="inlineStr">
        <is>
          <t>service/module</t>
        </is>
      </c>
      <c r="D11" s="455" t="inlineStr">
        <is>
          <t>symbols/call/dependency graphs, indexing</t>
        </is>
      </c>
      <c r="E11" s="455" t="inlineStr">
        <is>
          <t>compute-heavy split when measured</t>
        </is>
      </c>
      <c r="F11" s="149" t="inlineStr">
        <is>
          <t>MVP/MID</t>
        </is>
      </c>
    </row>
    <row r="12">
      <c r="A12" s="223" t="inlineStr">
        <is>
          <t>Workflow</t>
        </is>
      </c>
      <c r="B12" s="514" t="inlineStr">
        <is>
          <t>Temporal</t>
        </is>
      </c>
      <c r="C12" s="514" t="inlineStr">
        <is>
          <t>Temporal + platform contracts</t>
        </is>
      </c>
      <c r="D12" s="514" t="inlineStr">
        <is>
          <t>durability, retries, pause/resume, schedules</t>
        </is>
      </c>
      <c r="E12" s="514" t="inlineStr">
        <is>
          <t>managed/self-hosted adapter</t>
        </is>
      </c>
      <c r="F12" s="225" t="inlineStr">
        <is>
          <t>MVP</t>
        </is>
      </c>
    </row>
    <row r="13">
      <c r="A13" s="147" t="inlineStr">
        <is>
          <t>Data</t>
        </is>
      </c>
      <c r="B13" s="455" t="inlineStr">
        <is>
          <t>PostgreSQL + pgvector</t>
        </is>
      </c>
      <c r="C13" s="455" t="inlineStr">
        <is>
          <t>PostgreSQL</t>
        </is>
      </c>
      <c r="D13" s="455" t="inlineStr">
        <is>
          <t>canonical metadata, IR refs, ledger, semantic retrieval</t>
        </is>
      </c>
      <c r="E13" s="455" t="inlineStr">
        <is>
          <t>HA/backup</t>
        </is>
      </c>
      <c r="F13" s="149" t="inlineStr">
        <is>
          <t>MVP</t>
        </is>
      </c>
    </row>
    <row r="14">
      <c r="A14" s="239" t="inlineStr">
        <is>
          <t>Data</t>
        </is>
      </c>
      <c r="B14" s="240" t="inlineStr">
        <is>
          <t>Redis / NATS / Object Storage</t>
        </is>
      </c>
      <c r="C14" s="240" t="inlineStr">
        <is>
          <t>managed/open source</t>
        </is>
      </c>
      <c r="D14" s="240" t="inlineStr">
        <is>
          <t>cache, async events, large artifacts/logs</t>
        </is>
      </c>
      <c r="E14" s="240" t="inlineStr">
        <is>
          <t>separate credentials</t>
        </is>
      </c>
      <c r="F14" s="241" t="inlineStr">
        <is>
          <t>MVP</t>
        </is>
      </c>
    </row>
  </sheetData>
  <mergeCells count="2">
    <mergeCell ref="A2:F2"/>
    <mergeCell ref="A1:F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4" customWidth="1" style="401" min="1" max="1"/>
    <col width="32" customWidth="1" style="401" min="2" max="2"/>
    <col width="24" customWidth="1" style="401" min="3" max="3"/>
    <col width="14" customWidth="1" style="401" min="4" max="4"/>
    <col width="52" customWidth="1" style="401" min="5" max="5"/>
    <col width="30" customWidth="1" style="401" min="6" max="6"/>
    <col width="48" customWidth="1" style="401" min="7" max="7"/>
  </cols>
  <sheetData>
    <row r="1" ht="30" customHeight="1" s="401">
      <c r="A1" s="561" t="inlineStr">
        <is>
          <t>Git Repository &amp; Naming Standards</t>
        </is>
      </c>
      <c r="B1" s="547" t="n"/>
      <c r="C1" s="547" t="n"/>
      <c r="D1" s="547" t="n"/>
      <c r="E1" s="547" t="n"/>
      <c r="F1" s="547" t="n"/>
      <c r="G1" s="547" t="n"/>
    </row>
    <row r="2" ht="36" customHeight="1" s="401">
      <c r="A2" s="562" t="inlineStr">
        <is>
          <t>Our platform starts in a modular monorepo. Each customer product gets its own monorepo by default. Naming, branches and split criteria must be deterministic for humans and AI agents.</t>
        </is>
      </c>
      <c r="B2" s="547" t="n"/>
      <c r="C2" s="547" t="n"/>
      <c r="D2" s="547" t="n"/>
      <c r="E2" s="547" t="n"/>
      <c r="F2" s="547" t="n"/>
      <c r="G2" s="547" t="n"/>
    </row>
    <row r="3" ht="28" customHeight="1" s="401">
      <c r="A3" s="78" t="inlineStr">
        <is>
          <t>Scope</t>
        </is>
      </c>
      <c r="B3" s="78" t="inlineStr">
        <is>
          <t>Recommended Name</t>
        </is>
      </c>
      <c r="C3" s="78" t="inlineStr">
        <is>
          <t>Repo Strategy</t>
        </is>
      </c>
      <c r="D3" s="78" t="inlineStr">
        <is>
          <t>Phase</t>
        </is>
      </c>
      <c r="E3" s="78" t="inlineStr">
        <is>
          <t>Root Layout</t>
        </is>
      </c>
      <c r="F3" s="78" t="inlineStr">
        <is>
          <t>Branch Strategy</t>
        </is>
      </c>
      <c r="G3" s="78" t="inlineStr">
        <is>
          <t>When/Why To Split</t>
        </is>
      </c>
    </row>
    <row r="4">
      <c r="A4" s="446" t="inlineStr">
        <is>
          <t>Our platform repo</t>
        </is>
      </c>
      <c r="B4" s="446" t="inlineStr">
        <is>
          <t>&lt;platform-name&gt;-platform</t>
        </is>
      </c>
      <c r="C4" s="446" t="inlineStr">
        <is>
          <t>One modular monorepo</t>
        </is>
      </c>
      <c r="D4" s="446" t="inlineStr">
        <is>
          <t>MVP</t>
        </is>
      </c>
      <c r="E4" s="446" t="inlineStr">
        <is>
          <t>apps/, services/, workers/, packages/, ai/, infra/, docs/</t>
        </is>
      </c>
      <c r="F4" s="446" t="inlineStr">
        <is>
          <t>Protected main + short branches</t>
        </is>
      </c>
      <c r="G4" s="446" t="inlineStr">
        <is>
          <t>Split only strong lifecycle/security/ownership boundaries.</t>
        </is>
      </c>
    </row>
    <row r="5">
      <c r="A5" s="445" t="inlineStr">
        <is>
          <t>Customer temporary repo</t>
        </is>
      </c>
      <c r="B5" s="445" t="inlineStr">
        <is>
          <t>project-&lt;project-id&gt;-&lt;slug&gt;</t>
        </is>
      </c>
      <c r="C5" s="445" t="inlineStr">
        <is>
          <t>One repo per customer project</t>
        </is>
      </c>
      <c r="D5" s="445" t="inlineStr">
        <is>
          <t>MVP</t>
        </is>
      </c>
      <c r="E5" s="445" t="inlineStr">
        <is>
          <t>apps/, services/, packages/, database/, infra/, tests/, docs/, .ai/</t>
        </is>
      </c>
      <c r="F5" s="445" t="inlineStr">
        <is>
          <t>ai/&lt;task-id&gt;-&lt;slug&gt;</t>
        </is>
      </c>
      <c r="G5" s="445" t="inlineStr">
        <is>
          <t>Rename/move to customer Git when connected.</t>
        </is>
      </c>
    </row>
    <row r="6">
      <c r="A6" s="446" t="inlineStr">
        <is>
          <t>Customer owned repo</t>
        </is>
      </c>
      <c r="B6" s="446" t="inlineStr">
        <is>
          <t>&lt;org-slug&gt;-&lt;product-slug&gt;</t>
        </is>
      </c>
      <c r="C6" s="446" t="inlineStr">
        <is>
          <t>Monorepo default</t>
        </is>
      </c>
      <c r="D6" s="446" t="inlineStr">
        <is>
          <t>MVP</t>
        </is>
      </c>
      <c r="E6" s="446" t="inlineStr">
        <is>
          <t>Same canonical root</t>
        </is>
      </c>
      <c r="F6" s="446" t="inlineStr">
        <is>
          <t>trunk-based / protected main</t>
        </is>
      </c>
      <c r="G6" s="446" t="inlineStr">
        <is>
          <t>One atomic PR can update all product targets.</t>
        </is>
      </c>
    </row>
    <row r="7">
      <c r="A7" s="445" t="inlineStr">
        <is>
          <t>Enterprise multi-repo</t>
        </is>
      </c>
      <c r="B7" s="445" t="inlineStr">
        <is>
          <t>Customer-defined</t>
        </is>
      </c>
      <c r="C7" s="445" t="inlineStr">
        <is>
          <t>Explicit opt-in</t>
        </is>
      </c>
      <c r="D7" s="445" t="inlineStr">
        <is>
          <t>ADVANCED</t>
        </is>
      </c>
      <c r="E7" s="445" t="inlineStr">
        <is>
          <t>Domain/service repos + central IR/contracts registry</t>
        </is>
      </c>
      <c r="F7" s="445" t="inlineStr">
        <is>
          <t>Linked cross-repo PRs</t>
        </is>
      </c>
      <c r="G7" s="445" t="inlineStr">
        <is>
          <t>Never silently migrate to multi-repo.</t>
        </is>
      </c>
    </row>
    <row r="8">
      <c r="A8" s="446" t="inlineStr">
        <is>
          <t>Local Mac Agent</t>
        </is>
      </c>
      <c r="B8" s="446" t="inlineStr">
        <is>
          <t>&lt;platform-name&gt;-mac-agent</t>
        </is>
      </c>
      <c r="C8" s="446" t="inlineStr">
        <is>
          <t>May split from platform repo</t>
        </is>
      </c>
      <c r="D8" s="446" t="inlineStr">
        <is>
          <t>MID</t>
        </is>
      </c>
      <c r="E8" s="446" t="inlineStr">
        <is>
          <t>Desktop agent/updater/secure bridge</t>
        </is>
      </c>
      <c r="F8" s="446" t="inlineStr">
        <is>
          <t>Signed releases</t>
        </is>
      </c>
      <c r="G8" s="446" t="inlineStr">
        <is>
          <t>Separate security/update lifecycle can justify own repo.</t>
        </is>
      </c>
    </row>
  </sheetData>
  <mergeCells count="2">
    <mergeCell ref="A2:G2"/>
    <mergeCell ref="A1:G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style="401" min="1" max="1"/>
    <col width="50" customWidth="1" style="401" min="2" max="2"/>
    <col width="18" customWidth="1" style="401" min="3" max="3"/>
    <col width="58" customWidth="1" style="401" min="4" max="4"/>
  </cols>
  <sheetData>
    <row r="1" ht="30" customHeight="1" s="401">
      <c r="A1" s="561" t="inlineStr">
        <is>
          <t>Flutter Generated App Structure</t>
        </is>
      </c>
      <c r="B1" s="547" t="n"/>
      <c r="C1" s="547" t="n"/>
      <c r="D1" s="547" t="n"/>
    </row>
    <row r="2" ht="36" customHeight="1" s="401">
      <c r="A2" s="562" t="inlineStr">
        <is>
          <t>Feature-first, lean-by-default Flutter template. Add domain layers/modules only when complexity justifies them; do not generate ceremony for a simple app.</t>
        </is>
      </c>
      <c r="B2" s="547" t="n"/>
      <c r="C2" s="547" t="n"/>
      <c r="D2" s="547" t="n"/>
    </row>
    <row r="3" ht="28" customHeight="1" s="401">
      <c r="A3" s="78" t="inlineStr">
        <is>
          <t>Path</t>
        </is>
      </c>
      <c r="B3" s="78" t="inlineStr">
        <is>
          <t>Purpose</t>
        </is>
      </c>
      <c r="C3" s="78" t="inlineStr">
        <is>
          <t>Phase</t>
        </is>
      </c>
      <c r="D3" s="78" t="inlineStr">
        <is>
          <t>Rule</t>
        </is>
      </c>
    </row>
    <row r="4">
      <c r="A4" s="446" t="inlineStr">
        <is>
          <t>lib/app/</t>
        </is>
      </c>
      <c r="B4" s="446" t="inlineStr">
        <is>
          <t>App bootstrap, router, DI, theme</t>
        </is>
      </c>
      <c r="C4" s="446" t="inlineStr">
        <is>
          <t>MVP</t>
        </is>
      </c>
      <c r="D4" s="446" t="inlineStr">
        <is>
          <t>Keep composition/root wiring here.</t>
        </is>
      </c>
    </row>
    <row r="5">
      <c r="A5" s="445" t="inlineStr">
        <is>
          <t>lib/core/api/</t>
        </is>
      </c>
      <c r="B5" s="445" t="inlineStr">
        <is>
          <t>HTTP/API infrastructure</t>
        </is>
      </c>
      <c r="C5" s="445" t="inlineStr">
        <is>
          <t>MVP</t>
        </is>
      </c>
      <c r="D5" s="445" t="inlineStr">
        <is>
          <t>No feature-specific business logic.</t>
        </is>
      </c>
    </row>
    <row r="6">
      <c r="A6" s="446" t="inlineStr">
        <is>
          <t>lib/core/auth/</t>
        </is>
      </c>
      <c r="B6" s="446" t="inlineStr">
        <is>
          <t>Cross-feature auth/session infrastructure</t>
        </is>
      </c>
      <c r="C6" s="446" t="inlineStr">
        <is>
          <t>MVP</t>
        </is>
      </c>
      <c r="D6" s="446" t="inlineStr">
        <is>
          <t>Token handling behind interface.</t>
        </is>
      </c>
    </row>
    <row r="7">
      <c r="A7" s="445" t="inlineStr">
        <is>
          <t>lib/core/storage/</t>
        </is>
      </c>
      <c r="B7" s="445" t="inlineStr">
        <is>
          <t>Secure/local storage adapters</t>
        </is>
      </c>
      <c r="C7" s="445" t="inlineStr">
        <is>
          <t>MVP</t>
        </is>
      </c>
      <c r="D7" s="445" t="inlineStr">
        <is>
          <t>Sensitive data uses secure storage.</t>
        </is>
      </c>
    </row>
    <row r="8">
      <c r="A8" s="446" t="inlineStr">
        <is>
          <t>lib/core/telemetry/</t>
        </is>
      </c>
      <c r="B8" s="446" t="inlineStr">
        <is>
          <t>Logs/analytics/crash hooks</t>
        </is>
      </c>
      <c r="C8" s="446" t="inlineStr">
        <is>
          <t>MVP</t>
        </is>
      </c>
      <c r="D8" s="446" t="inlineStr">
        <is>
          <t>One event schema.</t>
        </is>
      </c>
    </row>
    <row r="9">
      <c r="A9" s="445" t="inlineStr">
        <is>
          <t>lib/design_system/</t>
        </is>
      </c>
      <c r="B9" s="445" t="inlineStr">
        <is>
          <t>Tokens, reusable components, icons</t>
        </is>
      </c>
      <c r="C9" s="445" t="inlineStr">
        <is>
          <t>MVP</t>
        </is>
      </c>
      <c r="D9" s="445" t="inlineStr">
        <is>
          <t>Generated from canonical tokens where possible.</t>
        </is>
      </c>
    </row>
    <row r="10">
      <c r="A10" s="446" t="inlineStr">
        <is>
          <t>lib/features/&lt;feature&gt;/data/</t>
        </is>
      </c>
      <c r="B10" s="446" t="inlineStr">
        <is>
          <t>DTOs, repositories, remote/local sources</t>
        </is>
      </c>
      <c r="C10" s="446" t="inlineStr">
        <is>
          <t>MVP</t>
        </is>
      </c>
      <c r="D10" s="446" t="inlineStr">
        <is>
          <t>Feature owns its data adapters.</t>
        </is>
      </c>
    </row>
    <row r="11">
      <c r="A11" s="445" t="inlineStr">
        <is>
          <t>lib/features/&lt;feature&gt;/domain/</t>
        </is>
      </c>
      <c r="B11" s="445" t="inlineStr">
        <is>
          <t>Entities/use cases when domain complexity justifies</t>
        </is>
      </c>
      <c r="C11" s="445" t="inlineStr">
        <is>
          <t>MID/Complex</t>
        </is>
      </c>
      <c r="D11" s="445" t="inlineStr">
        <is>
          <t>May be omitted in lean template.</t>
        </is>
      </c>
    </row>
    <row r="12">
      <c r="A12" s="446" t="inlineStr">
        <is>
          <t>lib/features/&lt;feature&gt;/presentation/</t>
        </is>
      </c>
      <c r="B12" s="446" t="inlineStr">
        <is>
          <t>Screens/state/controllers/widgets</t>
        </is>
      </c>
      <c r="C12" s="446" t="inlineStr">
        <is>
          <t>MVP</t>
        </is>
      </c>
      <c r="D12" s="446" t="inlineStr">
        <is>
          <t>One state-management pattern selected by ADR.</t>
        </is>
      </c>
    </row>
    <row r="13">
      <c r="A13" s="445" t="inlineStr">
        <is>
          <t>test/</t>
        </is>
      </c>
      <c r="B13" s="445" t="inlineStr">
        <is>
          <t>Unit/widget tests</t>
        </is>
      </c>
      <c r="C13" s="445" t="inlineStr">
        <is>
          <t>MVP</t>
        </is>
      </c>
      <c r="D13" s="445" t="inlineStr">
        <is>
          <t>Impact-selected + new behavior tests.</t>
        </is>
      </c>
    </row>
    <row r="14">
      <c r="A14" s="446" t="inlineStr">
        <is>
          <t>integration_test/</t>
        </is>
      </c>
      <c r="B14" s="446" t="inlineStr">
        <is>
          <t>Critical flows</t>
        </is>
      </c>
      <c r="C14" s="446" t="inlineStr">
        <is>
          <t>MVP/MID</t>
        </is>
      </c>
      <c r="D14" s="446" t="inlineStr">
        <is>
          <t>Use real app build where needed.</t>
        </is>
      </c>
    </row>
    <row r="15">
      <c r="A15" s="445" t="inlineStr">
        <is>
          <t>android/ ios/</t>
        </is>
      </c>
      <c r="B15" s="445" t="inlineStr">
        <is>
          <t>Platform shells/plugins</t>
        </is>
      </c>
      <c r="C15" s="445" t="inlineStr">
        <is>
          <t>MVP</t>
        </is>
      </c>
      <c r="D15" s="445" t="inlineStr">
        <is>
          <t>Native edits require impact approval.</t>
        </is>
      </c>
    </row>
    <row r="16">
      <c r="A16" s="446" t="inlineStr">
        <is>
          <t>web/</t>
        </is>
      </c>
      <c r="B16" s="446" t="inlineStr">
        <is>
          <t>Flutter Web target</t>
        </is>
      </c>
      <c r="C16" s="446" t="inlineStr">
        <is>
          <t>MID optional</t>
        </is>
      </c>
      <c r="D16" s="446" t="inlineStr">
        <is>
          <t>Only when web_strategy=flutter_web.</t>
        </is>
      </c>
    </row>
  </sheetData>
  <mergeCells count="2">
    <mergeCell ref="A1:D1"/>
    <mergeCell ref="A2:D2"/>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0" customWidth="1" style="401" min="1" max="1"/>
    <col width="50" customWidth="1" style="401" min="2" max="2"/>
    <col width="18" customWidth="1" style="401" min="3" max="3"/>
    <col width="58" customWidth="1" style="401" min="4" max="4"/>
  </cols>
  <sheetData>
    <row r="1" ht="30" customHeight="1" s="401">
      <c r="A1" s="561" t="inlineStr">
        <is>
          <t>React Native Generated App Structure</t>
        </is>
      </c>
      <c r="B1" s="547" t="n"/>
      <c r="C1" s="547" t="n"/>
      <c r="D1" s="547" t="n"/>
    </row>
    <row r="2" ht="36" customHeight="1" s="401">
      <c r="A2" s="562" t="inlineStr">
        <is>
          <t>TypeScript-first, feature-based structure. Expo can be the default capability profile when it fits; native modules are explicit and controlled.</t>
        </is>
      </c>
      <c r="B2" s="547" t="n"/>
      <c r="C2" s="547" t="n"/>
      <c r="D2" s="547" t="n"/>
    </row>
    <row r="3" ht="28" customHeight="1" s="401">
      <c r="A3" s="78" t="inlineStr">
        <is>
          <t>Path</t>
        </is>
      </c>
      <c r="B3" s="78" t="inlineStr">
        <is>
          <t>Purpose</t>
        </is>
      </c>
      <c r="C3" s="78" t="inlineStr">
        <is>
          <t>Phase</t>
        </is>
      </c>
      <c r="D3" s="78" t="inlineStr">
        <is>
          <t>Rule</t>
        </is>
      </c>
    </row>
    <row r="4">
      <c r="A4" s="446" t="inlineStr">
        <is>
          <t>src/app/</t>
        </is>
      </c>
      <c r="B4" s="446" t="inlineStr">
        <is>
          <t>App entry, providers, navigation, config</t>
        </is>
      </c>
      <c r="C4" s="446" t="inlineStr">
        <is>
          <t>MVP</t>
        </is>
      </c>
      <c r="D4" s="446" t="inlineStr">
        <is>
          <t>Composition root.</t>
        </is>
      </c>
    </row>
    <row r="5">
      <c r="A5" s="445" t="inlineStr">
        <is>
          <t>src/features/&lt;feature&gt;/api/</t>
        </is>
      </c>
      <c r="B5" s="445" t="inlineStr">
        <is>
          <t>Feature API operations</t>
        </is>
      </c>
      <c r="C5" s="445" t="inlineStr">
        <is>
          <t>MVP</t>
        </is>
      </c>
      <c r="D5" s="445" t="inlineStr">
        <is>
          <t>Uses generated/shared contracts.</t>
        </is>
      </c>
    </row>
    <row r="6">
      <c r="A6" s="446" t="inlineStr">
        <is>
          <t>src/features/&lt;feature&gt;/model/</t>
        </is>
      </c>
      <c r="B6" s="446" t="inlineStr">
        <is>
          <t>Feature state/domain models</t>
        </is>
      </c>
      <c r="C6" s="446" t="inlineStr">
        <is>
          <t>MVP</t>
        </is>
      </c>
      <c r="D6" s="446" t="inlineStr">
        <is>
          <t>Keep close to feature.</t>
        </is>
      </c>
    </row>
    <row r="7">
      <c r="A7" s="445" t="inlineStr">
        <is>
          <t>src/features/&lt;feature&gt;/ui/</t>
        </is>
      </c>
      <c r="B7" s="445" t="inlineStr">
        <is>
          <t>Screens/components</t>
        </is>
      </c>
      <c r="C7" s="445" t="inlineStr">
        <is>
          <t>MVP</t>
        </is>
      </c>
      <c r="D7" s="445" t="inlineStr">
        <is>
          <t>Mobile-specific UI.</t>
        </is>
      </c>
    </row>
    <row r="8">
      <c r="A8" s="446" t="inlineStr">
        <is>
          <t>src/features/&lt;feature&gt;/hooks/</t>
        </is>
      </c>
      <c r="B8" s="446" t="inlineStr">
        <is>
          <t>Feature hooks</t>
        </is>
      </c>
      <c r="C8" s="446" t="inlineStr">
        <is>
          <t>MVP</t>
        </is>
      </c>
      <c r="D8" s="446" t="inlineStr">
        <is>
          <t>Avoid global hook dumping ground.</t>
        </is>
      </c>
    </row>
    <row r="9">
      <c r="A9" s="445" t="inlineStr">
        <is>
          <t>src/shared/api/</t>
        </is>
      </c>
      <c r="B9" s="445" t="inlineStr">
        <is>
          <t>API client adapter</t>
        </is>
      </c>
      <c r="C9" s="445" t="inlineStr">
        <is>
          <t>MVP</t>
        </is>
      </c>
      <c r="D9" s="445" t="inlineStr">
        <is>
          <t>Generated client wrapper.</t>
        </is>
      </c>
    </row>
    <row r="10">
      <c r="A10" s="446" t="inlineStr">
        <is>
          <t>src/shared/storage/</t>
        </is>
      </c>
      <c r="B10" s="446" t="inlineStr">
        <is>
          <t>Secure/local storage</t>
        </is>
      </c>
      <c r="C10" s="446" t="inlineStr">
        <is>
          <t>MVP</t>
        </is>
      </c>
      <c r="D10" s="446" t="inlineStr">
        <is>
          <t>No secrets in AsyncStorage unless appropriate.</t>
        </is>
      </c>
    </row>
    <row r="11">
      <c r="A11" s="445" t="inlineStr">
        <is>
          <t>src/design-system/</t>
        </is>
      </c>
      <c r="B11" s="445" t="inlineStr">
        <is>
          <t>Tokens and mobile UI primitives</t>
        </is>
      </c>
      <c r="C11" s="445" t="inlineStr">
        <is>
          <t>MVP</t>
        </is>
      </c>
      <c r="D11" s="445" t="inlineStr">
        <is>
          <t>Can consume root design token package.</t>
        </is>
      </c>
    </row>
    <row r="12">
      <c r="A12" s="446" t="inlineStr">
        <is>
          <t>packages/contracts-ts/</t>
        </is>
      </c>
      <c r="B12" s="446" t="inlineStr">
        <is>
          <t>Shared TS API/event types</t>
        </is>
      </c>
      <c r="C12" s="446" t="inlineStr">
        <is>
          <t>MVP</t>
        </is>
      </c>
      <c r="D12" s="446" t="inlineStr">
        <is>
          <t>Reusable by RN + Next.js.</t>
        </is>
      </c>
    </row>
    <row r="13">
      <c r="A13" s="445" t="inlineStr">
        <is>
          <t>packages/validation-ts/</t>
        </is>
      </c>
      <c r="B13" s="445" t="inlineStr">
        <is>
          <t>Shared validation</t>
        </is>
      </c>
      <c r="C13" s="445" t="inlineStr">
        <is>
          <t>MVP</t>
        </is>
      </c>
      <c r="D13" s="445" t="inlineStr">
        <is>
          <t>Only runtime-compatible schemas.</t>
        </is>
      </c>
    </row>
    <row r="14">
      <c r="A14" s="446" t="inlineStr">
        <is>
          <t>android/ ios/</t>
        </is>
      </c>
      <c r="B14" s="446" t="inlineStr">
        <is>
          <t>Native projects/modules</t>
        </is>
      </c>
      <c r="C14" s="446" t="inlineStr">
        <is>
          <t>MVP</t>
        </is>
      </c>
      <c r="D14" s="446" t="inlineStr">
        <is>
          <t>Expo-managed when possible; bare/native module only as needed.</t>
        </is>
      </c>
    </row>
    <row r="15">
      <c r="A15" s="445" t="inlineStr">
        <is>
          <t>e2e/</t>
        </is>
      </c>
      <c r="B15" s="445" t="inlineStr">
        <is>
          <t>Critical mobile flows</t>
        </is>
      </c>
      <c r="C15" s="445" t="inlineStr">
        <is>
          <t>MID</t>
        </is>
      </c>
      <c r="D15" s="445" t="inlineStr">
        <is>
          <t>Cloud/local device runtime.</t>
        </is>
      </c>
    </row>
  </sheetData>
  <mergeCells count="2">
    <mergeCell ref="A1:D1"/>
    <mergeCell ref="A2:D2"/>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0" customWidth="1" style="401" min="1" max="1"/>
    <col width="50" customWidth="1" style="401" min="2" max="2"/>
    <col width="18" customWidth="1" style="401" min="3" max="3"/>
    <col width="58" customWidth="1" style="401" min="4" max="4"/>
  </cols>
  <sheetData>
    <row r="1" ht="30" customHeight="1" s="401">
      <c r="A1" s="561" t="inlineStr">
        <is>
          <t>Native Android Generated App Structure</t>
        </is>
      </c>
      <c r="B1" s="547" t="n"/>
      <c r="C1" s="547" t="n"/>
      <c r="D1" s="547" t="n"/>
    </row>
    <row r="2" ht="36" customHeight="1" s="401">
      <c r="A2" s="562" t="inlineStr">
        <is>
          <t>Kotlin + Jetpack Compose. Use lean and scaled profiles: avoid over-modularizing small apps, but provide feature/core modules and convention plugins for serious products.</t>
        </is>
      </c>
      <c r="B2" s="547" t="n"/>
      <c r="C2" s="547" t="n"/>
      <c r="D2" s="547" t="n"/>
    </row>
    <row r="3" ht="28" customHeight="1" s="401">
      <c r="A3" s="78" t="inlineStr">
        <is>
          <t>Path</t>
        </is>
      </c>
      <c r="B3" s="78" t="inlineStr">
        <is>
          <t>Purpose</t>
        </is>
      </c>
      <c r="C3" s="78" t="inlineStr">
        <is>
          <t>Phase</t>
        </is>
      </c>
      <c r="D3" s="78" t="inlineStr">
        <is>
          <t>Rule</t>
        </is>
      </c>
    </row>
    <row r="4">
      <c r="A4" s="446" t="inlineStr">
        <is>
          <t>app/</t>
        </is>
      </c>
      <c r="B4" s="446" t="inlineStr">
        <is>
          <t>Application entry/composition</t>
        </is>
      </c>
      <c r="C4" s="446" t="inlineStr">
        <is>
          <t>MVP</t>
        </is>
      </c>
      <c r="D4" s="446" t="inlineStr">
        <is>
          <t>Keep app module thin.</t>
        </is>
      </c>
    </row>
    <row r="5">
      <c r="A5" s="445" t="inlineStr">
        <is>
          <t>core/common/</t>
        </is>
      </c>
      <c r="B5" s="445" t="inlineStr">
        <is>
          <t>Shared primitives/helpers</t>
        </is>
      </c>
      <c r="C5" s="445" t="inlineStr">
        <is>
          <t>MVP</t>
        </is>
      </c>
      <c r="D5" s="445" t="inlineStr">
        <is>
          <t>No feature dumping.</t>
        </is>
      </c>
    </row>
    <row r="6">
      <c r="A6" s="446" t="inlineStr">
        <is>
          <t>core/model/</t>
        </is>
      </c>
      <c r="B6" s="446" t="inlineStr">
        <is>
          <t>Cross-feature models</t>
        </is>
      </c>
      <c r="C6" s="446" t="inlineStr">
        <is>
          <t>MVP</t>
        </is>
      </c>
      <c r="D6" s="446" t="inlineStr">
        <is>
          <t>Stable shared models only.</t>
        </is>
      </c>
    </row>
    <row r="7">
      <c r="A7" s="445" t="inlineStr">
        <is>
          <t>core/designsystem/</t>
        </is>
      </c>
      <c r="B7" s="445" t="inlineStr">
        <is>
          <t>Compose theme/components/tokens</t>
        </is>
      </c>
      <c r="C7" s="445" t="inlineStr">
        <is>
          <t>MVP</t>
        </is>
      </c>
      <c r="D7" s="445" t="inlineStr">
        <is>
          <t>Generated tokens + accessibility baseline.</t>
        </is>
      </c>
    </row>
    <row r="8">
      <c r="A8" s="446" t="inlineStr">
        <is>
          <t>core/network/</t>
        </is>
      </c>
      <c r="B8" s="446" t="inlineStr">
        <is>
          <t>HTTP/client/interceptors</t>
        </is>
      </c>
      <c r="C8" s="446" t="inlineStr">
        <is>
          <t>MVP</t>
        </is>
      </c>
      <c r="D8" s="446" t="inlineStr">
        <is>
          <t>No UI/domain feature logic.</t>
        </is>
      </c>
    </row>
    <row r="9">
      <c r="A9" s="445" t="inlineStr">
        <is>
          <t>core/database/</t>
        </is>
      </c>
      <c r="B9" s="445" t="inlineStr">
        <is>
          <t>Database infrastructure</t>
        </is>
      </c>
      <c r="C9" s="445" t="inlineStr">
        <is>
          <t>MVP</t>
        </is>
      </c>
      <c r="D9" s="445" t="inlineStr">
        <is>
          <t>Schema/migrations versioned.</t>
        </is>
      </c>
    </row>
    <row r="10">
      <c r="A10" s="446" t="inlineStr">
        <is>
          <t>core/datastore/</t>
        </is>
      </c>
      <c r="B10" s="446" t="inlineStr">
        <is>
          <t>Preferences/secure data adapters</t>
        </is>
      </c>
      <c r="C10" s="446" t="inlineStr">
        <is>
          <t>MVP</t>
        </is>
      </c>
      <c r="D10" s="446" t="inlineStr">
        <is>
          <t>Use correct secure store.</t>
        </is>
      </c>
    </row>
    <row r="11">
      <c r="A11" s="445" t="inlineStr">
        <is>
          <t>core/analytics/</t>
        </is>
      </c>
      <c r="B11" s="445" t="inlineStr">
        <is>
          <t>Analytics/logging interfaces</t>
        </is>
      </c>
      <c r="C11" s="445" t="inlineStr">
        <is>
          <t>MVP</t>
        </is>
      </c>
      <c r="D11" s="445" t="inlineStr">
        <is>
          <t>Central event schema.</t>
        </is>
      </c>
    </row>
    <row r="12">
      <c r="A12" s="446" t="inlineStr">
        <is>
          <t>feature/&lt;feature&gt;/</t>
        </is>
      </c>
      <c r="B12" s="446" t="inlineStr">
        <is>
          <t>Feature modules</t>
        </is>
      </c>
      <c r="C12" s="446" t="inlineStr">
        <is>
          <t>MID/Scaled</t>
        </is>
      </c>
      <c r="D12" s="446" t="inlineStr">
        <is>
          <t>Use when app/team size justifies module split.</t>
        </is>
      </c>
    </row>
    <row r="13">
      <c r="A13" s="445" t="inlineStr">
        <is>
          <t>feature/&lt;feature&gt;/data/</t>
        </is>
      </c>
      <c r="B13" s="445" t="inlineStr">
        <is>
          <t>Repositories/data sources</t>
        </is>
      </c>
      <c r="C13" s="445" t="inlineStr">
        <is>
          <t>MVP/Scaled</t>
        </is>
      </c>
      <c r="D13" s="445" t="inlineStr">
        <is>
          <t>Inside feature or module.</t>
        </is>
      </c>
    </row>
    <row r="14">
      <c r="A14" s="446" t="inlineStr">
        <is>
          <t>feature/&lt;feature&gt;/domain/</t>
        </is>
      </c>
      <c r="B14" s="446" t="inlineStr">
        <is>
          <t>Use cases/domain</t>
        </is>
      </c>
      <c r="C14" s="446" t="inlineStr">
        <is>
          <t>Complex</t>
        </is>
      </c>
      <c r="D14" s="446" t="inlineStr">
        <is>
          <t>Do not force for trivial CRUD.</t>
        </is>
      </c>
    </row>
    <row r="15">
      <c r="A15" s="445" t="inlineStr">
        <is>
          <t>feature/&lt;feature&gt;/presentation/</t>
        </is>
      </c>
      <c r="B15" s="445" t="inlineStr">
        <is>
          <t>Compose UI/ViewModel/navigation</t>
        </is>
      </c>
      <c r="C15" s="445" t="inlineStr">
        <is>
          <t>MVP</t>
        </is>
      </c>
      <c r="D15" s="445" t="inlineStr">
        <is>
          <t>Unidirectional state flow.</t>
        </is>
      </c>
    </row>
    <row r="16">
      <c r="A16" s="446" t="inlineStr">
        <is>
          <t>build-logic/convention/</t>
        </is>
      </c>
      <c r="B16" s="446" t="inlineStr">
        <is>
          <t>Gradle convention plugins</t>
        </is>
      </c>
      <c r="C16" s="446" t="inlineStr">
        <is>
          <t>MVP/Scaled</t>
        </is>
      </c>
      <c r="D16" s="446" t="inlineStr">
        <is>
          <t>Avoid copied Gradle config.</t>
        </is>
      </c>
    </row>
    <row r="17">
      <c r="A17" s="445" t="inlineStr">
        <is>
          <t>gradle/libs.versions.toml</t>
        </is>
      </c>
      <c r="B17" s="445" t="inlineStr">
        <is>
          <t>Version catalog</t>
        </is>
      </c>
      <c r="C17" s="445" t="inlineStr">
        <is>
          <t>MVP</t>
        </is>
      </c>
      <c r="D17" s="445" t="inlineStr">
        <is>
          <t>Central dependency versions.</t>
        </is>
      </c>
    </row>
  </sheetData>
  <mergeCells count="2">
    <mergeCell ref="A1:D1"/>
    <mergeCell ref="A2:D2"/>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style="401" min="1" max="1"/>
    <col width="50" customWidth="1" style="401" min="2" max="2"/>
    <col width="18" customWidth="1" style="401" min="3" max="3"/>
    <col width="58" customWidth="1" style="401" min="4" max="4"/>
  </cols>
  <sheetData>
    <row r="1" ht="30" customHeight="1" s="401">
      <c r="A1" s="561" t="inlineStr">
        <is>
          <t>Native iOS Generated App Structure</t>
        </is>
      </c>
      <c r="B1" s="547" t="n"/>
      <c r="C1" s="547" t="n"/>
      <c r="D1" s="547" t="n"/>
    </row>
    <row r="2" ht="36" customHeight="1" s="401">
      <c r="A2" s="562" t="inlineStr">
        <is>
          <t>Swift + SwiftUI + Swift concurrency. Start lean; move stable cores/features into local Swift Packages when scale justifies it. Browser preview works anywhere; real build/simulator/signing uses macOS.</t>
        </is>
      </c>
      <c r="B2" s="547" t="n"/>
      <c r="C2" s="547" t="n"/>
      <c r="D2" s="547" t="n"/>
    </row>
    <row r="3" ht="28" customHeight="1" s="401">
      <c r="A3" s="78" t="inlineStr">
        <is>
          <t>Path</t>
        </is>
      </c>
      <c r="B3" s="78" t="inlineStr">
        <is>
          <t>Purpose</t>
        </is>
      </c>
      <c r="C3" s="78" t="inlineStr">
        <is>
          <t>Phase</t>
        </is>
      </c>
      <c r="D3" s="78" t="inlineStr">
        <is>
          <t>Rule</t>
        </is>
      </c>
    </row>
    <row r="4">
      <c r="A4" s="446" t="inlineStr">
        <is>
          <t>App/AppEntry/</t>
        </is>
      </c>
      <c r="B4" s="446" t="inlineStr">
        <is>
          <t>@main app entry and composition</t>
        </is>
      </c>
      <c r="C4" s="446" t="inlineStr">
        <is>
          <t>MVP</t>
        </is>
      </c>
      <c r="D4" s="446" t="inlineStr">
        <is>
          <t>Composition root.</t>
        </is>
      </c>
    </row>
    <row r="5">
      <c r="A5" s="445" t="inlineStr">
        <is>
          <t>App/Navigation/</t>
        </is>
      </c>
      <c r="B5" s="445" t="inlineStr">
        <is>
          <t>Navigation coordinator/router</t>
        </is>
      </c>
      <c r="C5" s="445" t="inlineStr">
        <is>
          <t>MVP</t>
        </is>
      </c>
      <c r="D5" s="445" t="inlineStr">
        <is>
          <t>One navigation pattern.</t>
        </is>
      </c>
    </row>
    <row r="6">
      <c r="A6" s="446" t="inlineStr">
        <is>
          <t>App/DI/</t>
        </is>
      </c>
      <c r="B6" s="446" t="inlineStr">
        <is>
          <t>Dependency composition</t>
        </is>
      </c>
      <c r="C6" s="446" t="inlineStr">
        <is>
          <t>MVP</t>
        </is>
      </c>
      <c r="D6" s="446" t="inlineStr">
        <is>
          <t>Inject interfaces, avoid service locator sprawl.</t>
        </is>
      </c>
    </row>
    <row r="7">
      <c r="A7" s="445" t="inlineStr">
        <is>
          <t>Core/Models/</t>
        </is>
      </c>
      <c r="B7" s="445" t="inlineStr">
        <is>
          <t>Shared stable models</t>
        </is>
      </c>
      <c r="C7" s="445" t="inlineStr">
        <is>
          <t>MVP</t>
        </is>
      </c>
      <c r="D7" s="445" t="inlineStr">
        <is>
          <t>Cross-feature only.</t>
        </is>
      </c>
    </row>
    <row r="8">
      <c r="A8" s="446" t="inlineStr">
        <is>
          <t>Core/Networking/</t>
        </is>
      </c>
      <c r="B8" s="446" t="inlineStr">
        <is>
          <t>HTTP/client/generated API adapter</t>
        </is>
      </c>
      <c r="C8" s="446" t="inlineStr">
        <is>
          <t>MVP</t>
        </is>
      </c>
      <c r="D8" s="446" t="inlineStr">
        <is>
          <t>async/await.</t>
        </is>
      </c>
    </row>
    <row r="9">
      <c r="A9" s="445" t="inlineStr">
        <is>
          <t>Core/Persistence/</t>
        </is>
      </c>
      <c r="B9" s="445" t="inlineStr">
        <is>
          <t>Local persistence</t>
        </is>
      </c>
      <c r="C9" s="445" t="inlineStr">
        <is>
          <t>MVP</t>
        </is>
      </c>
      <c r="D9" s="445" t="inlineStr">
        <is>
          <t>Isolate framework details.</t>
        </is>
      </c>
    </row>
    <row r="10">
      <c r="A10" s="446" t="inlineStr">
        <is>
          <t>Core/Auth/</t>
        </is>
      </c>
      <c r="B10" s="446" t="inlineStr">
        <is>
          <t>Auth/token/keychain abstractions</t>
        </is>
      </c>
      <c r="C10" s="446" t="inlineStr">
        <is>
          <t>MVP</t>
        </is>
      </c>
      <c r="D10" s="446" t="inlineStr">
        <is>
          <t>Sensitive data in Keychain.</t>
        </is>
      </c>
    </row>
    <row r="11">
      <c r="A11" s="445" t="inlineStr">
        <is>
          <t>Core/DesignSystem/</t>
        </is>
      </c>
      <c r="B11" s="445" t="inlineStr">
        <is>
          <t>SwiftUI tokens/components</t>
        </is>
      </c>
      <c r="C11" s="445" t="inlineStr">
        <is>
          <t>MVP</t>
        </is>
      </c>
      <c r="D11" s="445" t="inlineStr">
        <is>
          <t>Canonical tokens.</t>
        </is>
      </c>
    </row>
    <row r="12">
      <c r="A12" s="446" t="inlineStr">
        <is>
          <t>Features/&lt;feature&gt;/Data/</t>
        </is>
      </c>
      <c r="B12" s="446" t="inlineStr">
        <is>
          <t>Repositories/data sources</t>
        </is>
      </c>
      <c r="C12" s="446" t="inlineStr">
        <is>
          <t>MVP</t>
        </is>
      </c>
      <c r="D12" s="446" t="inlineStr">
        <is>
          <t>Feature-owned.</t>
        </is>
      </c>
    </row>
    <row r="13">
      <c r="A13" s="445" t="inlineStr">
        <is>
          <t>Features/&lt;feature&gt;/Domain/</t>
        </is>
      </c>
      <c r="B13" s="445" t="inlineStr">
        <is>
          <t>Domain/use cases</t>
        </is>
      </c>
      <c r="C13" s="445" t="inlineStr">
        <is>
          <t>Complex</t>
        </is>
      </c>
      <c r="D13" s="445" t="inlineStr">
        <is>
          <t>Optional in lean template.</t>
        </is>
      </c>
    </row>
    <row r="14">
      <c r="A14" s="446" t="inlineStr">
        <is>
          <t>Features/&lt;feature&gt;/Presentation/</t>
        </is>
      </c>
      <c r="B14" s="446" t="inlineStr">
        <is>
          <t>SwiftUI views/state</t>
        </is>
      </c>
      <c r="C14" s="446" t="inlineStr">
        <is>
          <t>MVP</t>
        </is>
      </c>
      <c r="D14" s="446" t="inlineStr">
        <is>
          <t>MainActor/actor rules respected.</t>
        </is>
      </c>
    </row>
    <row r="15">
      <c r="A15" s="445" t="inlineStr">
        <is>
          <t>Packages/&lt;module&gt;/</t>
        </is>
      </c>
      <c r="B15" s="445" t="inlineStr">
        <is>
          <t>Local Swift packages</t>
        </is>
      </c>
      <c r="C15" s="445" t="inlineStr">
        <is>
          <t>MID/Scaled</t>
        </is>
      </c>
      <c r="D15" s="445" t="inlineStr">
        <is>
          <t>Use when modularity/build/team size benefits.</t>
        </is>
      </c>
    </row>
    <row r="16">
      <c r="A16" s="446" t="inlineStr">
        <is>
          <t>Tests/ UITests/</t>
        </is>
      </c>
      <c r="B16" s="446" t="inlineStr">
        <is>
          <t>Unit/UI tests</t>
        </is>
      </c>
      <c r="C16" s="446" t="inlineStr">
        <is>
          <t>MVP/MID</t>
        </is>
      </c>
      <c r="D16" s="446" t="inlineStr">
        <is>
          <t>Real macOS toolchain for compile/run.</t>
        </is>
      </c>
    </row>
  </sheetData>
  <mergeCells count="2">
    <mergeCell ref="A1:D1"/>
    <mergeCell ref="A2:D2"/>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style="401" min="1" max="1"/>
    <col width="52" customWidth="1" style="401" min="2" max="2"/>
    <col width="18" customWidth="1" style="401" min="3" max="3"/>
    <col width="58" customWidth="1" style="401" min="4" max="4"/>
  </cols>
  <sheetData>
    <row r="1" ht="30" customHeight="1" s="401">
      <c r="A1" s="561" t="inlineStr">
        <is>
          <t>Next.js Public Web Structure</t>
        </is>
      </c>
      <c r="B1" s="547" t="n"/>
      <c r="C1" s="547" t="n"/>
      <c r="D1" s="547" t="n"/>
    </row>
    <row r="2" ht="36" customHeight="1" s="401">
      <c r="A2" s="562" t="inlineStr">
        <is>
          <t>Public web is optimized for browser UX, SEO, accessibility and performance. It may share TS contracts/domain packages with React Native, but it is not forced to use mobile UI code.</t>
        </is>
      </c>
      <c r="B2" s="547" t="n"/>
      <c r="C2" s="547" t="n"/>
      <c r="D2" s="547" t="n"/>
    </row>
    <row r="3" ht="28" customHeight="1" s="401">
      <c r="A3" s="78" t="inlineStr">
        <is>
          <t>Path</t>
        </is>
      </c>
      <c r="B3" s="78" t="inlineStr">
        <is>
          <t>Purpose</t>
        </is>
      </c>
      <c r="C3" s="78" t="inlineStr">
        <is>
          <t>Phase</t>
        </is>
      </c>
      <c r="D3" s="78" t="inlineStr">
        <is>
          <t>Rule</t>
        </is>
      </c>
    </row>
    <row r="4">
      <c r="A4" s="446" t="inlineStr">
        <is>
          <t>src/app/</t>
        </is>
      </c>
      <c r="B4" s="446" t="inlineStr">
        <is>
          <t>Next.js routes/layouts/server components</t>
        </is>
      </c>
      <c r="C4" s="446" t="inlineStr">
        <is>
          <t>MVP</t>
        </is>
      </c>
      <c r="D4" s="446" t="inlineStr">
        <is>
          <t>App Router default.</t>
        </is>
      </c>
    </row>
    <row r="5">
      <c r="A5" s="445" t="inlineStr">
        <is>
          <t>src/features/&lt;feature&gt;/</t>
        </is>
      </c>
      <c r="B5" s="445" t="inlineStr">
        <is>
          <t>Feature-specific UI/state/actions</t>
        </is>
      </c>
      <c r="C5" s="445" t="inlineStr">
        <is>
          <t>MVP</t>
        </is>
      </c>
      <c r="D5" s="445" t="inlineStr">
        <is>
          <t>Feature-first.</t>
        </is>
      </c>
    </row>
    <row r="6">
      <c r="A6" s="446" t="inlineStr">
        <is>
          <t>src/components/</t>
        </is>
      </c>
      <c r="B6" s="446" t="inlineStr">
        <is>
          <t>Cross-feature web components</t>
        </is>
      </c>
      <c r="C6" s="446" t="inlineStr">
        <is>
          <t>MVP</t>
        </is>
      </c>
      <c r="D6" s="446" t="inlineStr">
        <is>
          <t>Keep generic and accessible.</t>
        </is>
      </c>
    </row>
    <row r="7">
      <c r="A7" s="445" t="inlineStr">
        <is>
          <t>src/design-system/</t>
        </is>
      </c>
      <c r="B7" s="445" t="inlineStr">
        <is>
          <t>Tokens/web primitives</t>
        </is>
      </c>
      <c r="C7" s="445" t="inlineStr">
        <is>
          <t>MVP</t>
        </is>
      </c>
      <c r="D7" s="445" t="inlineStr">
        <is>
          <t>Use canonical tokens.</t>
        </is>
      </c>
    </row>
    <row r="8">
      <c r="A8" s="446" t="inlineStr">
        <is>
          <t>src/lib/api/</t>
        </is>
      </c>
      <c r="B8" s="446" t="inlineStr">
        <is>
          <t>Generated client/wrappers</t>
        </is>
      </c>
      <c r="C8" s="446" t="inlineStr">
        <is>
          <t>MVP</t>
        </is>
      </c>
      <c r="D8" s="446" t="inlineStr">
        <is>
          <t>Server/client-safe boundary.</t>
        </is>
      </c>
    </row>
    <row r="9">
      <c r="A9" s="445" t="inlineStr">
        <is>
          <t>src/lib/auth/</t>
        </is>
      </c>
      <c r="B9" s="445" t="inlineStr">
        <is>
          <t>Auth/session helpers</t>
        </is>
      </c>
      <c r="C9" s="445" t="inlineStr">
        <is>
          <t>MVP</t>
        </is>
      </c>
      <c r="D9" s="445" t="inlineStr">
        <is>
          <t>Never leak server secrets to client bundle.</t>
        </is>
      </c>
    </row>
    <row r="10">
      <c r="A10" s="446" t="inlineStr">
        <is>
          <t>src/lib/telemetry/</t>
        </is>
      </c>
      <c r="B10" s="446" t="inlineStr">
        <is>
          <t>Analytics/logging</t>
        </is>
      </c>
      <c r="C10" s="446" t="inlineStr">
        <is>
          <t>MVP</t>
        </is>
      </c>
      <c r="D10" s="446" t="inlineStr">
        <is>
          <t>Web event schema.</t>
        </is>
      </c>
    </row>
    <row r="11">
      <c r="A11" s="445" t="inlineStr">
        <is>
          <t>src/lib/validation/</t>
        </is>
      </c>
      <c r="B11" s="445" t="inlineStr">
        <is>
          <t>Shared TS schemas where safe</t>
        </is>
      </c>
      <c r="C11" s="445" t="inlineStr">
        <is>
          <t>MVP</t>
        </is>
      </c>
      <c r="D11" s="445" t="inlineStr">
        <is>
          <t>Reuse with RN when compatible.</t>
        </is>
      </c>
    </row>
    <row r="12">
      <c r="A12" s="446" t="inlineStr">
        <is>
          <t>tests/</t>
        </is>
      </c>
      <c r="B12" s="446" t="inlineStr">
        <is>
          <t>Unit/component tests</t>
        </is>
      </c>
      <c r="C12" s="446" t="inlineStr">
        <is>
          <t>MVP</t>
        </is>
      </c>
      <c r="D12" s="446" t="inlineStr">
        <is>
          <t>Impact-selected.</t>
        </is>
      </c>
    </row>
    <row r="13">
      <c r="A13" s="445" t="inlineStr">
        <is>
          <t>e2e/</t>
        </is>
      </c>
      <c r="B13" s="445" t="inlineStr">
        <is>
          <t>Critical browser flows</t>
        </is>
      </c>
      <c r="C13" s="445" t="inlineStr">
        <is>
          <t>MVP/MID</t>
        </is>
      </c>
      <c r="D13" s="445" t="inlineStr">
        <is>
          <t>Accessibility + visual checks.</t>
        </is>
      </c>
    </row>
  </sheetData>
  <mergeCells count="2">
    <mergeCell ref="A1:D1"/>
    <mergeCell ref="A2:D2"/>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0" customWidth="1" style="401" min="1" max="1"/>
    <col width="52" customWidth="1" style="401" min="2" max="2"/>
    <col width="18" customWidth="1" style="401" min="3" max="3"/>
    <col width="58" customWidth="1" style="401" min="4" max="4"/>
  </cols>
  <sheetData>
    <row r="1" ht="30" customHeight="1" s="401">
      <c r="A1" s="561" t="inlineStr">
        <is>
          <t>Admin / Operations Panel Structure</t>
        </is>
      </c>
      <c r="B1" s="547" t="n"/>
      <c r="C1" s="547" t="n"/>
      <c r="D1" s="547" t="n"/>
    </row>
    <row r="2" ht="36" customHeight="1" s="401">
      <c r="A2" s="562" t="inlineStr">
        <is>
          <t>Admin is a separate product target with different UX: desktop/tablet, RBAC, high-density data, audit trails and controlled destructive actions. Keep Next.js as the default.</t>
        </is>
      </c>
      <c r="B2" s="547" t="n"/>
      <c r="C2" s="547" t="n"/>
      <c r="D2" s="547" t="n"/>
    </row>
    <row r="3" ht="28" customHeight="1" s="401">
      <c r="A3" s="78" t="inlineStr">
        <is>
          <t>Path</t>
        </is>
      </c>
      <c r="B3" s="78" t="inlineStr">
        <is>
          <t>Purpose</t>
        </is>
      </c>
      <c r="C3" s="78" t="inlineStr">
        <is>
          <t>Phase</t>
        </is>
      </c>
      <c r="D3" s="78" t="inlineStr">
        <is>
          <t>Rule</t>
        </is>
      </c>
    </row>
    <row r="4">
      <c r="A4" s="446" t="inlineStr">
        <is>
          <t>src/app/</t>
        </is>
      </c>
      <c r="B4" s="446" t="inlineStr">
        <is>
          <t>Admin routes/layout</t>
        </is>
      </c>
      <c r="C4" s="446" t="inlineStr">
        <is>
          <t>MVP</t>
        </is>
      </c>
      <c r="D4" s="446" t="inlineStr">
        <is>
          <t>Authenticated desktop-first shell.</t>
        </is>
      </c>
    </row>
    <row r="5">
      <c r="A5" s="445" t="inlineStr">
        <is>
          <t>src/modules/users/</t>
        </is>
      </c>
      <c r="B5" s="445" t="inlineStr">
        <is>
          <t>User operations</t>
        </is>
      </c>
      <c r="C5" s="445" t="inlineStr">
        <is>
          <t>MVP</t>
        </is>
      </c>
      <c r="D5" s="445" t="inlineStr">
        <is>
          <t>Module-by-domain.</t>
        </is>
      </c>
    </row>
    <row r="6">
      <c r="A6" s="446" t="inlineStr">
        <is>
          <t>src/modules/orders/</t>
        </is>
      </c>
      <c r="B6" s="446" t="inlineStr">
        <is>
          <t>Order/booking operations</t>
        </is>
      </c>
      <c r="C6" s="446" t="inlineStr">
        <is>
          <t>MVP</t>
        </is>
      </c>
      <c r="D6" s="446" t="inlineStr">
        <is>
          <t>Server-side filters/pagination.</t>
        </is>
      </c>
    </row>
    <row r="7">
      <c r="A7" s="445" t="inlineStr">
        <is>
          <t>src/modules/payments/</t>
        </is>
      </c>
      <c r="B7" s="445" t="inlineStr">
        <is>
          <t>Payment operations</t>
        </is>
      </c>
      <c r="C7" s="445" t="inlineStr">
        <is>
          <t>MVP</t>
        </is>
      </c>
      <c r="D7" s="445" t="inlineStr">
        <is>
          <t>Sensitive actions require permission/audit.</t>
        </is>
      </c>
    </row>
    <row r="8">
      <c r="A8" s="446" t="inlineStr">
        <is>
          <t>src/modules/reports/</t>
        </is>
      </c>
      <c r="B8" s="446" t="inlineStr">
        <is>
          <t>Reporting</t>
        </is>
      </c>
      <c r="C8" s="446" t="inlineStr">
        <is>
          <t>MID</t>
        </is>
      </c>
      <c r="D8" s="446" t="inlineStr">
        <is>
          <t>Async export for large data.</t>
        </is>
      </c>
    </row>
    <row r="9">
      <c r="A9" s="445" t="inlineStr">
        <is>
          <t>src/components/data-grid/</t>
        </is>
      </c>
      <c r="B9" s="445" t="inlineStr">
        <is>
          <t>High-density data UI</t>
        </is>
      </c>
      <c r="C9" s="445" t="inlineStr">
        <is>
          <t>MVP</t>
        </is>
      </c>
      <c r="D9" s="445" t="inlineStr">
        <is>
          <t>Virtualization/server pagination where needed.</t>
        </is>
      </c>
    </row>
    <row r="10">
      <c r="A10" s="446" t="inlineStr">
        <is>
          <t>src/components/forms/</t>
        </is>
      </c>
      <c r="B10" s="446" t="inlineStr">
        <is>
          <t>Validated admin forms</t>
        </is>
      </c>
      <c r="C10" s="446" t="inlineStr">
        <is>
          <t>MVP</t>
        </is>
      </c>
      <c r="D10" s="446" t="inlineStr">
        <is>
          <t>Confirmation for destructive actions.</t>
        </is>
      </c>
    </row>
    <row r="11">
      <c r="A11" s="445" t="inlineStr">
        <is>
          <t>src/rbac/</t>
        </is>
      </c>
      <c r="B11" s="445" t="inlineStr">
        <is>
          <t>Permission rules/adapters</t>
        </is>
      </c>
      <c r="C11" s="445" t="inlineStr">
        <is>
          <t>MVP</t>
        </is>
      </c>
      <c r="D11" s="445" t="inlineStr">
        <is>
          <t>Generated from central policy.</t>
        </is>
      </c>
    </row>
    <row r="12">
      <c r="A12" s="446" t="inlineStr">
        <is>
          <t>src/audit/</t>
        </is>
      </c>
      <c r="B12" s="446" t="inlineStr">
        <is>
          <t>Audit UI/integration</t>
        </is>
      </c>
      <c r="C12" s="446" t="inlineStr">
        <is>
          <t>MVP/MID</t>
        </is>
      </c>
      <c r="D12" s="446" t="inlineStr">
        <is>
          <t>Sensitive operations traceable.</t>
        </is>
      </c>
    </row>
    <row r="13">
      <c r="A13" s="445" t="inlineStr">
        <is>
          <t>src/lib/api/</t>
        </is>
      </c>
      <c r="B13" s="445" t="inlineStr">
        <is>
          <t>Admin API client</t>
        </is>
      </c>
      <c r="C13" s="445" t="inlineStr">
        <is>
          <t>MVP</t>
        </is>
      </c>
      <c r="D13" s="445" t="inlineStr">
        <is>
          <t>Separate scopes from public client.</t>
        </is>
      </c>
    </row>
    <row r="14">
      <c r="A14" s="446" t="inlineStr">
        <is>
          <t>tests/ e2e/</t>
        </is>
      </c>
      <c r="B14" s="446" t="inlineStr">
        <is>
          <t>Permission and operations tests</t>
        </is>
      </c>
      <c r="C14" s="446" t="inlineStr">
        <is>
          <t>MVP/MID</t>
        </is>
      </c>
      <c r="D14" s="446" t="inlineStr">
        <is>
          <t>Must cover unauthorized access paths.</t>
        </is>
      </c>
    </row>
  </sheetData>
  <mergeCells count="2">
    <mergeCell ref="A1:D1"/>
    <mergeCell ref="A2:D2"/>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4" customWidth="1" style="401" min="1" max="1"/>
    <col width="42" customWidth="1" style="401" min="2" max="2"/>
    <col width="42" customWidth="1" style="401" min="3" max="3"/>
    <col width="18" customWidth="1" style="401" min="4" max="4"/>
    <col width="58" customWidth="1" style="401" min="5" max="5"/>
  </cols>
  <sheetData>
    <row r="1" ht="30" customHeight="1" s="401">
      <c r="A1" s="561" t="inlineStr">
        <is>
          <t>Backend Project Structures</t>
        </is>
      </c>
      <c r="B1" s="547" t="n"/>
      <c r="C1" s="547" t="n"/>
      <c r="D1" s="547" t="n"/>
      <c r="E1" s="547" t="n"/>
    </row>
    <row r="2" ht="36" customHeight="1" s="401">
      <c r="A2" s="562" t="inlineStr">
        <is>
          <t>Generated backend defaults to Go or Python. Keep domain logic separated from transport/infrastructure. Node/NestJS is optional only when TypeScript ecosystem/team value is material.</t>
        </is>
      </c>
      <c r="B2" s="547" t="n"/>
      <c r="C2" s="547" t="n"/>
      <c r="D2" s="547" t="n"/>
      <c r="E2" s="547" t="n"/>
    </row>
    <row r="3" ht="28" customHeight="1" s="401">
      <c r="A3" s="78" t="inlineStr">
        <is>
          <t>Stack</t>
        </is>
      </c>
      <c r="B3" s="78" t="inlineStr">
        <is>
          <t>Path</t>
        </is>
      </c>
      <c r="C3" s="78" t="inlineStr">
        <is>
          <t>Purpose</t>
        </is>
      </c>
      <c r="D3" s="78" t="inlineStr">
        <is>
          <t>Phase</t>
        </is>
      </c>
      <c r="E3" s="78" t="inlineStr">
        <is>
          <t>Rule</t>
        </is>
      </c>
    </row>
    <row r="4">
      <c r="A4" s="446" t="inlineStr">
        <is>
          <t>Go</t>
        </is>
      </c>
      <c r="B4" s="446" t="inlineStr">
        <is>
          <t>cmd/api/main.go</t>
        </is>
      </c>
      <c r="C4" s="446" t="inlineStr">
        <is>
          <t>Entry point</t>
        </is>
      </c>
      <c r="D4" s="446" t="inlineStr">
        <is>
          <t>MVP</t>
        </is>
      </c>
      <c r="E4" s="446" t="inlineStr">
        <is>
          <t>Thin main; composition only.</t>
        </is>
      </c>
    </row>
    <row r="5">
      <c r="A5" s="445" t="inlineStr">
        <is>
          <t>Go</t>
        </is>
      </c>
      <c r="B5" s="445" t="inlineStr">
        <is>
          <t>internal/domain/&lt;domain&gt;/</t>
        </is>
      </c>
      <c r="C5" s="445" t="inlineStr">
        <is>
          <t>Domain entities/rules</t>
        </is>
      </c>
      <c r="D5" s="445" t="inlineStr">
        <is>
          <t>MVP/Complex</t>
        </is>
      </c>
      <c r="E5" s="445" t="inlineStr">
        <is>
          <t>No HTTP/database dependency.</t>
        </is>
      </c>
    </row>
    <row r="6">
      <c r="A6" s="446" t="inlineStr">
        <is>
          <t>Go</t>
        </is>
      </c>
      <c r="B6" s="446" t="inlineStr">
        <is>
          <t>internal/application/</t>
        </is>
      </c>
      <c r="C6" s="446" t="inlineStr">
        <is>
          <t>Commands/queries/use cases</t>
        </is>
      </c>
      <c r="D6" s="446" t="inlineStr">
        <is>
          <t>MVP/Complex</t>
        </is>
      </c>
      <c r="E6" s="446" t="inlineStr">
        <is>
          <t>Application orchestration.</t>
        </is>
      </c>
    </row>
    <row r="7">
      <c r="A7" s="445" t="inlineStr">
        <is>
          <t>Go</t>
        </is>
      </c>
      <c r="B7" s="445" t="inlineStr">
        <is>
          <t>internal/adapters/http/</t>
        </is>
      </c>
      <c r="C7" s="445" t="inlineStr">
        <is>
          <t>HTTP transport</t>
        </is>
      </c>
      <c r="D7" s="445" t="inlineStr">
        <is>
          <t>MVP</t>
        </is>
      </c>
      <c r="E7" s="445" t="inlineStr">
        <is>
          <t>Validation/auth at boundary.</t>
        </is>
      </c>
    </row>
    <row r="8">
      <c r="A8" s="446" t="inlineStr">
        <is>
          <t>Go</t>
        </is>
      </c>
      <c r="B8" s="446" t="inlineStr">
        <is>
          <t>internal/adapters/postgres/</t>
        </is>
      </c>
      <c r="C8" s="446" t="inlineStr">
        <is>
          <t>Persistence adapter</t>
        </is>
      </c>
      <c r="D8" s="446" t="inlineStr">
        <is>
          <t>MVP</t>
        </is>
      </c>
      <c r="E8" s="446" t="inlineStr">
        <is>
          <t>Explicit transactions.</t>
        </is>
      </c>
    </row>
    <row r="9">
      <c r="A9" s="445" t="inlineStr">
        <is>
          <t>Go</t>
        </is>
      </c>
      <c r="B9" s="445" t="inlineStr">
        <is>
          <t>internal/adapters/messaging/</t>
        </is>
      </c>
      <c r="C9" s="445" t="inlineStr">
        <is>
          <t>Events/jobs adapter</t>
        </is>
      </c>
      <c r="D9" s="445" t="inlineStr">
        <is>
          <t>When needed</t>
        </is>
      </c>
      <c r="E9" s="445" t="inlineStr">
        <is>
          <t>Do not create queue if workload does not need it.</t>
        </is>
      </c>
    </row>
    <row r="10">
      <c r="A10" s="446" t="inlineStr">
        <is>
          <t>Go</t>
        </is>
      </c>
      <c r="B10" s="446" t="inlineStr">
        <is>
          <t>internal/platform/observability/</t>
        </is>
      </c>
      <c r="C10" s="446" t="inlineStr">
        <is>
          <t>Logs/traces/metrics</t>
        </is>
      </c>
      <c r="D10" s="446" t="inlineStr">
        <is>
          <t>MVP</t>
        </is>
      </c>
      <c r="E10" s="446" t="inlineStr">
        <is>
          <t>Structured from day one.</t>
        </is>
      </c>
    </row>
    <row r="11">
      <c r="A11" s="445" t="inlineStr">
        <is>
          <t>Python</t>
        </is>
      </c>
      <c r="B11" s="445" t="inlineStr">
        <is>
          <t>app/domain/</t>
        </is>
      </c>
      <c r="C11" s="445" t="inlineStr">
        <is>
          <t>Domain rules</t>
        </is>
      </c>
      <c r="D11" s="445" t="inlineStr">
        <is>
          <t>MVP/Complex</t>
        </is>
      </c>
      <c r="E11" s="445" t="inlineStr">
        <is>
          <t>No route-handler business logic.</t>
        </is>
      </c>
    </row>
    <row r="12">
      <c r="A12" s="446" t="inlineStr">
        <is>
          <t>Python</t>
        </is>
      </c>
      <c r="B12" s="446" t="inlineStr">
        <is>
          <t>app/application/</t>
        </is>
      </c>
      <c r="C12" s="446" t="inlineStr">
        <is>
          <t>Use cases</t>
        </is>
      </c>
      <c r="D12" s="446" t="inlineStr">
        <is>
          <t>MVP/Complex</t>
        </is>
      </c>
      <c r="E12" s="446" t="inlineStr">
        <is>
          <t>Typed interfaces.</t>
        </is>
      </c>
    </row>
    <row r="13">
      <c r="A13" s="445" t="inlineStr">
        <is>
          <t>Python</t>
        </is>
      </c>
      <c r="B13" s="445" t="inlineStr">
        <is>
          <t>app/api/</t>
        </is>
      </c>
      <c r="C13" s="445" t="inlineStr">
        <is>
          <t>FastAPI/HTTP routes</t>
        </is>
      </c>
      <c r="D13" s="445" t="inlineStr">
        <is>
          <t>MVP</t>
        </is>
      </c>
      <c r="E13" s="445" t="inlineStr">
        <is>
          <t>Thin handlers.</t>
        </is>
      </c>
    </row>
    <row r="14">
      <c r="A14" s="446" t="inlineStr">
        <is>
          <t>Python</t>
        </is>
      </c>
      <c r="B14" s="446" t="inlineStr">
        <is>
          <t>app/infrastructure/db/</t>
        </is>
      </c>
      <c r="C14" s="446" t="inlineStr">
        <is>
          <t>DB adapter</t>
        </is>
      </c>
      <c r="D14" s="446" t="inlineStr">
        <is>
          <t>MVP</t>
        </is>
      </c>
      <c r="E14" s="446" t="inlineStr">
        <is>
          <t>Migrations/versioning.</t>
        </is>
      </c>
    </row>
    <row r="15">
      <c r="A15" s="445" t="inlineStr">
        <is>
          <t>Python</t>
        </is>
      </c>
      <c r="B15" s="445" t="inlineStr">
        <is>
          <t>app/infrastructure/external/</t>
        </is>
      </c>
      <c r="C15" s="445" t="inlineStr">
        <is>
          <t>External integrations</t>
        </is>
      </c>
      <c r="D15" s="445" t="inlineStr">
        <is>
          <t>MVP</t>
        </is>
      </c>
      <c r="E15" s="445" t="inlineStr">
        <is>
          <t>Timeout/retry/idempotency.</t>
        </is>
      </c>
    </row>
    <row r="16">
      <c r="A16" s="446" t="inlineStr">
        <is>
          <t>Both</t>
        </is>
      </c>
      <c r="B16" s="446" t="inlineStr">
        <is>
          <t>migrations/</t>
        </is>
      </c>
      <c r="C16" s="446" t="inlineStr">
        <is>
          <t>Schema changes</t>
        </is>
      </c>
      <c r="D16" s="446" t="inlineStr">
        <is>
          <t>MVP</t>
        </is>
      </c>
      <c r="E16" s="446" t="inlineStr">
        <is>
          <t>Forward + rollback/compatibility plan.</t>
        </is>
      </c>
    </row>
    <row r="17">
      <c r="A17" s="445" t="inlineStr">
        <is>
          <t>Both</t>
        </is>
      </c>
      <c r="B17" s="445" t="inlineStr">
        <is>
          <t>tests/</t>
        </is>
      </c>
      <c r="C17" s="445" t="inlineStr">
        <is>
          <t>Unit/integration/contract tests</t>
        </is>
      </c>
      <c r="D17" s="445" t="inlineStr">
        <is>
          <t>MVP</t>
        </is>
      </c>
      <c r="E17" s="445" t="inlineStr">
        <is>
          <t>Critical mutations/idempotency covered.</t>
        </is>
      </c>
    </row>
  </sheetData>
  <mergeCells count="2">
    <mergeCell ref="A2:E2"/>
    <mergeCell ref="A1:E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6" customWidth="1" style="401" min="1" max="1"/>
    <col width="34" customWidth="1" style="401" min="2" max="2"/>
    <col width="30" customWidth="1" style="401" min="3" max="3"/>
    <col width="18" customWidth="1" style="401" min="4" max="4"/>
    <col width="62" customWidth="1" style="401" min="5" max="5"/>
  </cols>
  <sheetData>
    <row r="1" ht="30" customHeight="1" s="401">
      <c r="A1" s="561" t="inlineStr">
        <is>
          <t>CI/CD Standard</t>
        </is>
      </c>
      <c r="B1" s="547" t="n"/>
      <c r="C1" s="547" t="n"/>
      <c r="D1" s="547" t="n"/>
      <c r="E1" s="547" t="n"/>
    </row>
    <row r="2" ht="36" customHeight="1" s="401">
      <c r="A2" s="562" t="inlineStr">
        <is>
          <t>One predictable pipeline for every generated project, with framework-specific adapters. Build only affected targets when risk policy allows; always use the real toolchain before production.</t>
        </is>
      </c>
      <c r="B2" s="547" t="n"/>
      <c r="C2" s="547" t="n"/>
      <c r="D2" s="547" t="n"/>
      <c r="E2" s="547" t="n"/>
    </row>
    <row r="3" ht="28" customHeight="1" s="401">
      <c r="A3" s="78" t="inlineStr">
        <is>
          <t>Stage</t>
        </is>
      </c>
      <c r="B3" s="78" t="inlineStr">
        <is>
          <t>Gate</t>
        </is>
      </c>
      <c r="C3" s="78" t="inlineStr">
        <is>
          <t>Targets</t>
        </is>
      </c>
      <c r="D3" s="78" t="inlineStr">
        <is>
          <t>Phase</t>
        </is>
      </c>
      <c r="E3" s="78" t="inlineStr">
        <is>
          <t>Rule</t>
        </is>
      </c>
    </row>
    <row r="4">
      <c r="A4" s="446" t="inlineStr">
        <is>
          <t>PR</t>
        </is>
      </c>
      <c r="B4" s="446" t="inlineStr">
        <is>
          <t>IR/policy validation</t>
        </is>
      </c>
      <c r="C4" s="446" t="inlineStr">
        <is>
          <t>All</t>
        </is>
      </c>
      <c r="D4" s="446" t="inlineStr">
        <is>
          <t>MVP</t>
        </is>
      </c>
      <c r="E4" s="446" t="inlineStr">
        <is>
          <t>Fail if framework, protected paths or dependency rules are violated.</t>
        </is>
      </c>
    </row>
    <row r="5">
      <c r="A5" s="445" t="inlineStr">
        <is>
          <t>PR</t>
        </is>
      </c>
      <c r="B5" s="445" t="inlineStr">
        <is>
          <t>Format + lint</t>
        </is>
      </c>
      <c r="C5" s="445" t="inlineStr">
        <is>
          <t>All</t>
        </is>
      </c>
      <c r="D5" s="445" t="inlineStr">
        <is>
          <t>MVP</t>
        </is>
      </c>
      <c r="E5" s="445" t="inlineStr">
        <is>
          <t>Fast first gate.</t>
        </is>
      </c>
    </row>
    <row r="6">
      <c r="A6" s="446" t="inlineStr">
        <is>
          <t>PR</t>
        </is>
      </c>
      <c r="B6" s="446" t="inlineStr">
        <is>
          <t>Static analysis</t>
        </is>
      </c>
      <c r="C6" s="446" t="inlineStr">
        <is>
          <t>All</t>
        </is>
      </c>
      <c r="D6" s="446" t="inlineStr">
        <is>
          <t>MVP</t>
        </is>
      </c>
      <c r="E6" s="446" t="inlineStr">
        <is>
          <t>Framework-specific.</t>
        </is>
      </c>
    </row>
    <row r="7">
      <c r="A7" s="445" t="inlineStr">
        <is>
          <t>PR</t>
        </is>
      </c>
      <c r="B7" s="445" t="inlineStr">
        <is>
          <t>Unit tests</t>
        </is>
      </c>
      <c r="C7" s="445" t="inlineStr">
        <is>
          <t>Affected targets</t>
        </is>
      </c>
      <c r="D7" s="445" t="inlineStr">
        <is>
          <t>MVP</t>
        </is>
      </c>
      <c r="E7" s="445" t="inlineStr">
        <is>
          <t>Selected from change impact graph.</t>
        </is>
      </c>
    </row>
    <row r="8">
      <c r="A8" s="446" t="inlineStr">
        <is>
          <t>PR</t>
        </is>
      </c>
      <c r="B8" s="446" t="inlineStr">
        <is>
          <t>Contract tests</t>
        </is>
      </c>
      <c r="C8" s="446" t="inlineStr">
        <is>
          <t>Backend + consumers</t>
        </is>
      </c>
      <c r="D8" s="446" t="inlineStr">
        <is>
          <t>MVP</t>
        </is>
      </c>
      <c r="E8" s="446" t="inlineStr">
        <is>
          <t>Required for API/event changes.</t>
        </is>
      </c>
    </row>
    <row r="9">
      <c r="A9" s="445" t="inlineStr">
        <is>
          <t>PR</t>
        </is>
      </c>
      <c r="B9" s="445" t="inlineStr">
        <is>
          <t>Build affected targets</t>
        </is>
      </c>
      <c r="C9" s="445" t="inlineStr">
        <is>
          <t>Flutter/RN/Android/Web/Backend</t>
        </is>
      </c>
      <c r="D9" s="445" t="inlineStr">
        <is>
          <t>MVP</t>
        </is>
      </c>
      <c r="E9" s="445" t="inlineStr">
        <is>
          <t>Real iOS compile verification uses macOS.</t>
        </is>
      </c>
    </row>
    <row r="10">
      <c r="A10" s="446" t="inlineStr">
        <is>
          <t>PR</t>
        </is>
      </c>
      <c r="B10" s="446" t="inlineStr">
        <is>
          <t>Security/dependency scan</t>
        </is>
      </c>
      <c r="C10" s="446" t="inlineStr">
        <is>
          <t>All</t>
        </is>
      </c>
      <c r="D10" s="446" t="inlineStr">
        <is>
          <t>MVP</t>
        </is>
      </c>
      <c r="E10" s="446" t="inlineStr">
        <is>
          <t>Block critical findings.</t>
        </is>
      </c>
    </row>
    <row r="11">
      <c r="A11" s="445" t="inlineStr">
        <is>
          <t>PR</t>
        </is>
      </c>
      <c r="B11" s="445" t="inlineStr">
        <is>
          <t>E2E + visual tests</t>
        </is>
      </c>
      <c r="C11" s="445" t="inlineStr">
        <is>
          <t>Risk-selected</t>
        </is>
      </c>
      <c r="D11" s="445" t="inlineStr">
        <is>
          <t>MVP/MID</t>
        </is>
      </c>
      <c r="E11" s="445" t="inlineStr">
        <is>
          <t>Not every change needs full suite.</t>
        </is>
      </c>
    </row>
    <row r="12">
      <c r="A12" s="446" t="inlineStr">
        <is>
          <t>PR</t>
        </is>
      </c>
      <c r="B12" s="446" t="inlineStr">
        <is>
          <t>AI review + blast radius</t>
        </is>
      </c>
      <c r="C12" s="446" t="inlineStr">
        <is>
          <t>All</t>
        </is>
      </c>
      <c r="D12" s="446" t="inlineStr">
        <is>
          <t>MVP</t>
        </is>
      </c>
      <c r="E12" s="446" t="inlineStr">
        <is>
          <t>Reject unrelated changes.</t>
        </is>
      </c>
    </row>
    <row r="13">
      <c r="A13" s="445" t="inlineStr">
        <is>
          <t>Merge</t>
        </is>
      </c>
      <c r="B13" s="445" t="inlineStr">
        <is>
          <t>Immutable artifact build</t>
        </is>
      </c>
      <c r="C13" s="445" t="inlineStr">
        <is>
          <t>All deployables</t>
        </is>
      </c>
      <c r="D13" s="445" t="inlineStr">
        <is>
          <t>MVP</t>
        </is>
      </c>
      <c r="E13" s="445" t="inlineStr">
        <is>
          <t>Artifact promoted, not rebuilt per environment.</t>
        </is>
      </c>
    </row>
    <row r="14">
      <c r="A14" s="446" t="inlineStr">
        <is>
          <t>Deploy</t>
        </is>
      </c>
      <c r="B14" s="446" t="inlineStr">
        <is>
          <t>Preview -&gt; staging -&gt; production</t>
        </is>
      </c>
      <c r="C14" s="446" t="inlineStr">
        <is>
          <t>All</t>
        </is>
      </c>
      <c r="D14" s="446" t="inlineStr">
        <is>
          <t>MVP/MID</t>
        </is>
      </c>
      <c r="E14" s="446" t="inlineStr">
        <is>
          <t>Progressive promotion + approvals.</t>
        </is>
      </c>
    </row>
    <row r="15">
      <c r="A15" s="445" t="inlineStr">
        <is>
          <t>Deploy</t>
        </is>
      </c>
      <c r="B15" s="445" t="inlineStr">
        <is>
          <t>Health/SLO check + rollback</t>
        </is>
      </c>
      <c r="C15" s="445" t="inlineStr">
        <is>
          <t>All</t>
        </is>
      </c>
      <c r="D15" s="445" t="inlineStr">
        <is>
          <t>MID/Production</t>
        </is>
      </c>
      <c r="E15" s="445" t="inlineStr">
        <is>
          <t>Automated rollback on failed health policy.</t>
        </is>
      </c>
    </row>
    <row r="16">
      <c r="A16" s="446" t="inlineStr">
        <is>
          <t>Optimization</t>
        </is>
      </c>
      <c r="B16" s="446" t="inlineStr">
        <is>
          <t>Dependency/build caches</t>
        </is>
      </c>
      <c r="C16" s="446" t="inlineStr">
        <is>
          <t>All</t>
        </is>
      </c>
      <c r="D16" s="446" t="inlineStr">
        <is>
          <t>MID</t>
        </is>
      </c>
      <c r="E16" s="446" t="inlineStr">
        <is>
          <t>Never cache secrets.</t>
        </is>
      </c>
    </row>
  </sheetData>
  <mergeCells count="2">
    <mergeCell ref="A2:E2"/>
    <mergeCell ref="A1:E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4" customWidth="1" style="401" min="1" max="1"/>
    <col width="48" customWidth="1" style="401" min="2" max="2"/>
    <col width="16" customWidth="1" style="401" min="3" max="3"/>
    <col width="62" customWidth="1" style="401" min="4" max="4"/>
    <col width="48" customWidth="1" style="401" min="5" max="5"/>
  </cols>
  <sheetData>
    <row r="1" ht="30" customHeight="1" s="401">
      <c r="A1" s="561" t="inlineStr">
        <is>
          <t>Framework / Repository Migration Paths</t>
        </is>
      </c>
      <c r="B1" s="547" t="n"/>
      <c r="C1" s="547" t="n"/>
      <c r="D1" s="547" t="n"/>
      <c r="E1" s="547" t="n"/>
    </row>
    <row r="2" ht="36" customHeight="1" s="401">
      <c r="A2" s="562" t="inlineStr">
        <is>
          <t>The original stack choice must not trap the customer. Application IR, contracts and acceptance criteria allow controlled migration when a real constraint appears.</t>
        </is>
      </c>
      <c r="B2" s="547" t="n"/>
      <c r="C2" s="547" t="n"/>
      <c r="D2" s="547" t="n"/>
      <c r="E2" s="547" t="n"/>
    </row>
    <row r="3" ht="28" customHeight="1" s="401">
      <c r="A3" s="78" t="inlineStr">
        <is>
          <t>Migration</t>
        </is>
      </c>
      <c r="B3" s="78" t="inlineStr">
        <is>
          <t>Trigger</t>
        </is>
      </c>
      <c r="C3" s="78" t="inlineStr">
        <is>
          <t>Phase</t>
        </is>
      </c>
      <c r="D3" s="78" t="inlineStr">
        <is>
          <t>Process</t>
        </is>
      </c>
      <c r="E3" s="78" t="inlineStr">
        <is>
          <t>Rule</t>
        </is>
      </c>
    </row>
    <row r="4">
      <c r="A4" s="446" t="inlineStr">
        <is>
          <t>Flutter/RN -&gt; small native module</t>
        </is>
      </c>
      <c r="B4" s="446" t="inlineStr">
        <is>
          <t>One capability exceeds framework/plugin limits</t>
        </is>
      </c>
      <c r="C4" s="446" t="inlineStr">
        <is>
          <t>MID</t>
        </is>
      </c>
      <c r="D4" s="446" t="inlineStr">
        <is>
          <t>Measure -&gt; ADR -&gt; native adapter -&gt; regression tests</t>
        </is>
      </c>
      <c r="E4" s="446" t="inlineStr">
        <is>
          <t>Keep rest cross-platform.</t>
        </is>
      </c>
    </row>
    <row r="5">
      <c r="A5" s="445" t="inlineStr">
        <is>
          <t>Flutter -&gt; Native target</t>
        </is>
      </c>
      <c r="B5" s="445" t="inlineStr">
        <is>
          <t>Whole iOS or Android target outgrows Flutter</t>
        </is>
      </c>
      <c r="C5" s="445" t="inlineStr">
        <is>
          <t>ADVANCED</t>
        </is>
      </c>
      <c r="D5" s="445" t="inlineStr">
        <is>
          <t>Generate native app from IR/contracts -&gt; parity tests -&gt; staged migration</t>
        </is>
      </c>
      <c r="E5" s="445" t="inlineStr">
        <is>
          <t>Do not rewrite product intent from scratch.</t>
        </is>
      </c>
    </row>
    <row r="6">
      <c r="A6" s="446" t="inlineStr">
        <is>
          <t>React Native -&gt; Native target</t>
        </is>
      </c>
      <c r="B6" s="446" t="inlineStr">
        <is>
          <t>Native-module/background/performance surface becomes dominant</t>
        </is>
      </c>
      <c r="C6" s="446" t="inlineStr">
        <is>
          <t>ADVANCED</t>
        </is>
      </c>
      <c r="D6" s="446" t="inlineStr">
        <is>
          <t>Generate native target from IR/contracts -&gt; parallel release -&gt; retire old target after parity</t>
        </is>
      </c>
      <c r="E6" s="446" t="inlineStr">
        <is>
          <t>Preserve backend/contracts.</t>
        </is>
      </c>
    </row>
    <row r="7">
      <c r="A7" s="445" t="inlineStr">
        <is>
          <t>Monorepo -&gt; multi-repo</t>
        </is>
      </c>
      <c r="B7" s="445" t="inlineStr">
        <is>
          <t>Independent teams/compliance/access/build scale</t>
        </is>
      </c>
      <c r="C7" s="445" t="inlineStr">
        <is>
          <t>ADVANCED</t>
        </is>
      </c>
      <c r="D7" s="445" t="inlineStr">
        <is>
          <t>Architecture review -&gt; contract registry -&gt; linked PR orchestration</t>
        </is>
      </c>
      <c r="E7" s="445" t="inlineStr">
        <is>
          <t>Never silent.</t>
        </is>
      </c>
    </row>
    <row r="8">
      <c r="A8" s="446" t="inlineStr">
        <is>
          <t>Lean template -&gt; scaled modules</t>
        </is>
      </c>
      <c r="B8" s="446" t="inlineStr">
        <is>
          <t>Team/build/feature count grows</t>
        </is>
      </c>
      <c r="C8" s="446" t="inlineStr">
        <is>
          <t>MID</t>
        </is>
      </c>
      <c r="D8" s="446" t="inlineStr">
        <is>
          <t>Measure hotspots -&gt; extract stable boundaries</t>
        </is>
      </c>
      <c r="E8" s="446" t="inlineStr">
        <is>
          <t>Do not pre-modularize every feature.</t>
        </is>
      </c>
    </row>
  </sheetData>
  <mergeCells count="2">
    <mergeCell ref="A2:E2"/>
    <mergeCell ref="A1:E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8" customWidth="1" style="401" min="1" max="1"/>
    <col width="56" customWidth="1" style="401" min="2" max="2"/>
    <col width="18" customWidth="1" style="401" min="3" max="3"/>
    <col width="62" customWidth="1" style="401" min="4" max="4"/>
  </cols>
  <sheetData>
    <row r="1" ht="30" customHeight="1" s="401">
      <c r="A1" s="561" t="inlineStr">
        <is>
          <t>Template &amp; Dependency Governance</t>
        </is>
      </c>
      <c r="B1" s="547" t="n"/>
      <c r="C1" s="547" t="n"/>
      <c r="D1" s="547" t="n"/>
    </row>
    <row r="2" ht="36" customHeight="1" s="401">
      <c r="A2" s="562" t="inlineStr">
        <is>
          <t>AI agents must not improvise a new architecture or dependency stack on every task. Framework templates are versioned products with approved dependency and upgrade policies.</t>
        </is>
      </c>
      <c r="B2" s="547" t="n"/>
      <c r="C2" s="547" t="n"/>
      <c r="D2" s="547" t="n"/>
    </row>
    <row r="3" ht="28" customHeight="1" s="401">
      <c r="A3" s="78" t="inlineStr">
        <is>
          <t>Control</t>
        </is>
      </c>
      <c r="B3" s="78" t="inlineStr">
        <is>
          <t>What It Stores</t>
        </is>
      </c>
      <c r="C3" s="78" t="inlineStr">
        <is>
          <t>Phase</t>
        </is>
      </c>
      <c r="D3" s="78" t="inlineStr">
        <is>
          <t>Rule</t>
        </is>
      </c>
    </row>
    <row r="4">
      <c r="A4" s="446" t="inlineStr">
        <is>
          <t>Template manifest</t>
        </is>
      </c>
      <c r="B4" s="446" t="inlineStr">
        <is>
          <t>ID, version, maturity, supported targets, required checks</t>
        </is>
      </c>
      <c r="C4" s="446" t="inlineStr">
        <is>
          <t>MVP</t>
        </is>
      </c>
      <c r="D4" s="446" t="inlineStr">
        <is>
          <t>Every generated project records template version.</t>
        </is>
      </c>
    </row>
    <row r="5">
      <c r="A5" s="445" t="inlineStr">
        <is>
          <t>Dependency catalog</t>
        </is>
      </c>
      <c r="B5" s="445" t="inlineStr">
        <is>
          <t>Approved package/library list + versions</t>
        </is>
      </c>
      <c r="C5" s="445" t="inlineStr">
        <is>
          <t>MVP</t>
        </is>
      </c>
      <c r="D5" s="445" t="inlineStr">
        <is>
          <t>Agent cannot add arbitrary dependency without policy check.</t>
        </is>
      </c>
    </row>
    <row r="6">
      <c r="A6" s="446" t="inlineStr">
        <is>
          <t>Architecture profile</t>
        </is>
      </c>
      <c r="B6" s="446" t="inlineStr">
        <is>
          <t>Lean / Scaled</t>
        </is>
      </c>
      <c r="C6" s="446" t="inlineStr">
        <is>
          <t>MVP</t>
        </is>
      </c>
      <c r="D6" s="446" t="inlineStr">
        <is>
          <t>Choose based on project complexity; avoid ceremony.</t>
        </is>
      </c>
    </row>
    <row r="7">
      <c r="A7" s="445" t="inlineStr">
        <is>
          <t>Framework maturity</t>
        </is>
      </c>
      <c r="B7" s="445" t="inlineStr">
        <is>
          <t>Stable / Beta / Experimental</t>
        </is>
      </c>
      <c r="C7" s="445" t="inlineStr">
        <is>
          <t>MVP</t>
        </is>
      </c>
      <c r="D7" s="445" t="inlineStr">
        <is>
          <t>UI must show maturity honestly.</t>
        </is>
      </c>
    </row>
    <row r="8">
      <c r="A8" s="446" t="inlineStr">
        <is>
          <t>Upgrade policy</t>
        </is>
      </c>
      <c r="B8" s="446" t="inlineStr">
        <is>
          <t>Controlled template upgrade task</t>
        </is>
      </c>
      <c r="C8" s="446" t="inlineStr">
        <is>
          <t>MID</t>
        </is>
      </c>
      <c r="D8" s="446" t="inlineStr">
        <is>
          <t>No random framework/state-management/DI switch.</t>
        </is>
      </c>
    </row>
    <row r="9">
      <c r="A9" s="445" t="inlineStr">
        <is>
          <t>Deprecation policy</t>
        </is>
      </c>
      <c r="B9" s="445" t="inlineStr">
        <is>
          <t>Supported versions + migration path</t>
        </is>
      </c>
      <c r="C9" s="445" t="inlineStr">
        <is>
          <t>MID</t>
        </is>
      </c>
      <c r="D9" s="445" t="inlineStr">
        <is>
          <t>Customers know support window.</t>
        </is>
      </c>
    </row>
    <row r="10">
      <c r="A10" s="446" t="inlineStr">
        <is>
          <t>Security review</t>
        </is>
      </c>
      <c r="B10" s="446" t="inlineStr">
        <is>
          <t>License/CVE/maintenance check</t>
        </is>
      </c>
      <c r="C10" s="446" t="inlineStr">
        <is>
          <t>MVP</t>
        </is>
      </c>
      <c r="D10" s="446" t="inlineStr">
        <is>
          <t>New dependency must pass policy.</t>
        </is>
      </c>
    </row>
    <row r="11">
      <c r="A11" s="445" t="inlineStr">
        <is>
          <t>Deterministic generation</t>
        </is>
      </c>
      <c r="B11" s="445" t="inlineStr">
        <is>
          <t>Template + IR version -&gt; reproducible baseline</t>
        </is>
      </c>
      <c r="C11" s="445" t="inlineStr">
        <is>
          <t>MVP/MID</t>
        </is>
      </c>
      <c r="D11" s="445" t="inlineStr">
        <is>
          <t>Generated clients/files are reproducible.</t>
        </is>
      </c>
    </row>
  </sheetData>
  <mergeCells count="2">
    <mergeCell ref="A1:D1"/>
    <mergeCell ref="A2:D2"/>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2" customWidth="1" style="401" min="1" max="1"/>
    <col width="42" customWidth="1" style="401" min="2" max="2"/>
    <col width="48" customWidth="1" style="401" min="3" max="3"/>
    <col width="20" customWidth="1" style="401" min="4" max="4"/>
    <col width="44" customWidth="1" style="401" min="5" max="5"/>
  </cols>
  <sheetData>
    <row r="1" ht="28" customHeight="1" s="401">
      <c r="A1" s="563" t="inlineStr">
        <is>
          <t>V4 Reference Study - What We Keep, Change and Reject</t>
        </is>
      </c>
      <c r="B1" s="547" t="n"/>
      <c r="C1" s="547" t="n"/>
      <c r="D1" s="547" t="n"/>
      <c r="E1" s="547" t="n"/>
    </row>
    <row r="2" ht="38" customHeight="1" s="401">
      <c r="A2" s="564" t="inlineStr">
        <is>
          <t>The team reference PDF is helpful as a research map. Our V3 architecture remains broader; V4 adds the strongest implementation patterns without copying products or locking the platform to one vendor/framework.</t>
        </is>
      </c>
      <c r="B2" s="547" t="n"/>
      <c r="C2" s="547" t="n"/>
      <c r="D2" s="547" t="n"/>
      <c r="E2" s="547" t="n"/>
    </row>
    <row r="3">
      <c r="A3" s="479" t="inlineStr">
        <is>
          <t>Reference</t>
        </is>
      </c>
      <c r="B3" s="479" t="inlineStr">
        <is>
          <t>Useful Idea</t>
        </is>
      </c>
      <c r="C3" s="479" t="inlineStr">
        <is>
          <t>Our Decision</t>
        </is>
      </c>
      <c r="D3" s="479" t="inlineStr">
        <is>
          <t>Disposition</t>
        </is>
      </c>
      <c r="E3" s="479" t="inlineStr">
        <is>
          <t>Source</t>
        </is>
      </c>
    </row>
    <row r="4">
      <c r="A4" s="482" t="inlineStr">
        <is>
          <t>bolt.diy</t>
        </is>
      </c>
      <c r="B4" s="482" t="inlineStr">
        <is>
          <t>Browser workbench, chat-to-actions flow, 18+ provider concept, WebContainer instant runtime</t>
        </is>
      </c>
      <c r="C4" s="482" t="inlineStr">
        <is>
          <t>Use as UX/runtime inspiration; Tier-0 browser runtime only</t>
        </is>
      </c>
      <c r="D4" s="482" t="inlineStr">
        <is>
          <t>Benchmark / Adopt pattern</t>
        </is>
      </c>
      <c r="E4" s="482" t="inlineStr">
        <is>
          <t>https://github.com/stackblitz-labs/bolt.diy</t>
        </is>
      </c>
    </row>
    <row r="5">
      <c r="A5" s="482" t="inlineStr">
        <is>
          <t>beam-cloud/lovable-clone</t>
        </is>
      </c>
      <c r="B5" s="482" t="inlineStr">
        <is>
          <t>Explicit sandbox tools + agent streaming loop</t>
        </is>
      </c>
      <c r="C5" s="482" t="inlineStr">
        <is>
          <t>Learning spike only; demo scale is not production architecture</t>
        </is>
      </c>
      <c r="D5" s="482" t="inlineStr">
        <is>
          <t>Benchmark only</t>
        </is>
      </c>
      <c r="E5" s="482" t="inlineStr">
        <is>
          <t>https://github.com/beam-cloud/lovable-clone</t>
        </is>
      </c>
    </row>
    <row r="6">
      <c r="A6" s="482" t="inlineStr">
        <is>
          <t>OpenHands</t>
        </is>
      </c>
      <c r="B6" s="482" t="inlineStr">
        <is>
          <t>Action-observation loop, isolated runtime, error recovery</t>
        </is>
      </c>
      <c r="C6" s="482" t="inlineStr">
        <is>
          <t>Adopt bounded loop behind our own contracts</t>
        </is>
      </c>
      <c r="D6" s="482" t="inlineStr">
        <is>
          <t>Adopt pattern</t>
        </is>
      </c>
      <c r="E6" s="482" t="inlineStr">
        <is>
          <t>https://github.com/All-Hands-AI/OpenHands</t>
        </is>
      </c>
    </row>
    <row r="7">
      <c r="A7" s="482" t="inlineStr">
        <is>
          <t>Dyad</t>
        </is>
      </c>
      <c r="B7" s="482" t="inlineStr">
        <is>
          <t>Local-first, BYOK, code stays local</t>
        </is>
      </c>
      <c r="C7" s="482" t="inlineStr">
        <is>
          <t>Add optional Hybrid Local mode; keep cloud default</t>
        </is>
      </c>
      <c r="D7" s="482" t="inlineStr">
        <is>
          <t>Adopt selectively</t>
        </is>
      </c>
      <c r="E7" s="482" t="inlineStr">
        <is>
          <t>https://github.com/dyad-sh/dyad</t>
        </is>
      </c>
    </row>
    <row r="8">
      <c r="A8" s="482" t="inlineStr">
        <is>
          <t>GPT Engineer</t>
        </is>
      </c>
      <c r="B8" s="482" t="inlineStr">
        <is>
          <t>Historical prompt -&gt; whole codebase pattern</t>
        </is>
      </c>
      <c r="C8" s="482" t="inlineStr">
        <is>
          <t>Keep only as baseline/anti-pattern; use scoped patches</t>
        </is>
      </c>
      <c r="D8" s="482" t="inlineStr">
        <is>
          <t>Reject as default</t>
        </is>
      </c>
      <c r="E8" s="482" t="inlineStr">
        <is>
          <t>https://github.com/gpt-engineer-org/gpt-engineer</t>
        </is>
      </c>
    </row>
    <row r="9">
      <c r="A9" s="482" t="inlineStr">
        <is>
          <t>LangGraph</t>
        </is>
      </c>
      <c r="B9" s="482" t="inlineStr">
        <is>
          <t>Durable graph execution, conditional retry, HITL</t>
        </is>
      </c>
      <c r="C9" s="482" t="inlineStr">
        <is>
          <t>Strong MVP candidate behind Orchestrator Adapter</t>
        </is>
      </c>
      <c r="D9" s="482" t="inlineStr">
        <is>
          <t>Benchmark / likely MVP</t>
        </is>
      </c>
      <c r="E9" s="482" t="inlineStr">
        <is>
          <t>https://langchain-ai.github.io/langgraph/</t>
        </is>
      </c>
    </row>
    <row r="10">
      <c r="A10" s="482" t="inlineStr">
        <is>
          <t>CrewAI / AutoGen</t>
        </is>
      </c>
      <c r="B10" s="482" t="inlineStr">
        <is>
          <t>Alternative multi-agent delegation patterns</t>
        </is>
      </c>
      <c r="C10" s="482" t="inlineStr">
        <is>
          <t>Do not let framework APIs leak into platform domain</t>
        </is>
      </c>
      <c r="D10" s="482" t="inlineStr">
        <is>
          <t>Benchmark only</t>
        </is>
      </c>
      <c r="E10" s="482" t="inlineStr">
        <is>
          <t>https://github.com/crewAIInc/crewAI ; https://github.com/microsoft/autogen</t>
        </is>
      </c>
    </row>
    <row r="11">
      <c r="A11" s="482" t="inlineStr">
        <is>
          <t>E2B / Daytona</t>
        </is>
      </c>
      <c r="B11" s="482" t="inlineStr">
        <is>
          <t>Managed isolated Linux sandboxes</t>
        </is>
      </c>
      <c r="C11" s="482" t="inlineStr">
        <is>
          <t>Use behind SandboxProvider adapter, never direct vendor coupling</t>
        </is>
      </c>
      <c r="D11" s="482" t="inlineStr">
        <is>
          <t>Benchmark / MVP option</t>
        </is>
      </c>
      <c r="E11" s="482" t="inlineStr">
        <is>
          <t>https://e2b.dev/docs ; https://www.daytona.io/docs</t>
        </is>
      </c>
    </row>
    <row r="12">
      <c r="A12" s="482" t="inlineStr">
        <is>
          <t>WebContainers</t>
        </is>
      </c>
      <c r="B12" s="482" t="inlineStr">
        <is>
          <t>Fast browser-side JS/Node runtime</t>
        </is>
      </c>
      <c r="C12" s="482" t="inlineStr">
        <is>
          <t>Only for JS/TS/Node browser-eligible tasks</t>
        </is>
      </c>
      <c r="D12" s="482" t="inlineStr">
        <is>
          <t>Adopt selectively</t>
        </is>
      </c>
      <c r="E12" s="482" t="inlineStr">
        <is>
          <t>https://webcontainers.io/</t>
        </is>
      </c>
    </row>
    <row r="13">
      <c r="A13" s="482" t="inlineStr">
        <is>
          <t>MCP</t>
        </is>
      </c>
      <c r="B13" s="482" t="inlineStr">
        <is>
          <t>Standard tool/context connection model</t>
        </is>
      </c>
      <c r="C13" s="482" t="inlineStr">
        <is>
          <t>Govern through Tool Registry, scopes, secrets, approvals and audit</t>
        </is>
      </c>
      <c r="D13" s="482" t="inlineStr">
        <is>
          <t>Adopt</t>
        </is>
      </c>
      <c r="E13" s="482" t="inlineStr">
        <is>
          <t>https://modelcontextprotocol.io/</t>
        </is>
      </c>
    </row>
    <row r="14">
      <c r="A14" s="482" t="inlineStr">
        <is>
          <t>Supabase / Firebase / Atlas</t>
        </is>
      </c>
      <c r="B14" s="482" t="inlineStr">
        <is>
          <t>Rapid generated-app backend choices</t>
        </is>
      </c>
      <c r="C14" s="482" t="inlineStr">
        <is>
          <t>Offer as customer backend profiles; not platform core</t>
        </is>
      </c>
      <c r="D14" s="482" t="inlineStr">
        <is>
          <t>Adopt selectively</t>
        </is>
      </c>
      <c r="E14" s="482" t="inlineStr">
        <is>
          <t>https://supabase.com/docs ; https://firebase.google.com/docs ; https://www.mongodb.com/docs/atlas/</t>
        </is>
      </c>
    </row>
    <row r="15">
      <c r="A15" s="482" t="inlineStr">
        <is>
          <t>OWASP Top 10</t>
        </is>
      </c>
      <c r="B15" s="482" t="inlineStr">
        <is>
          <t>Security baseline</t>
        </is>
      </c>
      <c r="C15" s="482" t="inlineStr">
        <is>
          <t>Convert to automated controls + threat models + release gates</t>
        </is>
      </c>
      <c r="D15" s="482" t="inlineStr">
        <is>
          <t>Adopt baseline</t>
        </is>
      </c>
      <c r="E15" s="482" t="inlineStr">
        <is>
          <t>https://owasp.org/www-project-top-ten/</t>
        </is>
      </c>
    </row>
  </sheetData>
  <mergeCells count="2">
    <mergeCell ref="A2:E2"/>
    <mergeCell ref="A1:E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style="401" min="1" max="1"/>
    <col width="24" customWidth="1" style="401" min="2" max="2"/>
    <col width="34" customWidth="1" style="401" min="3" max="3"/>
    <col width="30" customWidth="1" style="401" min="4" max="4"/>
    <col width="28" customWidth="1" style="401" min="5" max="5"/>
    <col width="36" customWidth="1" style="401" min="6" max="6"/>
    <col width="17" customWidth="1" style="401" min="7" max="7"/>
  </cols>
  <sheetData>
    <row r="1" ht="30" customHeight="1" s="401">
      <c r="A1" s="552" t="inlineStr">
        <is>
          <t>OmniStackAI V5 — Runtime Tiers</t>
        </is>
      </c>
      <c r="B1" s="547" t="n"/>
      <c r="C1" s="547" t="n"/>
      <c r="D1" s="547" t="n"/>
      <c r="E1" s="547" t="n"/>
      <c r="F1" s="547" t="n"/>
      <c r="G1" s="547" t="n"/>
    </row>
    <row r="2" ht="34" customHeight="1" s="401">
      <c r="A2" s="553" t="inlineStr">
        <is>
          <t>Provider-based execution. Browser runtime is an optimization; real Linux/macOS/local/BYOC remain available. Agents depend on RuntimeProvider, not a vendor SDK.</t>
        </is>
      </c>
      <c r="B2" s="547" t="n"/>
      <c r="C2" s="547" t="n"/>
      <c r="D2" s="547" t="n"/>
      <c r="E2" s="547" t="n"/>
      <c r="F2" s="547" t="n"/>
      <c r="G2" s="547" t="n"/>
    </row>
    <row r="3">
      <c r="A3" s="479" t="n"/>
      <c r="B3" s="479" t="n"/>
      <c r="C3" s="479" t="n"/>
      <c r="D3" s="479" t="n"/>
      <c r="E3" s="479" t="n"/>
      <c r="F3" s="479" t="n"/>
    </row>
    <row r="4" ht="28" customHeight="1" s="401">
      <c r="A4" s="141" t="inlineStr">
        <is>
          <t>Tier</t>
        </is>
      </c>
      <c r="B4" s="142" t="inlineStr">
        <is>
          <t>Runtime</t>
        </is>
      </c>
      <c r="C4" s="142" t="inlineStr">
        <is>
          <t>Best For</t>
        </is>
      </c>
      <c r="D4" s="142" t="inlineStr">
        <is>
          <t>Isolation / Host</t>
        </is>
      </c>
      <c r="E4" s="142" t="inlineStr">
        <is>
          <t>Startup/Cost Strategy</t>
        </is>
      </c>
      <c r="F4" s="142" t="inlineStr">
        <is>
          <t>Examples / Implementation</t>
        </is>
      </c>
      <c r="G4" s="143" t="inlineStr">
        <is>
          <t>Phase</t>
        </is>
      </c>
    </row>
    <row r="5">
      <c r="A5" s="144" t="inlineStr">
        <is>
          <t>T0</t>
        </is>
      </c>
      <c r="B5" s="145" t="inlineStr">
        <is>
          <t>Browser runtime</t>
        </is>
      </c>
      <c r="C5" s="145" t="inlineStr">
        <is>
          <t>JS/TS/WASM eligible preview and lightweight work</t>
        </is>
      </c>
      <c r="D5" s="145" t="inlineStr">
        <is>
          <t>user browser / isolated browser tech</t>
        </is>
      </c>
      <c r="E5" s="145" t="inlineStr">
        <is>
          <t>fastest / cheapest</t>
        </is>
      </c>
      <c r="F5" s="145" t="inlineStr">
        <is>
          <t>WebContainers or equivalent adapter</t>
        </is>
      </c>
      <c r="G5" s="146" t="inlineStr">
        <is>
          <t>MVP</t>
        </is>
      </c>
    </row>
    <row r="6">
      <c r="A6" s="223" t="inlineStr">
        <is>
          <t>T1</t>
        </is>
      </c>
      <c r="B6" s="514" t="inlineStr">
        <is>
          <t>Managed Linux sandbox</t>
        </is>
      </c>
      <c r="C6" s="514" t="inlineStr">
        <is>
          <t>general web/backend/build/test</t>
        </is>
      </c>
      <c r="D6" s="514" t="inlineStr">
        <is>
          <t>isolated server-side Linux</t>
        </is>
      </c>
      <c r="E6" s="514" t="inlineStr">
        <is>
          <t>pay only while task active</t>
        </is>
      </c>
      <c r="F6" s="514" t="inlineStr">
        <is>
          <t>E2B / Daytona behind adapter</t>
        </is>
      </c>
      <c r="G6" s="225" t="inlineStr">
        <is>
          <t>MVP</t>
        </is>
      </c>
    </row>
    <row r="7">
      <c r="A7" s="147" t="inlineStr">
        <is>
          <t>T2</t>
        </is>
      </c>
      <c r="B7" s="455" t="inlineStr">
        <is>
          <t>OmniStackAI K8s Linux</t>
        </is>
      </c>
      <c r="C7" s="455" t="inlineStr">
        <is>
          <t>high-scale owned runtime</t>
        </is>
      </c>
      <c r="D7" s="455" t="inlineStr">
        <is>
          <t>K8s namespace/network/cgroups</t>
        </is>
      </c>
      <c r="E7" s="455" t="inlineStr">
        <is>
          <t>warm pool + bin packing</t>
        </is>
      </c>
      <c r="F7" s="455" t="inlineStr">
        <is>
          <t>own runner fleet when economics justify</t>
        </is>
      </c>
      <c r="G7" s="149" t="inlineStr">
        <is>
          <t>MID/ADV</t>
        </is>
      </c>
    </row>
    <row r="8">
      <c r="A8" s="223" t="inlineStr">
        <is>
          <t>T2S</t>
        </is>
      </c>
      <c r="B8" s="514" t="inlineStr">
        <is>
          <t>Hardened Linux</t>
        </is>
      </c>
      <c r="C8" s="514" t="inlineStr">
        <is>
          <t>higher-risk arbitrary code</t>
        </is>
      </c>
      <c r="D8" s="514" t="inlineStr">
        <is>
          <t>gVisor/Kata/Firecracker</t>
        </is>
      </c>
      <c r="E8" s="514" t="inlineStr">
        <is>
          <t>premium isolation</t>
        </is>
      </c>
      <c r="F8" s="514" t="inlineStr">
        <is>
          <t>microVM profile</t>
        </is>
      </c>
      <c r="G8" s="225" t="inlineStr">
        <is>
          <t>ADV</t>
        </is>
      </c>
    </row>
    <row r="9">
      <c r="A9" s="147" t="inlineStr">
        <is>
          <t>T3A</t>
        </is>
      </c>
      <c r="B9" s="455" t="inlineStr">
        <is>
          <t>Android runtime</t>
        </is>
      </c>
      <c r="C9" s="455" t="inlineStr">
        <is>
          <t>real Android debugging/test</t>
        </is>
      </c>
      <c r="D9" s="455" t="inlineStr">
        <is>
          <t>Linux + KVM/device cloud</t>
        </is>
      </c>
      <c r="E9" s="455" t="inlineStr">
        <is>
          <t>on demand only</t>
        </is>
      </c>
      <c r="F9" s="455" t="inlineStr">
        <is>
          <t>emulator / physical device cloud</t>
        </is>
      </c>
      <c r="G9" s="149" t="inlineStr">
        <is>
          <t>MID</t>
        </is>
      </c>
    </row>
    <row r="10">
      <c r="A10" s="223" t="inlineStr">
        <is>
          <t>T3I</t>
        </is>
      </c>
      <c r="B10" s="514" t="inlineStr">
        <is>
          <t>macOS runtime</t>
        </is>
      </c>
      <c r="C10" s="514" t="inlineStr">
        <is>
          <t>iOS build/simulator/signing boundary</t>
        </is>
      </c>
      <c r="D10" s="514" t="inlineStr">
        <is>
          <t>macOS + Xcode</t>
        </is>
      </c>
      <c r="E10" s="514" t="inlineStr">
        <is>
          <t>allocate only when required</t>
        </is>
      </c>
      <c r="F10" s="514" t="inlineStr">
        <is>
          <t>cloud Mac/provider</t>
        </is>
      </c>
      <c r="G10" s="225" t="inlineStr">
        <is>
          <t>MVP build / MID interactive</t>
        </is>
      </c>
    </row>
    <row r="11">
      <c r="A11" s="147" t="inlineStr">
        <is>
          <t>T4</t>
        </is>
      </c>
      <c r="B11" s="455" t="inlineStr">
        <is>
          <t>Local runtime</t>
        </is>
      </c>
      <c r="C11" s="455" t="inlineStr">
        <is>
          <t>privacy, local device/Xcode, developer workflows</t>
        </is>
      </c>
      <c r="D11" s="455" t="inlineStr">
        <is>
          <t>customer machine</t>
        </is>
      </c>
      <c r="E11" s="455" t="inlineStr">
        <is>
          <t>no OmniStackAI compute charge</t>
        </is>
      </c>
      <c r="F11" s="455" t="inlineStr">
        <is>
          <t>signed Local Agent</t>
        </is>
      </c>
      <c r="G11" s="149" t="inlineStr">
        <is>
          <t>MID</t>
        </is>
      </c>
    </row>
    <row r="12">
      <c r="A12" s="239" t="inlineStr">
        <is>
          <t>T5</t>
        </is>
      </c>
      <c r="B12" s="240" t="inlineStr">
        <is>
          <t>Enterprise BYOC/VPC</t>
        </is>
      </c>
      <c r="C12" s="240" t="inlineStr">
        <is>
          <t>regulated/private execution</t>
        </is>
      </c>
      <c r="D12" s="240" t="inlineStr">
        <is>
          <t>customer cloud/private network</t>
        </is>
      </c>
      <c r="E12" s="240" t="inlineStr">
        <is>
          <t>customer-owned capacity</t>
        </is>
      </c>
      <c r="F12" s="240" t="inlineStr">
        <is>
          <t>private runner adapter</t>
        </is>
      </c>
      <c r="G12" s="241" t="inlineStr">
        <is>
          <t>ADV</t>
        </is>
      </c>
    </row>
  </sheetData>
  <mergeCells count="4">
    <mergeCell ref="A2:F2"/>
    <mergeCell ref="A2:G2"/>
    <mergeCell ref="A1:F1"/>
    <mergeCell ref="A1:G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1" customWidth="1" style="401" min="1" max="1"/>
    <col width="31" customWidth="1" style="401" min="2" max="2"/>
    <col width="43" customWidth="1" style="401" min="3" max="3"/>
    <col width="43" customWidth="1" style="401" min="4" max="4"/>
  </cols>
  <sheetData>
    <row r="1" ht="30" customHeight="1" s="401">
      <c r="A1" s="552" t="inlineStr">
        <is>
          <t>OmniStackAI V5 — Durable Agent Runtime</t>
        </is>
      </c>
      <c r="B1" s="547" t="n"/>
      <c r="C1" s="547" t="n"/>
      <c r="D1" s="547" t="n"/>
    </row>
    <row r="2" ht="34" customHeight="1" s="401">
      <c r="A2" s="553" t="inlineStr">
        <is>
          <t>Temporal is the preferred durable workflow foundation. OmniStackAI owns task/run/step/event/idempotency schemas; reasoning graphs remain replaceable.</t>
        </is>
      </c>
      <c r="B2" s="547" t="n"/>
      <c r="C2" s="547" t="n"/>
      <c r="D2" s="547" t="n"/>
    </row>
    <row r="3">
      <c r="A3" s="479" t="n"/>
      <c r="B3" s="479" t="n"/>
      <c r="C3" s="479" t="n"/>
      <c r="D3" s="479" t="n"/>
    </row>
    <row r="4" ht="28" customHeight="1" s="401">
      <c r="A4" s="141" t="inlineStr">
        <is>
          <t>State / Component</t>
        </is>
      </c>
      <c r="B4" s="142" t="inlineStr">
        <is>
          <t>Purpose</t>
        </is>
      </c>
      <c r="C4" s="142" t="inlineStr">
        <is>
          <t>Hard Requirement</t>
        </is>
      </c>
      <c r="D4" s="143" t="inlineStr">
        <is>
          <t>Implementation Note</t>
        </is>
      </c>
    </row>
    <row r="5">
      <c r="A5" s="144" t="inlineStr">
        <is>
          <t>CREATED -&gt; SPECIFYING -&gt; PLANNING</t>
        </is>
      </c>
      <c r="B5" s="145" t="inlineStr">
        <is>
          <t>prepare requirements/plan</t>
        </is>
      </c>
      <c r="C5" s="145" t="inlineStr">
        <is>
          <t>persist after meaningful transition</t>
        </is>
      </c>
      <c r="D5" s="146" t="inlineStr">
        <is>
          <t>PostgreSQL metadata + Temporal workflow</t>
        </is>
      </c>
    </row>
    <row r="6">
      <c r="A6" s="223" t="inlineStr">
        <is>
          <t>WAITING_APPROVAL?</t>
        </is>
      </c>
      <c r="B6" s="514" t="inlineStr">
        <is>
          <t>risk-based human checkpoint</t>
        </is>
      </c>
      <c r="C6" s="514" t="inlineStr">
        <is>
          <t>approval is specific and expiring</t>
        </is>
      </c>
      <c r="D6" s="225" t="inlineStr">
        <is>
          <t>no blanket future authorization</t>
        </is>
      </c>
    </row>
    <row r="7">
      <c r="A7" s="147" t="inlineStr">
        <is>
          <t>EXECUTING</t>
        </is>
      </c>
      <c r="B7" s="455" t="inlineStr">
        <is>
          <t>tool/model/code work</t>
        </is>
      </c>
      <c r="C7" s="455" t="inlineStr">
        <is>
          <t>each side effect has idempotency key</t>
        </is>
      </c>
      <c r="D7" s="149" t="inlineStr">
        <is>
          <t>Temporal activities / platform tools</t>
        </is>
      </c>
    </row>
    <row r="8">
      <c r="A8" s="223" t="inlineStr">
        <is>
          <t>VERIFYING</t>
        </is>
      </c>
      <c r="B8" s="514" t="inlineStr">
        <is>
          <t>build/test/security</t>
        </is>
      </c>
      <c r="C8" s="514" t="inlineStr">
        <is>
          <t>real tool output wins over model belief</t>
        </is>
      </c>
      <c r="D8" s="225" t="inlineStr">
        <is>
          <t>targeted first; broader on risk</t>
        </is>
      </c>
    </row>
    <row r="9">
      <c r="A9" s="147" t="inlineStr">
        <is>
          <t>REVIEWING -&gt; READY_TO_MERGE</t>
        </is>
      </c>
      <c r="B9" s="455" t="inlineStr">
        <is>
          <t>diff/impact review</t>
        </is>
      </c>
      <c r="C9" s="455" t="inlineStr">
        <is>
          <t>main stays protected</t>
        </is>
      </c>
      <c r="D9" s="149" t="inlineStr">
        <is>
          <t>Git PR/change set</t>
        </is>
      </c>
    </row>
    <row r="10">
      <c r="A10" s="223" t="inlineStr">
        <is>
          <t>DEPLOYING</t>
        </is>
      </c>
      <c r="B10" s="514" t="inlineStr">
        <is>
          <t>immutable release workflow</t>
        </is>
      </c>
      <c r="C10" s="514" t="inlineStr">
        <is>
          <t>retry creates linked run; no duplicated side effect</t>
        </is>
      </c>
      <c r="D10" s="225" t="inlineStr">
        <is>
          <t>Temporal durable activity pipeline</t>
        </is>
      </c>
    </row>
    <row r="11">
      <c r="A11" s="147" t="inlineStr">
        <is>
          <t>FAILED_RETRYABLE</t>
        </is>
      </c>
      <c r="B11" s="455" t="inlineStr">
        <is>
          <t>worker/provider failure</t>
        </is>
      </c>
      <c r="C11" s="455" t="inlineStr">
        <is>
          <t>resume from checkpoint</t>
        </is>
      </c>
      <c r="D11" s="149" t="inlineStr">
        <is>
          <t>browser disconnect does not cancel server task</t>
        </is>
      </c>
    </row>
    <row r="12">
      <c r="A12" s="223" t="inlineStr">
        <is>
          <t>Event Ledger</t>
        </is>
      </c>
      <c r="B12" s="514" t="inlineStr">
        <is>
          <t>ordered progress/history</t>
        </is>
      </c>
      <c r="C12" s="514" t="inlineStr">
        <is>
          <t>reconnect/replay</t>
        </is>
      </c>
      <c r="D12" s="225" t="inlineStr">
        <is>
          <t>compact metadata in Postgres; large payloads in object storage</t>
        </is>
      </c>
    </row>
    <row r="13">
      <c r="A13" s="156" t="inlineStr">
        <is>
          <t>AgentGraphAdapter</t>
        </is>
      </c>
      <c r="B13" s="157" t="inlineStr">
        <is>
          <t>planner/coder/reviewer graph</t>
        </is>
      </c>
      <c r="C13" s="157" t="inlineStr">
        <is>
          <t>replaceable</t>
        </is>
      </c>
      <c r="D13" s="158" t="inlineStr">
        <is>
          <t>custom state machine/LangGraph/etc. does not own durability</t>
        </is>
      </c>
    </row>
  </sheetData>
  <mergeCells count="2">
    <mergeCell ref="A1:D1"/>
    <mergeCell ref="A2:D2"/>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style="401" min="1" max="1"/>
    <col width="64" customWidth="1" style="401" min="2" max="2"/>
    <col width="14" customWidth="1" style="401" min="3" max="3"/>
    <col width="52" customWidth="1" style="401" min="4" max="4"/>
  </cols>
  <sheetData>
    <row r="1" ht="28" customHeight="1" s="401">
      <c r="A1" s="563" t="inlineStr">
        <is>
          <t>MCP Gateway &amp; Tool Registry</t>
        </is>
      </c>
      <c r="B1" s="547" t="n"/>
      <c r="C1" s="547" t="n"/>
      <c r="D1" s="547" t="n"/>
    </row>
    <row r="2" ht="38" customHeight="1" s="401">
      <c r="A2" s="564" t="inlineStr">
        <is>
          <t>MCP is an extension standard, not a trust bypass. Every tool is governed by platform policy, capability scopes, secret brokering, cost controls and audit.</t>
        </is>
      </c>
      <c r="B2" s="547" t="n"/>
      <c r="C2" s="547" t="n"/>
      <c r="D2" s="547" t="n"/>
    </row>
    <row r="3">
      <c r="A3" s="479" t="inlineStr">
        <is>
          <t>Capability</t>
        </is>
      </c>
      <c r="B3" s="479" t="inlineStr">
        <is>
          <t>Required Metadata / Behavior</t>
        </is>
      </c>
      <c r="C3" s="479" t="inlineStr">
        <is>
          <t>Phase</t>
        </is>
      </c>
      <c r="D3" s="479" t="inlineStr">
        <is>
          <t>Rule</t>
        </is>
      </c>
    </row>
    <row r="4">
      <c r="A4" s="482" t="inlineStr">
        <is>
          <t>Tool Identity</t>
        </is>
      </c>
      <c r="B4" s="482" t="inlineStr">
        <is>
          <t>ID, version, provider/server identity</t>
        </is>
      </c>
      <c r="C4" s="482" t="inlineStr">
        <is>
          <t>MVP</t>
        </is>
      </c>
      <c r="D4" s="482" t="inlineStr">
        <is>
          <t>Required</t>
        </is>
      </c>
    </row>
    <row r="5">
      <c r="A5" s="482" t="inlineStr">
        <is>
          <t>Schema</t>
        </is>
      </c>
      <c r="B5" s="482" t="inlineStr">
        <is>
          <t>Input/output schema + capability description</t>
        </is>
      </c>
      <c r="C5" s="482" t="inlineStr">
        <is>
          <t>MVP</t>
        </is>
      </c>
      <c r="D5" s="482" t="inlineStr">
        <is>
          <t>Required</t>
        </is>
      </c>
    </row>
    <row r="6">
      <c r="A6" s="482" t="inlineStr">
        <is>
          <t>Risk Class</t>
        </is>
      </c>
      <c r="B6" s="482" t="inlineStr">
        <is>
          <t>Read / write / execute + L0-L4 risk</t>
        </is>
      </c>
      <c r="C6" s="482" t="inlineStr">
        <is>
          <t>MVP</t>
        </is>
      </c>
      <c r="D6" s="482" t="inlineStr">
        <is>
          <t>Required</t>
        </is>
      </c>
    </row>
    <row r="7">
      <c r="A7" s="482" t="inlineStr">
        <is>
          <t>Agent Permissions</t>
        </is>
      </c>
      <c r="B7" s="482" t="inlineStr">
        <is>
          <t>Allowed agent roles</t>
        </is>
      </c>
      <c r="C7" s="482" t="inlineStr">
        <is>
          <t>MVP</t>
        </is>
      </c>
      <c r="D7" s="482" t="inlineStr">
        <is>
          <t>Deny by default</t>
        </is>
      </c>
    </row>
    <row r="8">
      <c r="A8" s="482" t="inlineStr">
        <is>
          <t>Workspace/User Scope</t>
        </is>
      </c>
      <c r="B8" s="482" t="inlineStr">
        <is>
          <t>Explicit workspace and user scopes</t>
        </is>
      </c>
      <c r="C8" s="482" t="inlineStr">
        <is>
          <t>MVP</t>
        </is>
      </c>
      <c r="D8" s="482" t="inlineStr">
        <is>
          <t>Required</t>
        </is>
      </c>
    </row>
    <row r="9">
      <c r="A9" s="482" t="inlineStr">
        <is>
          <t>Network Egress</t>
        </is>
      </c>
      <c r="B9" s="482" t="inlineStr">
        <is>
          <t>Approved destinations</t>
        </is>
      </c>
      <c r="C9" s="482" t="inlineStr">
        <is>
          <t>MVP</t>
        </is>
      </c>
      <c r="D9" s="482" t="inlineStr">
        <is>
          <t>Restricted</t>
        </is>
      </c>
    </row>
    <row r="10">
      <c r="A10" s="482" t="inlineStr">
        <is>
          <t>Secrets</t>
        </is>
      </c>
      <c r="B10" s="482" t="inlineStr">
        <is>
          <t>Secret names/scopes brokered outside prompts</t>
        </is>
      </c>
      <c r="C10" s="482" t="inlineStr">
        <is>
          <t>MVP</t>
        </is>
      </c>
      <c r="D10" s="482" t="inlineStr">
        <is>
          <t>No raw long-lived secrets in prompts</t>
        </is>
      </c>
    </row>
    <row r="11">
      <c r="A11" s="482" t="inlineStr">
        <is>
          <t>Limits</t>
        </is>
      </c>
      <c r="B11" s="482" t="inlineStr">
        <is>
          <t>Rate, cost, timeout, retry</t>
        </is>
      </c>
      <c r="C11" s="482" t="inlineStr">
        <is>
          <t>MVP</t>
        </is>
      </c>
      <c r="D11" s="482" t="inlineStr">
        <is>
          <t>Required</t>
        </is>
      </c>
    </row>
    <row r="12">
      <c r="A12" s="482" t="inlineStr">
        <is>
          <t>Audit</t>
        </is>
      </c>
      <c r="B12" s="482" t="inlineStr">
        <is>
          <t>Event retention + approval requirement</t>
        </is>
      </c>
      <c r="C12" s="482" t="inlineStr">
        <is>
          <t>MVP</t>
        </is>
      </c>
      <c r="D12" s="482" t="inlineStr">
        <is>
          <t>Required</t>
        </is>
      </c>
    </row>
    <row r="13">
      <c r="A13" s="482" t="inlineStr">
        <is>
          <t>Verified External MCP</t>
        </is>
      </c>
      <c r="B13" s="482" t="inlineStr">
        <is>
          <t>Install verified third-party MCP servers</t>
        </is>
      </c>
      <c r="C13" s="482" t="inlineStr">
        <is>
          <t>MID</t>
        </is>
      </c>
      <c r="D13" s="482" t="inlineStr">
        <is>
          <t>Consent + signature/version validation</t>
        </is>
      </c>
    </row>
    <row r="14">
      <c r="A14" s="482" t="inlineStr">
        <is>
          <t>Customer Private MCP</t>
        </is>
      </c>
      <c r="B14" s="482" t="inlineStr">
        <is>
          <t>Customer-owned MCP server</t>
        </is>
      </c>
      <c r="C14" s="482" t="inlineStr">
        <is>
          <t>ADVANCED</t>
        </is>
      </c>
      <c r="D14" s="482" t="inlineStr">
        <is>
          <t>Private workspace install + strict policy</t>
        </is>
      </c>
    </row>
  </sheetData>
  <mergeCells count="2">
    <mergeCell ref="A1:D1"/>
    <mergeCell ref="A2:D2"/>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style="401" min="1" max="1"/>
    <col width="58" customWidth="1" style="401" min="2" max="2"/>
    <col width="34" customWidth="1" style="401" min="3" max="3"/>
    <col width="46" customWidth="1" style="401" min="4" max="4"/>
  </cols>
  <sheetData>
    <row r="1" ht="28" customHeight="1" s="401">
      <c r="A1" s="563" t="inlineStr">
        <is>
          <t>Human-in-the-Loop Risk Policy</t>
        </is>
      </c>
      <c r="B1" s="547" t="n"/>
      <c r="C1" s="547" t="n"/>
      <c r="D1" s="547" t="n"/>
    </row>
    <row r="2" ht="38" customHeight="1" s="401">
      <c r="A2" s="564" t="inlineStr">
        <is>
          <t>Approvals are based on risk, not on every small action. This keeps normal coding fast while protecting production and destructive operations.</t>
        </is>
      </c>
      <c r="B2" s="547" t="n"/>
      <c r="C2" s="547" t="n"/>
      <c r="D2" s="547" t="n"/>
    </row>
    <row r="3">
      <c r="A3" s="479" t="inlineStr">
        <is>
          <t>Risk Level</t>
        </is>
      </c>
      <c r="B3" s="479" t="inlineStr">
        <is>
          <t>Examples</t>
        </is>
      </c>
      <c r="C3" s="479" t="inlineStr">
        <is>
          <t>Default Behavior</t>
        </is>
      </c>
      <c r="D3" s="479" t="inlineStr">
        <is>
          <t>Rule</t>
        </is>
      </c>
    </row>
    <row r="4">
      <c r="A4" s="482" t="inlineStr">
        <is>
          <t>L0 - Read</t>
        </is>
      </c>
      <c r="B4" s="482" t="inlineStr">
        <is>
          <t>Read files, logs, search docs</t>
        </is>
      </c>
      <c r="C4" s="482" t="inlineStr">
        <is>
          <t>Automatic</t>
        </is>
      </c>
      <c r="D4" s="482" t="inlineStr">
        <is>
          <t>No side effect</t>
        </is>
      </c>
    </row>
    <row r="5">
      <c r="A5" s="482" t="inlineStr">
        <is>
          <t>L1 - Normal Dev</t>
        </is>
      </c>
      <c r="B5" s="482" t="inlineStr">
        <is>
          <t>Scoped code patch, tests, preview</t>
        </is>
      </c>
      <c r="C5" s="482" t="inlineStr">
        <is>
          <t>Automatic after plan + impact checks</t>
        </is>
      </c>
      <c r="D5" s="482" t="inlineStr">
        <is>
          <t>Normal development stays fast</t>
        </is>
      </c>
    </row>
    <row r="6">
      <c r="A6" s="482" t="inlineStr">
        <is>
          <t>L2 - Material</t>
        </is>
      </c>
      <c r="B6" s="482" t="inlineStr">
        <is>
          <t>New dependency, reversible migration, new integration</t>
        </is>
      </c>
      <c r="C6" s="482" t="inlineStr">
        <is>
          <t>Policy-based approval</t>
        </is>
      </c>
      <c r="D6" s="482" t="inlineStr">
        <is>
          <t>May auto-run in trusted workspace</t>
        </is>
      </c>
    </row>
    <row r="7">
      <c r="A7" s="482" t="inlineStr">
        <is>
          <t>L3 - Destructive / External</t>
        </is>
      </c>
      <c r="B7" s="482" t="inlineStr">
        <is>
          <t>Destructive migration, production deploy, DNS, send real messages, broaden secret scope</t>
        </is>
      </c>
      <c r="C7" s="482" t="inlineStr">
        <is>
          <t>Explicit human approval</t>
        </is>
      </c>
      <c r="D7" s="482" t="inlineStr">
        <is>
          <t>Always show impact + rollback</t>
        </is>
      </c>
    </row>
    <row r="8">
      <c r="A8" s="482" t="inlineStr">
        <is>
          <t>L4 - Critical Enterprise</t>
        </is>
      </c>
      <c r="B8" s="482" t="inlineStr">
        <is>
          <t>Payment movement, signing-key policy, privileged infra, mass delete</t>
        </is>
      </c>
      <c r="C8" s="482" t="inlineStr">
        <is>
          <t>Privileged approval / optional two-person rule</t>
        </is>
      </c>
      <c r="D8" s="482" t="inlineStr">
        <is>
          <t>Strong identity + immutable audit</t>
        </is>
      </c>
    </row>
  </sheetData>
  <mergeCells count="2">
    <mergeCell ref="A1:D1"/>
    <mergeCell ref="A2:D2"/>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4" customWidth="1" style="401" min="1" max="1"/>
    <col width="30" customWidth="1" style="401" min="2" max="2"/>
    <col width="48" customWidth="1" style="401" min="3" max="3"/>
    <col width="34" customWidth="1" style="401" min="4" max="4"/>
    <col width="48" customWidth="1" style="401" min="5" max="5"/>
    <col width="30" customWidth="1" style="401" min="6" max="6"/>
  </cols>
  <sheetData>
    <row r="1" ht="28" customHeight="1" s="401">
      <c r="A1" s="563" t="inlineStr">
        <is>
          <t>Cloud, Hybrid Local &amp; Enterprise Private Execution</t>
        </is>
      </c>
      <c r="B1" s="547" t="n"/>
      <c r="C1" s="547" t="n"/>
      <c r="D1" s="547" t="n"/>
      <c r="E1" s="547" t="n"/>
      <c r="F1" s="547" t="n"/>
    </row>
    <row r="2" ht="38" customHeight="1" s="401">
      <c r="A2" s="564" t="inlineStr">
        <is>
          <t>Execution mode is a product choice. Local/private execution must not weaken cloud isolation or silently broaden permissions.</t>
        </is>
      </c>
      <c r="B2" s="547" t="n"/>
      <c r="C2" s="547" t="n"/>
      <c r="D2" s="547" t="n"/>
      <c r="E2" s="547" t="n"/>
      <c r="F2" s="547" t="n"/>
    </row>
    <row r="3">
      <c r="A3" s="479" t="inlineStr">
        <is>
          <t>Mode</t>
        </is>
      </c>
      <c r="B3" s="479" t="inlineStr">
        <is>
          <t>Where It Runs</t>
        </is>
      </c>
      <c r="C3" s="479" t="inlineStr">
        <is>
          <t>How It Works</t>
        </is>
      </c>
      <c r="D3" s="479" t="inlineStr">
        <is>
          <t>Best For</t>
        </is>
      </c>
      <c r="E3" s="479" t="inlineStr">
        <is>
          <t>Security Rule</t>
        </is>
      </c>
      <c r="F3" s="479" t="inlineStr">
        <is>
          <t>Cost Effect</t>
        </is>
      </c>
    </row>
    <row r="4">
      <c r="A4" s="482" t="inlineStr">
        <is>
          <t>Cloud Standard</t>
        </is>
      </c>
      <c r="B4" s="482" t="inlineStr">
        <is>
          <t>Platform cloud</t>
        </is>
      </c>
      <c r="C4" s="482" t="inlineStr">
        <is>
          <t>Managed gateway + managed sandboxes</t>
        </is>
      </c>
      <c r="D4" s="482" t="inlineStr">
        <is>
          <t>All OS/browser users</t>
        </is>
      </c>
      <c r="E4" s="482" t="inlineStr">
        <is>
          <t>Default; easiest onboarding</t>
        </is>
      </c>
      <c r="F4" s="482" t="inlineStr">
        <is>
          <t>Platform compute cost</t>
        </is>
      </c>
    </row>
    <row r="5">
      <c r="A5" s="482" t="inlineStr">
        <is>
          <t>Hybrid Local</t>
        </is>
      </c>
      <c r="B5" s="482" t="inlineStr">
        <is>
          <t>Customer Mac/Windows/Linux + optional cloud</t>
        </is>
      </c>
      <c r="C5" s="482" t="inlineStr">
        <is>
          <t>Signed Local Agent executes selected tasks locally</t>
        </is>
      </c>
      <c r="D5" s="482" t="inlineStr">
        <is>
          <t>Developers/agencies/privacy-sensitive</t>
        </is>
      </c>
      <c r="E5" s="482" t="inlineStr">
        <is>
          <t>Explicit folder grants and visible logs</t>
        </is>
      </c>
      <c r="F5" s="482" t="inlineStr">
        <is>
          <t>Reduces cloud compute; local trust mode</t>
        </is>
      </c>
    </row>
    <row r="6">
      <c r="A6" s="482" t="inlineStr">
        <is>
          <t>Enterprise Private / BYOC</t>
        </is>
      </c>
      <c r="B6" s="482" t="inlineStr">
        <is>
          <t>Customer VPC/private runners</t>
        </is>
      </c>
      <c r="C6" s="482" t="inlineStr">
        <is>
          <t>Customer execution environment + central platform policy</t>
        </is>
      </c>
      <c r="D6" s="482" t="inlineStr">
        <is>
          <t>Regulated/enterprise</t>
        </is>
      </c>
      <c r="E6" s="482" t="inlineStr">
        <is>
          <t>Data residency/private networking</t>
        </is>
      </c>
      <c r="F6" s="482" t="inlineStr">
        <is>
          <t>Enterprise pricing / customer compute</t>
        </is>
      </c>
    </row>
  </sheetData>
  <mergeCells count="2">
    <mergeCell ref="A2:F2"/>
    <mergeCell ref="A1:F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3" customWidth="1" style="401" min="1" max="1"/>
    <col width="25" customWidth="1" style="401" min="2" max="2"/>
    <col width="28" customWidth="1" style="401" min="3" max="3"/>
    <col width="34" customWidth="1" style="401" min="4" max="4"/>
    <col width="39" customWidth="1" style="401" min="5" max="5"/>
    <col width="20" customWidth="1" style="401" min="6" max="6"/>
    <col width="14" customWidth="1" style="401" min="7" max="7"/>
  </cols>
  <sheetData>
    <row r="1" ht="30" customHeight="1" s="401">
      <c r="A1" s="552" t="inlineStr">
        <is>
          <t>OmniStackAI V5 — Backend Profiles</t>
        </is>
      </c>
      <c r="B1" s="547" t="n"/>
      <c r="C1" s="547" t="n"/>
      <c r="D1" s="547" t="n"/>
      <c r="E1" s="547" t="n"/>
      <c r="F1" s="547" t="n"/>
      <c r="G1" s="547" t="n"/>
    </row>
    <row r="2" ht="34" customHeight="1" s="401">
      <c r="A2" s="553" t="inlineStr">
        <is>
          <t>Generated customer backend/database options. OmniStackAI itself stays on PostgreSQL control-plane data.</t>
        </is>
      </c>
      <c r="B2" s="547" t="n"/>
      <c r="C2" s="547" t="n"/>
      <c r="D2" s="547" t="n"/>
      <c r="E2" s="547" t="n"/>
      <c r="F2" s="547" t="n"/>
      <c r="G2" s="547" t="n"/>
    </row>
    <row r="3">
      <c r="A3" s="479" t="n"/>
      <c r="B3" s="479" t="n"/>
      <c r="C3" s="479" t="n"/>
      <c r="D3" s="479" t="n"/>
    </row>
    <row r="4" ht="28" customHeight="1" s="401">
      <c r="A4" s="141" t="inlineStr">
        <is>
          <t>Profile</t>
        </is>
      </c>
      <c r="B4" s="142" t="inlineStr">
        <is>
          <t>Backend</t>
        </is>
      </c>
      <c r="C4" s="142" t="inlineStr">
        <is>
          <t>Database</t>
        </is>
      </c>
      <c r="D4" s="142" t="inlineStr">
        <is>
          <t>Best Fit</t>
        </is>
      </c>
      <c r="E4" s="142" t="inlineStr">
        <is>
          <t>Avoid / Escalate When</t>
        </is>
      </c>
      <c r="F4" s="142" t="inlineStr">
        <is>
          <t>Default?</t>
        </is>
      </c>
      <c r="G4" s="143" t="inlineStr">
        <is>
          <t>Phase</t>
        </is>
      </c>
    </row>
    <row r="5">
      <c r="A5" s="144" t="inlineStr">
        <is>
          <t>Auto / Recommended</t>
        </is>
      </c>
      <c r="B5" s="145" t="inlineStr">
        <is>
          <t>Go or Python</t>
        </is>
      </c>
      <c r="C5" s="145" t="inlineStr">
        <is>
          <t>PostgreSQL default</t>
        </is>
      </c>
      <c r="D5" s="145" t="inlineStr">
        <is>
          <t>most commercial products</t>
        </is>
      </c>
      <c r="E5" s="145" t="inlineStr">
        <is>
          <t>actual requirements prefer BaaS/document/existing DB</t>
        </is>
      </c>
      <c r="F5" s="145" t="inlineStr">
        <is>
          <t>Yes</t>
        </is>
      </c>
      <c r="G5" s="146" t="inlineStr">
        <is>
          <t>MVP</t>
        </is>
      </c>
    </row>
    <row r="6">
      <c r="A6" s="223" t="inlineStr">
        <is>
          <t>Rapid BaaS</t>
        </is>
      </c>
      <c r="B6" s="514" t="inlineStr">
        <is>
          <t>Supabase functions / Firebase</t>
        </is>
      </c>
      <c r="C6" s="514" t="inlineStr">
        <is>
          <t>Supabase/Postgres or Firestore</t>
        </is>
      </c>
      <c r="D6" s="514" t="inlineStr">
        <is>
          <t>prototypes/small-medium/realtime</t>
        </is>
      </c>
      <c r="E6" s="514" t="inlineStr">
        <is>
          <t>complex transactions, portability, unusual compliance</t>
        </is>
      </c>
      <c r="F6" s="514" t="inlineStr">
        <is>
          <t>Optional</t>
        </is>
      </c>
      <c r="G6" s="225" t="inlineStr">
        <is>
          <t>MVP/MID</t>
        </is>
      </c>
    </row>
    <row r="7">
      <c r="A7" s="147" t="inlineStr">
        <is>
          <t>Managed Custom API</t>
        </is>
      </c>
      <c r="B7" s="455" t="inlineStr">
        <is>
          <t>Go or Python</t>
        </is>
      </c>
      <c r="C7" s="455" t="inlineStr">
        <is>
          <t>PostgreSQL</t>
        </is>
      </c>
      <c r="D7" s="455" t="inlineStr">
        <is>
          <t>serious commercial products</t>
        </is>
      </c>
      <c r="E7" s="455" t="inlineStr">
        <is>
          <t>only change if ecosystem need</t>
        </is>
      </c>
      <c r="F7" s="455" t="inlineStr">
        <is>
          <t>Preferred serious profile</t>
        </is>
      </c>
      <c r="G7" s="149" t="inlineStr">
        <is>
          <t>MVP</t>
        </is>
      </c>
    </row>
    <row r="8">
      <c r="A8" s="223" t="inlineStr">
        <is>
          <t>TypeScript API</t>
        </is>
      </c>
      <c r="B8" s="514" t="inlineStr">
        <is>
          <t>Node/NestJS</t>
        </is>
      </c>
      <c r="C8" s="514" t="inlineStr">
        <is>
          <t>PostgreSQL / appropriate store</t>
        </is>
      </c>
      <c r="D8" s="514" t="inlineStr">
        <is>
          <t>end-to-end TS team/ecosystem</t>
        </is>
      </c>
      <c r="E8" s="514" t="inlineStr">
        <is>
          <t>no concrete TS benefit</t>
        </is>
      </c>
      <c r="F8" s="514" t="inlineStr">
        <is>
          <t>Optional</t>
        </is>
      </c>
      <c r="G8" s="225" t="inlineStr">
        <is>
          <t>MID</t>
        </is>
      </c>
    </row>
    <row r="9">
      <c r="A9" s="147" t="inlineStr">
        <is>
          <t>Document profile</t>
        </is>
      </c>
      <c r="B9" s="455" t="inlineStr">
        <is>
          <t>Go/Python/Node</t>
        </is>
      </c>
      <c r="C9" s="455" t="inlineStr">
        <is>
          <t>MongoDB</t>
        </is>
      </c>
      <c r="D9" s="455" t="inlineStr">
        <is>
          <t>document-heavy/flexible schema</t>
        </is>
      </c>
      <c r="E9" s="455" t="inlineStr">
        <is>
          <t>relationship-heavy financial/order/inventory model</t>
        </is>
      </c>
      <c r="F9" s="455" t="inlineStr">
        <is>
          <t>Optional</t>
        </is>
      </c>
      <c r="G9" s="149" t="inlineStr">
        <is>
          <t>MID</t>
        </is>
      </c>
    </row>
    <row r="10">
      <c r="A10" s="239" t="inlineStr">
        <is>
          <t>Enterprise / Existing</t>
        </is>
      </c>
      <c r="B10" s="240" t="inlineStr">
        <is>
          <t>customer-defined</t>
        </is>
      </c>
      <c r="C10" s="240" t="inlineStr">
        <is>
          <t>existing DB</t>
        </is>
      </c>
      <c r="D10" s="240" t="inlineStr">
        <is>
          <t>mature enterprise systems</t>
        </is>
      </c>
      <c r="E10" s="240" t="inlineStr">
        <is>
          <t>migration has no measured benefit</t>
        </is>
      </c>
      <c r="F10" s="240" t="inlineStr">
        <is>
          <t>Optional</t>
        </is>
      </c>
      <c r="G10" s="241" t="inlineStr">
        <is>
          <t>ADV</t>
        </is>
      </c>
    </row>
  </sheetData>
  <mergeCells count="4">
    <mergeCell ref="A1:D1"/>
    <mergeCell ref="A2:G2"/>
    <mergeCell ref="A1:G1"/>
    <mergeCell ref="A2:D2"/>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4" customWidth="1" style="401" min="1" max="1"/>
    <col width="82" customWidth="1" style="401" min="2" max="2"/>
    <col width="14" customWidth="1" style="401" min="3" max="3"/>
    <col width="58" customWidth="1" style="401" min="4" max="4"/>
  </cols>
  <sheetData>
    <row r="1" ht="28" customHeight="1" s="401">
      <c r="A1" s="563" t="inlineStr">
        <is>
          <t>Real-Time Agent Streaming Protocol</t>
        </is>
      </c>
      <c r="B1" s="547" t="n"/>
      <c r="C1" s="547" t="n"/>
      <c r="D1" s="547" t="n"/>
    </row>
    <row r="2" ht="38" customHeight="1" s="401">
      <c r="A2" s="564" t="inlineStr">
        <is>
          <t>Frontend consumes a platform-owned event protocol. Provider-specific streams are normalized at the backend boundary.</t>
        </is>
      </c>
      <c r="B2" s="547" t="n"/>
      <c r="C2" s="547" t="n"/>
      <c r="D2" s="547" t="n"/>
    </row>
    <row r="3">
      <c r="A3" s="479" t="inlineStr">
        <is>
          <t>Component</t>
        </is>
      </c>
      <c r="B3" s="479" t="inlineStr">
        <is>
          <t>Use</t>
        </is>
      </c>
      <c r="C3" s="479" t="inlineStr">
        <is>
          <t>Phase</t>
        </is>
      </c>
      <c r="D3" s="479" t="inlineStr">
        <is>
          <t>Rule</t>
        </is>
      </c>
    </row>
    <row r="4">
      <c r="A4" s="482" t="inlineStr">
        <is>
          <t>WebSocket</t>
        </is>
      </c>
      <c r="B4" s="482" t="inlineStr">
        <is>
          <t>Bidirectional agent sessions, approvals, terminal and simulator control</t>
        </is>
      </c>
      <c r="C4" s="482" t="inlineStr">
        <is>
          <t>MVP</t>
        </is>
      </c>
      <c r="D4" s="482" t="inlineStr">
        <is>
          <t>Reconnect replays missed events from ledger</t>
        </is>
      </c>
    </row>
    <row r="5">
      <c r="A5" s="482" t="inlineStr">
        <is>
          <t>SSE</t>
        </is>
      </c>
      <c r="B5" s="482" t="inlineStr">
        <is>
          <t>Simple one-way token/progress streaming</t>
        </is>
      </c>
      <c r="C5" s="482" t="inlineStr">
        <is>
          <t>MVP</t>
        </is>
      </c>
      <c r="D5" s="482" t="inlineStr">
        <is>
          <t>Use only when bidirectional control is unnecessary</t>
        </is>
      </c>
    </row>
    <row r="6">
      <c r="A6" s="482" t="inlineStr">
        <is>
          <t>Standard Envelope</t>
        </is>
      </c>
      <c r="B6" s="482" t="inlineStr">
        <is>
          <t>event_id, run_id, task_id, sequence, timestamp, type, stage, status, summary, payload_ref, cost_delta, tool_id, requires_approval</t>
        </is>
      </c>
      <c r="C6" s="482" t="inlineStr">
        <is>
          <t>MVP</t>
        </is>
      </c>
      <c r="D6" s="482" t="inlineStr">
        <is>
          <t>Frontend never parses vendor-specific model streams</t>
        </is>
      </c>
    </row>
    <row r="7">
      <c r="A7" s="482" t="inlineStr">
        <is>
          <t>Core Events</t>
        </is>
      </c>
      <c r="B7" s="482" t="inlineStr">
        <is>
          <t>run.started; plan.updated; agent.started; model.delta; tool.*; file.patch; build.*; test.result; approval.required; cost.updated; preview.ready; run.failed; run.completed</t>
        </is>
      </c>
      <c r="C7" s="482" t="inlineStr">
        <is>
          <t>MVP</t>
        </is>
      </c>
      <c r="D7" s="482" t="inlineStr">
        <is>
          <t>Ordered and replayable</t>
        </is>
      </c>
    </row>
  </sheetData>
  <mergeCells count="2">
    <mergeCell ref="A1:D1"/>
    <mergeCell ref="A2:D2"/>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style="401" min="1" max="1"/>
    <col width="70" customWidth="1" style="401" min="2" max="2"/>
    <col width="16" customWidth="1" style="401" min="3" max="3"/>
    <col width="54" customWidth="1" style="401" min="4" max="4"/>
  </cols>
  <sheetData>
    <row r="1" ht="28" customHeight="1" s="401">
      <c r="A1" s="563" t="inlineStr">
        <is>
          <t>Architecture Research Lab - Build vs Buy</t>
        </is>
      </c>
      <c r="B1" s="547" t="n"/>
      <c r="C1" s="547" t="n"/>
      <c r="D1" s="547" t="n"/>
    </row>
    <row r="2" ht="38" customHeight="1" s="401">
      <c r="A2" s="564" t="inlineStr">
        <is>
          <t>References guide experiments; benchmark evidence and ADRs decide production architecture.</t>
        </is>
      </c>
      <c r="B2" s="547" t="n"/>
      <c r="C2" s="547" t="n"/>
      <c r="D2" s="547" t="n"/>
    </row>
    <row r="3">
      <c r="A3" s="479" t="inlineStr">
        <is>
          <t>Experiment</t>
        </is>
      </c>
      <c r="B3" s="479" t="inlineStr">
        <is>
          <t>Measure</t>
        </is>
      </c>
      <c r="C3" s="479" t="inlineStr">
        <is>
          <t>Phase</t>
        </is>
      </c>
      <c r="D3" s="479" t="inlineStr">
        <is>
          <t>Decision Output</t>
        </is>
      </c>
    </row>
    <row r="4">
      <c r="A4" s="482" t="inlineStr">
        <is>
          <t>WebContainers vs cloud sandbox</t>
        </is>
      </c>
      <c r="B4" s="482" t="inlineStr">
        <is>
          <t>Cold start, capabilities, preview, cost, isolation, package support</t>
        </is>
      </c>
      <c r="C4" s="482" t="inlineStr">
        <is>
          <t>MVP</t>
        </is>
      </c>
      <c r="D4" s="482" t="inlineStr">
        <is>
          <t>Choose Tier-0 browser usage boundary</t>
        </is>
      </c>
    </row>
    <row r="5">
      <c r="A5" s="482" t="inlineStr">
        <is>
          <t>E2B vs Daytona vs own runner</t>
        </is>
      </c>
      <c r="B5" s="482" t="inlineStr">
        <is>
          <t>Language/toolchain support, isolation, snapshot, port, network policy, cost, regions</t>
        </is>
      </c>
      <c r="C5" s="482" t="inlineStr">
        <is>
          <t>MVP</t>
        </is>
      </c>
      <c r="D5" s="482" t="inlineStr">
        <is>
          <t>Select first SandboxProvider adapter</t>
        </is>
      </c>
    </row>
    <row r="6">
      <c r="A6" s="482" t="inlineStr">
        <is>
          <t>LangGraph vs alternative durable runtime</t>
        </is>
      </c>
      <c r="B6" s="482" t="inlineStr">
        <is>
          <t>Checkpointing, HITL, streaming, retries, persistence, lock-in</t>
        </is>
      </c>
      <c r="C6" s="482" t="inlineStr">
        <is>
          <t>MVP</t>
        </is>
      </c>
      <c r="D6" s="482" t="inlineStr">
        <is>
          <t>Select first Orchestrator Adapter</t>
        </is>
      </c>
    </row>
    <row r="7">
      <c r="A7" s="482" t="inlineStr">
        <is>
          <t>Cloud-only vs Hybrid Local</t>
        </is>
      </c>
      <c r="B7" s="482" t="inlineStr">
        <is>
          <t>Security, UX, privacy, local permissions, cost</t>
        </is>
      </c>
      <c r="C7" s="482" t="inlineStr">
        <is>
          <t>MVP/MID</t>
        </is>
      </c>
      <c r="D7" s="482" t="inlineStr">
        <is>
          <t>Design Local Agent before productizing</t>
        </is>
      </c>
    </row>
    <row r="8">
      <c r="A8" s="482" t="inlineStr">
        <is>
          <t>Supabase/Firebase vs custom API</t>
        </is>
      </c>
      <c r="B8" s="482" t="inlineStr">
        <is>
          <t>Data model, transactions, portability, multi-tenancy, price</t>
        </is>
      </c>
      <c r="C8" s="482" t="inlineStr">
        <is>
          <t>MVP</t>
        </is>
      </c>
      <c r="D8" s="482" t="inlineStr">
        <is>
          <t>Define Rapid BaaS boundary</t>
        </is>
      </c>
    </row>
    <row r="9">
      <c r="A9" s="482" t="inlineStr">
        <is>
          <t>WebSocket reconnect/replay</t>
        </is>
      </c>
      <c r="B9" s="482" t="inlineStr">
        <is>
          <t>Concurrent sessions, backpressure, ordered replay, reconnect latency</t>
        </is>
      </c>
      <c r="C9" s="482" t="inlineStr">
        <is>
          <t>MVP</t>
        </is>
      </c>
      <c r="D9" s="482" t="inlineStr">
        <is>
          <t>Validate realtime protocol</t>
        </is>
      </c>
    </row>
    <row r="10">
      <c r="A10" s="482" t="inlineStr">
        <is>
          <t>Provider benchmark automation</t>
        </is>
      </c>
      <c r="B10" s="482" t="inlineStr">
        <is>
          <t>Cost/latency/reliability per runtime/model/tool provider</t>
        </is>
      </c>
      <c r="C10" s="482" t="inlineStr">
        <is>
          <t>ADVANCED</t>
        </is>
      </c>
      <c r="D10" s="482" t="inlineStr">
        <is>
          <t>Support automatic routing and vendor review</t>
        </is>
      </c>
    </row>
  </sheetData>
  <mergeCells count="2">
    <mergeCell ref="A1:D1"/>
    <mergeCell ref="A2:D2"/>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style="401" min="1" max="1"/>
    <col width="110" customWidth="1" style="401" min="2" max="2"/>
  </cols>
  <sheetData>
    <row r="1" ht="28" customHeight="1" s="401">
      <c r="A1" s="563" t="inlineStr">
        <is>
          <t>Team Glossary</t>
        </is>
      </c>
      <c r="B1" s="547" t="n"/>
    </row>
    <row r="2" ht="38" customHeight="1" s="401">
      <c r="A2" s="564" t="inlineStr">
        <is>
          <t>Use the same vocabulary in requirements, code, dashboards, architecture reviews and AI prompts.</t>
        </is>
      </c>
      <c r="B2" s="547" t="n"/>
    </row>
    <row r="3">
      <c r="A3" s="479" t="inlineStr">
        <is>
          <t>Term</t>
        </is>
      </c>
      <c r="B3" s="479" t="inlineStr">
        <is>
          <t>Platform Meaning</t>
        </is>
      </c>
    </row>
    <row r="4">
      <c r="A4" s="482" t="inlineStr">
        <is>
          <t>Agent</t>
        </is>
      </c>
      <c r="B4" s="482" t="inlineStr">
        <is>
          <t>LLM-driven worker with one bounded job and allowed tools</t>
        </is>
      </c>
    </row>
    <row r="5">
      <c r="A5" s="482" t="inlineStr">
        <is>
          <t>Tool Call</t>
        </is>
      </c>
      <c r="B5" s="482" t="inlineStr">
        <is>
          <t>Structured request to platform code; model never executes directly</t>
        </is>
      </c>
    </row>
    <row r="6">
      <c r="A6" s="482" t="inlineStr">
        <is>
          <t>Supervisor</t>
        </is>
      </c>
      <c r="B6" s="482" t="inlineStr">
        <is>
          <t>Controls task plan, agent activation, policy, budget and final state</t>
        </is>
      </c>
    </row>
    <row r="7">
      <c r="A7" s="482" t="inlineStr">
        <is>
          <t>Application IR</t>
        </is>
      </c>
      <c r="B7" s="482" t="inlineStr">
        <is>
          <t>Platform-owned source of truth for product behavior across frameworks</t>
        </is>
      </c>
    </row>
    <row r="8">
      <c r="A8" s="482" t="inlineStr">
        <is>
          <t>Change Impact Engine</t>
        </is>
      </c>
      <c r="B8" s="482" t="inlineStr">
        <is>
          <t>Predicts allowed modules/APIs/schema/tests before edits</t>
        </is>
      </c>
    </row>
    <row r="9">
      <c r="A9" s="482" t="inlineStr">
        <is>
          <t>Sandbox</t>
        </is>
      </c>
      <c r="B9" s="482" t="inlineStr">
        <is>
          <t>Isolated disposable execution environment for untrusted code</t>
        </is>
      </c>
    </row>
    <row r="10">
      <c r="A10" s="482" t="inlineStr">
        <is>
          <t>Browser Runtime</t>
        </is>
      </c>
      <c r="B10" s="482" t="inlineStr">
        <is>
          <t>Client-side JS/WASM execution only where capabilities fit</t>
        </is>
      </c>
    </row>
    <row r="11">
      <c r="A11" s="482" t="inlineStr">
        <is>
          <t>Runtime Provider</t>
        </is>
      </c>
      <c r="B11" s="482" t="inlineStr">
        <is>
          <t>Adapter for browser/Linux/macOS/local/BYOC execution</t>
        </is>
      </c>
    </row>
    <row r="12">
      <c r="A12" s="482" t="inlineStr">
        <is>
          <t>Checkpoint</t>
        </is>
      </c>
      <c r="B12" s="482" t="inlineStr">
        <is>
          <t>Persisted recoverable point in an agent run</t>
        </is>
      </c>
    </row>
    <row r="13">
      <c r="A13" s="482" t="inlineStr">
        <is>
          <t>Event Ledger</t>
        </is>
      </c>
      <c r="B13" s="482" t="inlineStr">
        <is>
          <t>Ordered persisted task/agent/tool/build/test/approval history</t>
        </is>
      </c>
    </row>
    <row r="14">
      <c r="A14" s="482" t="inlineStr">
        <is>
          <t>HITL</t>
        </is>
      </c>
      <c r="B14" s="482" t="inlineStr">
        <is>
          <t>Human-in-the-loop approval/decision checkpoint</t>
        </is>
      </c>
    </row>
    <row r="15">
      <c r="A15" s="482" t="inlineStr">
        <is>
          <t>MCP</t>
        </is>
      </c>
      <c r="B15" s="482" t="inlineStr">
        <is>
          <t>Standard protocol for tools/resources/prompts exposed to AI clients</t>
        </is>
      </c>
    </row>
    <row r="16">
      <c r="A16" s="482" t="inlineStr">
        <is>
          <t>Tool Registry</t>
        </is>
      </c>
      <c r="B16" s="482" t="inlineStr">
        <is>
          <t>Governed tool inventory with schema, scope, risk and audit</t>
        </is>
      </c>
    </row>
    <row r="17">
      <c r="A17" s="482" t="inlineStr">
        <is>
          <t>BYOK</t>
        </is>
      </c>
      <c r="B17" s="482" t="inlineStr">
        <is>
          <t>Customer provides LLM provider key</t>
        </is>
      </c>
    </row>
    <row r="18">
      <c r="A18" s="482" t="inlineStr">
        <is>
          <t>BYOC</t>
        </is>
      </c>
      <c r="B18" s="482" t="inlineStr">
        <is>
          <t>Customer provides execution/cloud environment</t>
        </is>
      </c>
    </row>
    <row r="19">
      <c r="A19" s="482" t="inlineStr">
        <is>
          <t>BaaS</t>
        </is>
      </c>
      <c r="B19" s="482" t="inlineStr">
        <is>
          <t>Managed generated-app backend option</t>
        </is>
      </c>
    </row>
    <row r="20">
      <c r="A20" s="482" t="inlineStr">
        <is>
          <t>Structured Patch</t>
        </is>
      </c>
      <c r="B20" s="482" t="inlineStr">
        <is>
          <t>Minimal diff/symbol/AST edit rather than uncontrolled rewrite</t>
        </is>
      </c>
    </row>
    <row r="21">
      <c r="A21" s="482" t="inlineStr">
        <is>
          <t>ADR</t>
        </is>
      </c>
      <c r="B21" s="482" t="inlineStr">
        <is>
          <t>Architecture Decision Record with evidence, tradeoffs and escape plan</t>
        </is>
      </c>
    </row>
  </sheetData>
  <mergeCells count="2">
    <mergeCell ref="A2:B2"/>
    <mergeCell ref="A1:B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style="401" min="1" max="1"/>
    <col width="30" customWidth="1" style="401" min="2" max="2"/>
    <col width="54" customWidth="1" style="401" min="3" max="3"/>
    <col width="44" customWidth="1" style="401" min="4" max="4"/>
  </cols>
  <sheetData>
    <row r="1" ht="30" customHeight="1" s="401">
      <c r="A1" s="552" t="inlineStr">
        <is>
          <t>OmniStackAI V5 — Brand Naming</t>
        </is>
      </c>
      <c r="B1" s="547" t="n"/>
      <c r="C1" s="547" t="n"/>
      <c r="D1" s="547" t="n"/>
    </row>
    <row r="2" ht="34" customHeight="1" s="401">
      <c r="A2" s="565" t="inlineStr">
        <is>
          <t>Working brand selected for the architecture package. Legal/trademark/domain/app-store clearance remains mandatory before public launch.</t>
        </is>
      </c>
      <c r="B2" s="547" t="n"/>
      <c r="C2" s="547" t="n"/>
      <c r="D2" s="547" t="n"/>
    </row>
    <row r="4" ht="28" customHeight="1" s="401">
      <c r="A4" s="141" t="inlineStr">
        <is>
          <t>Item</t>
        </is>
      </c>
      <c r="B4" s="142" t="inlineStr">
        <is>
          <t>Decision</t>
        </is>
      </c>
      <c r="C4" s="142" t="inlineStr">
        <is>
          <t>Why</t>
        </is>
      </c>
      <c r="D4" s="143" t="inlineStr">
        <is>
          <t>Validation / Next Step</t>
        </is>
      </c>
    </row>
    <row r="5">
      <c r="A5" s="144" t="inlineStr">
        <is>
          <t>Working brand</t>
        </is>
      </c>
      <c r="B5" s="145" t="inlineStr">
        <is>
          <t>OmniStackAI</t>
        </is>
      </c>
      <c r="C5" s="145" t="inlineStr">
        <is>
          <t>vision/intent + forge; memorable engineering/product positioning</t>
        </is>
      </c>
      <c r="D5" s="146" t="inlineStr">
        <is>
          <t>trademark/domain/company-name clearance</t>
        </is>
      </c>
    </row>
    <row r="6">
      <c r="A6" s="223" t="inlineStr">
        <is>
          <t>Tagline</t>
        </is>
      </c>
      <c r="B6" s="514" t="inlineStr">
        <is>
          <t>From Intent to Production</t>
        </is>
      </c>
      <c r="C6" s="514" t="inlineStr">
        <is>
          <t>describes full lifecycle rather than just code generation</t>
        </is>
      </c>
      <c r="D6" s="225" t="inlineStr">
        <is>
          <t>brand testing with founders/developers/investors</t>
        </is>
      </c>
    </row>
    <row r="7">
      <c r="A7" s="147" t="inlineStr">
        <is>
          <t>Platform repo</t>
        </is>
      </c>
      <c r="B7" s="455" t="inlineStr">
        <is>
          <t>omnistackai-platform</t>
        </is>
      </c>
      <c r="C7" s="455" t="inlineStr">
        <is>
          <t>clear and stable internal repository name</t>
        </is>
      </c>
      <c r="D7" s="149" t="inlineStr">
        <is>
          <t>reserve org/repo names</t>
        </is>
      </c>
    </row>
    <row r="8">
      <c r="A8" s="223" t="inlineStr">
        <is>
          <t>Local agent repo</t>
        </is>
      </c>
      <c r="B8" s="514" t="inlineStr">
        <is>
          <t>omnistackai-local-agent</t>
        </is>
      </c>
      <c r="C8" s="514" t="inlineStr">
        <is>
          <t>separate signing/update lifecycle if split</t>
        </is>
      </c>
      <c r="D8" s="225" t="inlineStr">
        <is>
          <t>split only when measured need</t>
        </is>
      </c>
    </row>
    <row r="9">
      <c r="A9" s="147" t="inlineStr">
        <is>
          <t>Customer repo</t>
        </is>
      </c>
      <c r="B9" s="455" t="inlineStr">
        <is>
          <t>&lt;org&gt;-&lt;product&gt;</t>
        </is>
      </c>
      <c r="C9" s="455" t="inlineStr">
        <is>
          <t>customer-readable, transferable</t>
        </is>
      </c>
      <c r="D9" s="149" t="inlineStr">
        <is>
          <t>avoid opaque numeric-only naming</t>
        </is>
      </c>
    </row>
    <row r="10">
      <c r="A10" s="239" t="inlineStr">
        <is>
          <t>Positioning</t>
        </is>
      </c>
      <c r="B10" s="240" t="inlineStr">
        <is>
          <t>AI Software Engineering Factory</t>
        </is>
      </c>
      <c r="C10" s="240" t="inlineStr">
        <is>
          <t>production-grade multi-platform engineering</t>
        </is>
      </c>
      <c r="D10" s="241" t="inlineStr">
        <is>
          <t>do not market as a clone</t>
        </is>
      </c>
    </row>
  </sheetData>
  <mergeCells count="2">
    <mergeCell ref="A1:D1"/>
    <mergeCell ref="A2:D2"/>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9" customWidth="1" style="401" min="1" max="1"/>
    <col width="29" customWidth="1" style="401" min="2" max="2"/>
    <col width="26" customWidth="1" style="401" min="3" max="3"/>
    <col width="39" customWidth="1" style="401" min="4" max="4"/>
    <col width="35" customWidth="1" style="401" min="5" max="5"/>
    <col width="38" customWidth="1" style="401" min="6" max="6"/>
    <col width="12" customWidth="1" style="401" min="7" max="7"/>
  </cols>
  <sheetData>
    <row r="1" ht="30" customHeight="1" s="401">
      <c r="A1" s="552" t="inlineStr">
        <is>
          <t>OmniStackAI V5 — Preview Verification</t>
        </is>
      </c>
      <c r="B1" s="547" t="n"/>
      <c r="C1" s="547" t="n"/>
      <c r="D1" s="547" t="n"/>
      <c r="E1" s="547" t="n"/>
      <c r="F1" s="547" t="n"/>
      <c r="G1" s="547" t="n"/>
    </row>
    <row r="2" ht="34" customHeight="1" s="401">
      <c r="A2" s="565" t="inlineStr">
        <is>
          <t>Hard UX rule: browser preview first. Smart Verification selects the lowest-cost proof capable of validating the change.</t>
        </is>
      </c>
      <c r="B2" s="547" t="n"/>
      <c r="C2" s="547" t="n"/>
      <c r="D2" s="547" t="n"/>
      <c r="E2" s="547" t="n"/>
      <c r="F2" s="547" t="n"/>
      <c r="G2" s="547" t="n"/>
    </row>
    <row r="4" ht="28" customHeight="1" s="401">
      <c r="A4" s="141" t="inlineStr">
        <is>
          <t>Level</t>
        </is>
      </c>
      <c r="B4" s="142" t="inlineStr">
        <is>
          <t>User Option</t>
        </is>
      </c>
      <c r="C4" s="142" t="inlineStr">
        <is>
          <t>Automatic / Optional</t>
        </is>
      </c>
      <c r="D4" s="142" t="inlineStr">
        <is>
          <t>Typical Trigger</t>
        </is>
      </c>
      <c r="E4" s="142" t="inlineStr">
        <is>
          <t>Proof</t>
        </is>
      </c>
      <c r="F4" s="142" t="inlineStr">
        <is>
          <t>Does NOT Prove</t>
        </is>
      </c>
      <c r="G4" s="143" t="inlineStr">
        <is>
          <t>Cost</t>
        </is>
      </c>
    </row>
    <row r="5">
      <c r="A5" s="144" t="n">
        <v>0</v>
      </c>
      <c r="B5" s="145" t="inlineStr">
        <is>
          <t>Static / deterministic verification</t>
        </is>
      </c>
      <c r="C5" s="145" t="inlineStr">
        <is>
          <t>Automatic</t>
        </is>
      </c>
      <c r="D5" s="145" t="inlineStr">
        <is>
          <t>every change</t>
        </is>
      </c>
      <c r="E5" s="145" t="inlineStr">
        <is>
          <t>lint/typecheck/tests/static/security</t>
        </is>
      </c>
      <c r="F5" s="145" t="inlineStr">
        <is>
          <t>real device behavior</t>
        </is>
      </c>
      <c r="G5" s="146" t="inlineStr">
        <is>
          <t>$</t>
        </is>
      </c>
    </row>
    <row r="6">
      <c r="A6" s="223" t="n">
        <v>1</v>
      </c>
      <c r="B6" s="514" t="inlineStr">
        <is>
          <t>Instant Browser Preview</t>
        </is>
      </c>
      <c r="C6" s="514" t="inlineStr">
        <is>
          <t>Automatic + always visible</t>
        </is>
      </c>
      <c r="D6" s="514" t="inlineStr">
        <is>
          <t>every previewable change</t>
        </is>
      </c>
      <c r="E6" s="514" t="inlineStr">
        <is>
          <t>actual web runtime or interactive mobile/IR state</t>
        </is>
      </c>
      <c r="F6" s="514" t="inlineStr">
        <is>
          <t>native binary/API/hardware when represented</t>
        </is>
      </c>
      <c r="G6" s="225" t="inlineStr">
        <is>
          <t>$</t>
        </is>
      </c>
    </row>
    <row r="7">
      <c r="A7" s="147" t="n">
        <v>2</v>
      </c>
      <c r="B7" s="455" t="inlineStr">
        <is>
          <t>Test on My Real Phone</t>
        </is>
      </c>
      <c r="C7" s="455" t="inlineStr">
        <is>
          <t>Optional/recommended by policy</t>
        </is>
      </c>
      <c r="D7" s="455" t="inlineStr">
        <is>
          <t>native/hardware confidence or user request</t>
        </is>
      </c>
      <c r="E7" s="455" t="inlineStr">
        <is>
          <t>actual user hardware</t>
        </is>
      </c>
      <c r="F7" s="455" t="inlineStr">
        <is>
          <t>all OS/device variants</t>
        </is>
      </c>
      <c r="G7" s="149" t="inlineStr">
        <is>
          <t>$$</t>
        </is>
      </c>
    </row>
    <row r="8">
      <c r="A8" s="223" t="n">
        <v>3</v>
      </c>
      <c r="B8" s="514" t="inlineStr">
        <is>
          <t>Cloud Android Emulator</t>
        </is>
      </c>
      <c r="C8" s="514" t="inlineStr">
        <is>
          <t>Optional/metered</t>
        </is>
      </c>
      <c r="D8" s="514" t="inlineStr">
        <is>
          <t>OS-specific debug, QA, no device</t>
        </is>
      </c>
      <c r="E8" s="514" t="inlineStr">
        <is>
          <t>real Android runtime</t>
        </is>
      </c>
      <c r="F8" s="514" t="inlineStr">
        <is>
          <t>iOS/hardware-specific behavior</t>
        </is>
      </c>
      <c r="G8" s="225" t="inlineStr">
        <is>
          <t>$$$</t>
        </is>
      </c>
    </row>
    <row r="9">
      <c r="A9" s="156" t="n">
        <v>4</v>
      </c>
      <c r="B9" s="157" t="inlineStr">
        <is>
          <t>Cloud iOS Simulator</t>
        </is>
      </c>
      <c r="C9" s="157" t="inlineStr">
        <is>
          <t>Optional/metered</t>
        </is>
      </c>
      <c r="D9" s="157" t="inlineStr">
        <is>
          <t>iOS-specific debug/QA</t>
        </is>
      </c>
      <c r="E9" s="157" t="inlineStr">
        <is>
          <t>real iOS Simulator/Xcode runtime</t>
        </is>
      </c>
      <c r="F9" s="157" t="inlineStr">
        <is>
          <t>all physical hardware behavior</t>
        </is>
      </c>
      <c r="G9" s="158" t="inlineStr">
        <is>
          <t>$$$$</t>
        </is>
      </c>
    </row>
  </sheetData>
  <mergeCells count="2">
    <mergeCell ref="A2:G2"/>
    <mergeCell ref="A1:G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4" customWidth="1" style="401" min="1" max="1"/>
    <col width="33" customWidth="1" style="401" min="2" max="2"/>
    <col width="36" customWidth="1" style="401" min="3" max="3"/>
    <col width="31" customWidth="1" style="401" min="4" max="4"/>
    <col width="28" customWidth="1" style="401" min="5" max="5"/>
    <col width="32" customWidth="1" style="401" min="6" max="6"/>
    <col width="35" customWidth="1" style="401" min="7" max="7"/>
  </cols>
  <sheetData>
    <row r="1" ht="30" customHeight="1" s="401">
      <c r="A1" s="552" t="inlineStr">
        <is>
          <t>OmniStackAI V5 — Device QR Delivery</t>
        </is>
      </c>
      <c r="B1" s="547" t="n"/>
      <c r="C1" s="547" t="n"/>
      <c r="D1" s="547" t="n"/>
      <c r="E1" s="547" t="n"/>
      <c r="F1" s="547" t="n"/>
      <c r="G1" s="547" t="n"/>
    </row>
    <row r="2" ht="34" customHeight="1" s="401">
      <c r="A2" s="565" t="inlineStr">
        <is>
          <t>Physical-device workflow minimizes infrastructure spend while giving users a real app feel. Testing artifacts are secured and time-limited.</t>
        </is>
      </c>
      <c r="B2" s="547" t="n"/>
      <c r="C2" s="547" t="n"/>
      <c r="D2" s="547" t="n"/>
      <c r="E2" s="547" t="n"/>
      <c r="F2" s="547" t="n"/>
      <c r="G2" s="547" t="n"/>
    </row>
    <row r="4" ht="28" customHeight="1" s="401">
      <c r="A4" s="141" t="inlineStr">
        <is>
          <t>Profile</t>
        </is>
      </c>
      <c r="B4" s="142" t="inlineStr">
        <is>
          <t>Browser Step First</t>
        </is>
      </c>
      <c r="C4" s="142" t="inlineStr">
        <is>
          <t>QR / Link Step</t>
        </is>
      </c>
      <c r="D4" s="142" t="inlineStr">
        <is>
          <t>Rebuild Required?</t>
        </is>
      </c>
      <c r="E4" s="142" t="inlineStr">
        <is>
          <t>Artifact / Runtime</t>
        </is>
      </c>
      <c r="F4" s="142" t="inlineStr">
        <is>
          <t>Security</t>
        </is>
      </c>
      <c r="G4" s="143" t="inlineStr">
        <is>
          <t>Cost Optimization</t>
        </is>
      </c>
    </row>
    <row r="5">
      <c r="A5" s="144" t="inlineStr">
        <is>
          <t>Expo / RN</t>
        </is>
      </c>
      <c r="B5" s="145" t="inlineStr">
        <is>
          <t>Expo Web or browser preview</t>
        </is>
      </c>
      <c r="C5" s="145" t="inlineStr">
        <is>
          <t>QR -&gt; Expo Go/custom dev client</t>
        </is>
      </c>
      <c r="D5" s="145" t="inlineStr">
        <is>
          <t>only when native fingerprint changes</t>
        </is>
      </c>
      <c r="E5" s="145" t="inlineStr">
        <is>
          <t>JS bundle/dev runtime</t>
        </is>
      </c>
      <c r="F5" s="145" t="inlineStr">
        <is>
          <t>scoped dev URL/auth</t>
        </is>
      </c>
      <c r="G5" s="146" t="inlineStr">
        <is>
          <t>best hot-update economics</t>
        </is>
      </c>
    </row>
    <row r="6">
      <c r="A6" s="223" t="inlineStr">
        <is>
          <t>Bare RN Android</t>
        </is>
      </c>
      <c r="B6" s="514" t="inlineStr">
        <is>
          <t>browser/interactive</t>
        </is>
      </c>
      <c r="C6" s="514" t="inlineStr">
        <is>
          <t>QR -&gt; test APK</t>
        </is>
      </c>
      <c r="D6" s="514" t="inlineStr">
        <is>
          <t>yes for native binary changes</t>
        </is>
      </c>
      <c r="E6" s="514" t="inlineStr">
        <is>
          <t>signed test APK</t>
        </is>
      </c>
      <c r="F6" s="514" t="inlineStr">
        <is>
          <t>short-lived signed URL</t>
        </is>
      </c>
      <c r="G6" s="225" t="inlineStr">
        <is>
          <t>cache Gradle/dependencies</t>
        </is>
      </c>
    </row>
    <row r="7">
      <c r="A7" s="147" t="inlineStr">
        <is>
          <t>Flutter Android</t>
        </is>
      </c>
      <c r="B7" s="455" t="inlineStr">
        <is>
          <t>browser/Flutter Web/IR preview</t>
        </is>
      </c>
      <c r="C7" s="455" t="inlineStr">
        <is>
          <t>QR -&gt; test APK</t>
        </is>
      </c>
      <c r="D7" s="455" t="inlineStr">
        <is>
          <t>yes for true device binary</t>
        </is>
      </c>
      <c r="E7" s="455" t="inlineStr">
        <is>
          <t>signed test APK</t>
        </is>
      </c>
      <c r="F7" s="455" t="inlineStr">
        <is>
          <t>short-lived signed URL</t>
        </is>
      </c>
      <c r="G7" s="149" t="inlineStr">
        <is>
          <t>warm Flutter/Gradle cache</t>
        </is>
      </c>
    </row>
    <row r="8">
      <c r="A8" s="223" t="inlineStr">
        <is>
          <t>Native Android</t>
        </is>
      </c>
      <c r="B8" s="514" t="inlineStr">
        <is>
          <t>IR/browser preview</t>
        </is>
      </c>
      <c r="C8" s="514" t="inlineStr">
        <is>
          <t>QR -&gt; signed test APK</t>
        </is>
      </c>
      <c r="D8" s="514" t="inlineStr">
        <is>
          <t>yes</t>
        </is>
      </c>
      <c r="E8" s="514" t="inlineStr">
        <is>
          <t>APK</t>
        </is>
      </c>
      <c r="F8" s="514" t="inlineStr">
        <is>
          <t>isolated dev signing</t>
        </is>
      </c>
      <c r="G8" s="225" t="inlineStr">
        <is>
          <t>worker released after build</t>
        </is>
      </c>
    </row>
    <row r="9">
      <c r="A9" s="147" t="inlineStr">
        <is>
          <t>Expo/RN iOS</t>
        </is>
      </c>
      <c r="B9" s="455" t="inlineStr">
        <is>
          <t>browser/Expo preview</t>
        </is>
      </c>
      <c r="C9" s="455" t="inlineStr">
        <is>
          <t>QR/dev runtime or TestFlight</t>
        </is>
      </c>
      <c r="D9" s="455" t="inlineStr">
        <is>
          <t>native fingerprint dependent</t>
        </is>
      </c>
      <c r="E9" s="455" t="inlineStr">
        <is>
          <t>Expo dev client/TestFlight</t>
        </is>
      </c>
      <c r="F9" s="455" t="inlineStr">
        <is>
          <t>Apple credentials brokered</t>
        </is>
      </c>
      <c r="G9" s="149" t="inlineStr">
        <is>
          <t>avoid cloud simulator by default</t>
        </is>
      </c>
    </row>
    <row r="10">
      <c r="A10" s="223" t="inlineStr">
        <is>
          <t>Flutter iOS</t>
        </is>
      </c>
      <c r="B10" s="514" t="inlineStr">
        <is>
          <t>browser/IR preview</t>
        </is>
      </c>
      <c r="C10" s="514" t="inlineStr">
        <is>
          <t>TestFlight/dev build link/QR</t>
        </is>
      </c>
      <c r="D10" s="514" t="inlineStr">
        <is>
          <t>yes</t>
        </is>
      </c>
      <c r="E10" s="514" t="inlineStr">
        <is>
          <t>signed IPA/TestFlight</t>
        </is>
      </c>
      <c r="F10" s="514" t="inlineStr">
        <is>
          <t>isolated signing</t>
        </is>
      </c>
      <c r="G10" s="225" t="inlineStr">
        <is>
          <t>Mac allocated only on demand</t>
        </is>
      </c>
    </row>
    <row r="11">
      <c r="A11" s="156" t="inlineStr">
        <is>
          <t>Native iOS</t>
        </is>
      </c>
      <c r="B11" s="157" t="inlineStr">
        <is>
          <t>IR/browser preview</t>
        </is>
      </c>
      <c r="C11" s="157" t="inlineStr">
        <is>
          <t>TestFlight/dev provisioning</t>
        </is>
      </c>
      <c r="D11" s="157" t="inlineStr">
        <is>
          <t>yes</t>
        </is>
      </c>
      <c r="E11" s="157" t="inlineStr">
        <is>
          <t>Xcode archive/IPA</t>
        </is>
      </c>
      <c r="F11" s="157" t="inlineStr">
        <is>
          <t>KMS/HSM + App Store Connect</t>
        </is>
      </c>
      <c r="G11" s="158" t="inlineStr">
        <is>
          <t>Local Mac optional</t>
        </is>
      </c>
    </row>
  </sheetData>
  <mergeCells count="2">
    <mergeCell ref="A2:G2"/>
    <mergeCell ref="A1:G1"/>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4" customWidth="1" style="401" min="1" max="1"/>
    <col width="34" customWidth="1" style="401" min="2" max="2"/>
    <col width="31" customWidth="1" style="401" min="3" max="3"/>
    <col width="37" customWidth="1" style="401" min="4" max="4"/>
    <col width="16" customWidth="1" style="401" min="5" max="5"/>
    <col width="44" customWidth="1" style="401" min="6" max="6"/>
  </cols>
  <sheetData>
    <row r="1" ht="30" customHeight="1" s="401">
      <c r="A1" s="552" t="inlineStr">
        <is>
          <t>OmniStackAI V5 — Context Engine</t>
        </is>
      </c>
      <c r="B1" s="547" t="n"/>
      <c r="C1" s="547" t="n"/>
      <c r="D1" s="547" t="n"/>
      <c r="E1" s="547" t="n"/>
      <c r="F1" s="547" t="n"/>
    </row>
    <row r="2" ht="34" customHeight="1" s="401">
      <c r="A2" s="565" t="inlineStr">
        <is>
          <t>Large projects stay affordable by retrieving only task-relevant, authoritative context. Embeddings locate; code/IR/tests/runtime evidence establish truth.</t>
        </is>
      </c>
      <c r="B2" s="547" t="n"/>
      <c r="C2" s="547" t="n"/>
      <c r="D2" s="547" t="n"/>
      <c r="E2" s="547" t="n"/>
      <c r="F2" s="547" t="n"/>
    </row>
    <row r="4" ht="28" customHeight="1" s="401">
      <c r="A4" s="141" t="inlineStr">
        <is>
          <t>Stage</t>
        </is>
      </c>
      <c r="B4" s="142" t="inlineStr">
        <is>
          <t>Mechanism</t>
        </is>
      </c>
      <c r="C4" s="142" t="inlineStr">
        <is>
          <t>Input</t>
        </is>
      </c>
      <c r="D4" s="142" t="inlineStr">
        <is>
          <t>Output</t>
        </is>
      </c>
      <c r="E4" s="142" t="inlineStr">
        <is>
          <t>LLM?</t>
        </is>
      </c>
      <c r="F4" s="143" t="inlineStr">
        <is>
          <t>Cost / Accuracy Rule</t>
        </is>
      </c>
    </row>
    <row r="5">
      <c r="A5" s="144" t="inlineStr">
        <is>
          <t>1 Issue understanding</t>
        </is>
      </c>
      <c r="B5" s="145" t="inlineStr">
        <is>
          <t>structured issue/goal parser</t>
        </is>
      </c>
      <c r="C5" s="145" t="inlineStr">
        <is>
          <t>current user request</t>
        </is>
      </c>
      <c r="D5" s="145" t="inlineStr">
        <is>
          <t>task intent + feature/domain hints</t>
        </is>
      </c>
      <c r="E5" s="145" t="inlineStr">
        <is>
          <t>small model optional</t>
        </is>
      </c>
      <c r="F5" s="146" t="inlineStr">
        <is>
          <t>do not load repo yet</t>
        </is>
      </c>
    </row>
    <row r="6">
      <c r="A6" s="223" t="inlineStr">
        <is>
          <t>2 Deterministic lookup</t>
        </is>
      </c>
      <c r="B6" s="514" t="inlineStr">
        <is>
          <t>Git/symbol/LSP/schema/deployment indexes</t>
        </is>
      </c>
      <c r="C6" s="514" t="inlineStr">
        <is>
          <t>task hints</t>
        </is>
      </c>
      <c r="D6" s="514" t="inlineStr">
        <is>
          <t>exact versions/symbols/references</t>
        </is>
      </c>
      <c r="E6" s="514" t="inlineStr">
        <is>
          <t>No</t>
        </is>
      </c>
      <c r="F6" s="225" t="inlineStr">
        <is>
          <t>free/cheap facts first</t>
        </is>
      </c>
    </row>
    <row r="7">
      <c r="A7" s="147" t="inlineStr">
        <is>
          <t>3 Semantic locate</t>
        </is>
      </c>
      <c r="B7" s="455" t="inlineStr">
        <is>
          <t>pgvector/code chunk retrieval</t>
        </is>
      </c>
      <c r="C7" s="455" t="inlineStr">
        <is>
          <t>task + hints</t>
        </is>
      </c>
      <c r="D7" s="455" t="inlineStr">
        <is>
          <t>ranked candidate docs/code</t>
        </is>
      </c>
      <c r="E7" s="455" t="inlineStr">
        <is>
          <t>No/embedding</t>
        </is>
      </c>
      <c r="F7" s="149" t="inlineStr">
        <is>
          <t>locator only</t>
        </is>
      </c>
    </row>
    <row r="8">
      <c r="A8" s="223" t="inlineStr">
        <is>
          <t>4 Graph expansion</t>
        </is>
      </c>
      <c r="B8" s="514" t="inlineStr">
        <is>
          <t>call/dependency/module graph</t>
        </is>
      </c>
      <c r="C8" s="514" t="inlineStr">
        <is>
          <t>candidate symbols</t>
        </is>
      </c>
      <c r="D8" s="514" t="inlineStr">
        <is>
          <t>callers/callees/affected tests</t>
        </is>
      </c>
      <c r="E8" s="514" t="inlineStr">
        <is>
          <t>No</t>
        </is>
      </c>
      <c r="F8" s="225" t="inlineStr">
        <is>
          <t>expand only evidence-related scope</t>
        </is>
      </c>
    </row>
    <row r="9">
      <c r="A9" s="147" t="inlineStr">
        <is>
          <t>5 Memory/evidence</t>
        </is>
      </c>
      <c r="B9" s="455" t="inlineStr">
        <is>
          <t>IR/ADRs/requirements/history/runtime</t>
        </is>
      </c>
      <c r="C9" s="455" t="inlineStr">
        <is>
          <t>affected domain</t>
        </is>
      </c>
      <c r="D9" s="455" t="inlineStr">
        <is>
          <t>authoritative rules + recent changes</t>
        </is>
      </c>
      <c r="E9" s="455" t="inlineStr">
        <is>
          <t>No</t>
        </is>
      </c>
      <c r="F9" s="149" t="inlineStr">
        <is>
          <t>revalidate stale memory</t>
        </is>
      </c>
    </row>
    <row r="10">
      <c r="A10" s="223" t="inlineStr">
        <is>
          <t>6 Context Pack</t>
        </is>
      </c>
      <c r="B10" s="514" t="inlineStr">
        <is>
          <t>budget controller</t>
        </is>
      </c>
      <c r="C10" s="514" t="inlineStr">
        <is>
          <t>selected evidence</t>
        </is>
      </c>
      <c r="D10" s="514" t="inlineStr">
        <is>
          <t>bounded task-specific context</t>
        </is>
      </c>
      <c r="E10" s="514" t="inlineStr">
        <is>
          <t>No</t>
        </is>
      </c>
      <c r="F10" s="225" t="inlineStr">
        <is>
          <t>token cap</t>
        </is>
      </c>
    </row>
    <row r="11">
      <c r="A11" s="147" t="inlineStr">
        <is>
          <t>7 Reason/implement</t>
        </is>
      </c>
      <c r="B11" s="455" t="inlineStr">
        <is>
          <t>Model Gateway</t>
        </is>
      </c>
      <c r="C11" s="455" t="inlineStr">
        <is>
          <t>Context Pack</t>
        </is>
      </c>
      <c r="D11" s="455" t="inlineStr">
        <is>
          <t>plan/patch requests</t>
        </is>
      </c>
      <c r="E11" s="455" t="inlineStr">
        <is>
          <t>Yes</t>
        </is>
      </c>
      <c r="F11" s="149" t="inlineStr">
        <is>
          <t>cheapest capable model</t>
        </is>
      </c>
    </row>
    <row r="12">
      <c r="A12" s="223" t="inlineStr">
        <is>
          <t>8 Progressive fetch</t>
        </is>
      </c>
      <c r="B12" s="514" t="inlineStr">
        <is>
          <t>readSymbol/readFile/findRefs tools</t>
        </is>
      </c>
      <c r="C12" s="514" t="inlineStr">
        <is>
          <t>model request</t>
        </is>
      </c>
      <c r="D12" s="514" t="inlineStr">
        <is>
          <t>additional exact context</t>
        </is>
      </c>
      <c r="E12" s="514" t="inlineStr">
        <is>
          <t>Yes tool loop</t>
        </is>
      </c>
      <c r="F12" s="225" t="inlineStr">
        <is>
          <t>no bulk repo dumps</t>
        </is>
      </c>
    </row>
    <row r="13">
      <c r="A13" s="156" t="inlineStr">
        <is>
          <t>9 Condense/checkpoint</t>
        </is>
      </c>
      <c r="B13" s="157" t="inlineStr">
        <is>
          <t>context condenser + event ledger</t>
        </is>
      </c>
      <c r="C13" s="157" t="inlineStr">
        <is>
          <t>long run</t>
        </is>
      </c>
      <c r="D13" s="157" t="inlineStr">
        <is>
          <t>evidence-backed working summary</t>
        </is>
      </c>
      <c r="E13" s="157" t="inlineStr">
        <is>
          <t>small model/deterministic</t>
        </is>
      </c>
      <c r="F13" s="158" t="inlineStr">
        <is>
          <t>avoid repeated history</t>
        </is>
      </c>
    </row>
  </sheetData>
  <mergeCells count="2">
    <mergeCell ref="A2:F2"/>
    <mergeCell ref="A1:F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0" customWidth="1" style="401" min="1" max="1"/>
    <col width="31" customWidth="1" style="401" min="2" max="2"/>
    <col width="27" customWidth="1" style="401" min="3" max="3"/>
    <col width="40" customWidth="1" style="401" min="4" max="4"/>
    <col width="33" customWidth="1" style="401" min="5" max="5"/>
    <col width="32" customWidth="1" style="401" min="6" max="6"/>
  </cols>
  <sheetData>
    <row r="1" ht="30" customHeight="1" s="401">
      <c r="A1" s="552" t="inlineStr">
        <is>
          <t>OmniStackAI V5 — Project Memory</t>
        </is>
      </c>
      <c r="B1" s="547" t="n"/>
      <c r="C1" s="547" t="n"/>
      <c r="D1" s="547" t="n"/>
      <c r="E1" s="547" t="n"/>
      <c r="F1" s="547" t="n"/>
    </row>
    <row r="2" ht="34" customHeight="1" s="401">
      <c r="A2" s="565" t="inlineStr">
        <is>
          <t>Persistent engineering memory is independent of chat. Raw chat is low-authority; accepted decisions are promoted into canonical project artifacts.</t>
        </is>
      </c>
      <c r="B2" s="547" t="n"/>
      <c r="C2" s="547" t="n"/>
      <c r="D2" s="547" t="n"/>
      <c r="E2" s="547" t="n"/>
      <c r="F2" s="547" t="n"/>
    </row>
    <row r="4" ht="28" customHeight="1" s="401">
      <c r="A4" s="141" t="inlineStr">
        <is>
          <t>Priority</t>
        </is>
      </c>
      <c r="B4" s="142" t="inlineStr">
        <is>
          <t>Memory / Evidence</t>
        </is>
      </c>
      <c r="C4" s="142" t="inlineStr">
        <is>
          <t>Storage</t>
        </is>
      </c>
      <c r="D4" s="142" t="inlineStr">
        <is>
          <t>Examples</t>
        </is>
      </c>
      <c r="E4" s="142" t="inlineStr">
        <is>
          <t>Validation</t>
        </is>
      </c>
      <c r="F4" s="143" t="inlineStr">
        <is>
          <t>Use</t>
        </is>
      </c>
    </row>
    <row r="5">
      <c r="A5" s="144" t="n">
        <v>1</v>
      </c>
      <c r="B5" s="145" t="inlineStr">
        <is>
          <t>Current Git + canonical contracts</t>
        </is>
      </c>
      <c r="C5" s="145" t="inlineStr">
        <is>
          <t>Git</t>
        </is>
      </c>
      <c r="D5" s="145" t="inlineStr">
        <is>
          <t>source, OpenAPI, generated clients</t>
        </is>
      </c>
      <c r="E5" s="145" t="inlineStr">
        <is>
          <t>current branch/commit</t>
        </is>
      </c>
      <c r="F5" s="146" t="inlineStr">
        <is>
          <t>highest authority</t>
        </is>
      </c>
    </row>
    <row r="6">
      <c r="A6" s="223" t="n">
        <v>2</v>
      </c>
      <c r="B6" s="514" t="inlineStr">
        <is>
          <t>Application IR</t>
        </is>
      </c>
      <c r="C6" s="514" t="inlineStr">
        <is>
          <t>Git + metadata DB</t>
        </is>
      </c>
      <c r="D6" s="514" t="inlineStr">
        <is>
          <t>roles, screens, flows, entities, acceptance</t>
        </is>
      </c>
      <c r="E6" s="514" t="inlineStr">
        <is>
          <t>schema/hash/version</t>
        </is>
      </c>
      <c r="F6" s="225" t="inlineStr">
        <is>
          <t>cross-target truth</t>
        </is>
      </c>
    </row>
    <row r="7">
      <c r="A7" s="147" t="n">
        <v>3</v>
      </c>
      <c r="B7" s="455" t="inlineStr">
        <is>
          <t>Accepted requirements</t>
        </is>
      </c>
      <c r="C7" s="455" t="inlineStr">
        <is>
          <t>Git/DB</t>
        </is>
      </c>
      <c r="D7" s="455" t="inlineStr">
        <is>
          <t>business rules, constraints</t>
        </is>
      </c>
      <c r="E7" s="455" t="inlineStr">
        <is>
          <t>approval + traceability</t>
        </is>
      </c>
      <c r="F7" s="149" t="inlineStr">
        <is>
          <t>intent</t>
        </is>
      </c>
    </row>
    <row r="8">
      <c r="A8" s="223" t="n">
        <v>4</v>
      </c>
      <c r="B8" s="514" t="inlineStr">
        <is>
          <t>ADRs / policies</t>
        </is>
      </c>
      <c r="C8" s="514" t="inlineStr">
        <is>
          <t>Git</t>
        </is>
      </c>
      <c r="D8" s="514" t="inlineStr">
        <is>
          <t>framework, security, dependency decisions</t>
        </is>
      </c>
      <c r="E8" s="514" t="inlineStr">
        <is>
          <t>status + commit</t>
        </is>
      </c>
      <c r="F8" s="225" t="inlineStr">
        <is>
          <t>architecture guardrails</t>
        </is>
      </c>
    </row>
    <row r="9">
      <c r="A9" s="147" t="n">
        <v>5</v>
      </c>
      <c r="B9" s="455" t="inlineStr">
        <is>
          <t>DB/API schema</t>
        </is>
      </c>
      <c r="C9" s="455" t="inlineStr">
        <is>
          <t>Git/DB</t>
        </is>
      </c>
      <c r="D9" s="455" t="inlineStr">
        <is>
          <t>migrations, indexes, endpoints</t>
        </is>
      </c>
      <c r="E9" s="455" t="inlineStr">
        <is>
          <t>schema version</t>
        </is>
      </c>
      <c r="F9" s="149" t="inlineStr">
        <is>
          <t>data/API truth</t>
        </is>
      </c>
    </row>
    <row r="10">
      <c r="A10" s="223" t="n">
        <v>6</v>
      </c>
      <c r="B10" s="514" t="inlineStr">
        <is>
          <t>Tests / baselines</t>
        </is>
      </c>
      <c r="C10" s="514" t="inlineStr">
        <is>
          <t>Git/object storage</t>
        </is>
      </c>
      <c r="D10" s="514" t="inlineStr">
        <is>
          <t>unit, E2E, visual</t>
        </is>
      </c>
      <c r="E10" s="514" t="inlineStr">
        <is>
          <t>execution results</t>
        </is>
      </c>
      <c r="F10" s="225" t="inlineStr">
        <is>
          <t>behavior proof</t>
        </is>
      </c>
    </row>
    <row r="11">
      <c r="A11" s="147" t="n">
        <v>7</v>
      </c>
      <c r="B11" s="455" t="inlineStr">
        <is>
          <t>Runtime evidence</t>
        </is>
      </c>
      <c r="C11" s="455" t="inlineStr">
        <is>
          <t>observability/object storage</t>
        </is>
      </c>
      <c r="D11" s="455" t="inlineStr">
        <is>
          <t>crash, trace, deployment</t>
        </is>
      </c>
      <c r="E11" s="455" t="inlineStr">
        <is>
          <t>deployment + build ID</t>
        </is>
      </c>
      <c r="F11" s="149" t="inlineStr">
        <is>
          <t>bug diagnosis</t>
        </is>
      </c>
    </row>
    <row r="12">
      <c r="A12" s="223" t="n">
        <v>8</v>
      </c>
      <c r="B12" s="514" t="inlineStr">
        <is>
          <t>Git/task history</t>
        </is>
      </c>
      <c r="C12" s="514" t="inlineStr">
        <is>
          <t>Git/Postgres</t>
        </is>
      </c>
      <c r="D12" s="514" t="inlineStr">
        <is>
          <t>diffs, commits, PRs, incidents</t>
        </is>
      </c>
      <c r="E12" s="514" t="inlineStr">
        <is>
          <t>commit refs</t>
        </is>
      </c>
      <c r="F12" s="225" t="inlineStr">
        <is>
          <t>recent-change context</t>
        </is>
      </c>
    </row>
    <row r="13">
      <c r="A13" s="147" t="n">
        <v>9</v>
      </c>
      <c r="B13" s="455" t="inlineStr">
        <is>
          <t>Evidence-backed memory</t>
        </is>
      </c>
      <c r="C13" s="455" t="inlineStr">
        <is>
          <t>Postgres/pgvector</t>
        </is>
      </c>
      <c r="D13" s="455" t="inlineStr">
        <is>
          <t>reusable fact + source refs</t>
        </is>
      </c>
      <c r="E13" s="455" t="inlineStr">
        <is>
          <t>revalidate at current commit</t>
        </is>
      </c>
      <c r="F13" s="149" t="inlineStr">
        <is>
          <t>fast retrieval</t>
        </is>
      </c>
    </row>
    <row r="14">
      <c r="A14" s="239" t="n">
        <v>10</v>
      </c>
      <c r="B14" s="240" t="inlineStr">
        <is>
          <t>Raw chat</t>
        </is>
      </c>
      <c r="C14" s="240" t="inlineStr">
        <is>
          <t>conversation store</t>
        </is>
      </c>
      <c r="D14" s="240" t="inlineStr">
        <is>
          <t>brainstorming, discussion</t>
        </is>
      </c>
      <c r="E14" s="240" t="inlineStr">
        <is>
          <t>never canonical by itself</t>
        </is>
      </c>
      <c r="F14" s="241" t="inlineStr">
        <is>
          <t>last-resort history</t>
        </is>
      </c>
    </row>
  </sheetData>
  <mergeCells count="2">
    <mergeCell ref="A2:F2"/>
    <mergeCell ref="A1:F1"/>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5" customWidth="1" style="401" min="1" max="1"/>
    <col width="31" customWidth="1" style="401" min="2" max="2"/>
    <col width="38" customWidth="1" style="401" min="3" max="3"/>
    <col width="32" customWidth="1" style="401" min="4" max="4"/>
    <col width="32" customWidth="1" style="401" min="5" max="5"/>
    <col width="16" customWidth="1" style="401" min="6" max="6"/>
  </cols>
  <sheetData>
    <row r="1" ht="30" customHeight="1" s="401">
      <c r="A1" s="552" t="inlineStr">
        <is>
          <t>OmniStackAI V5 — LLM Cost Optimization</t>
        </is>
      </c>
      <c r="B1" s="547" t="n"/>
      <c r="C1" s="547" t="n"/>
      <c r="D1" s="547" t="n"/>
      <c r="E1" s="547" t="n"/>
      <c r="F1" s="547" t="n"/>
    </row>
    <row r="2" ht="34" customHeight="1" s="401">
      <c r="A2" s="565" t="inlineStr">
        <is>
          <t>Optimization target: successful verified change, not maximum model usage. Every stage has token, retry and compute budgets.</t>
        </is>
      </c>
      <c r="B2" s="547" t="n"/>
      <c r="C2" s="547" t="n"/>
      <c r="D2" s="547" t="n"/>
      <c r="E2" s="547" t="n"/>
      <c r="F2" s="547" t="n"/>
    </row>
    <row r="4" ht="28" customHeight="1" s="401">
      <c r="A4" s="141" t="inlineStr">
        <is>
          <t>Optimization</t>
        </is>
      </c>
      <c r="B4" s="142" t="inlineStr">
        <is>
          <t>Mechanism</t>
        </is>
      </c>
      <c r="C4" s="142" t="inlineStr">
        <is>
          <t>Example</t>
        </is>
      </c>
      <c r="D4" s="142" t="inlineStr">
        <is>
          <t>Savings Source</t>
        </is>
      </c>
      <c r="E4" s="142" t="inlineStr">
        <is>
          <t>Guardrail / Metric</t>
        </is>
      </c>
      <c r="F4" s="143" t="inlineStr">
        <is>
          <t>Phase</t>
        </is>
      </c>
    </row>
    <row r="5">
      <c r="A5" s="144" t="inlineStr">
        <is>
          <t>Deterministic first</t>
        </is>
      </c>
      <c r="B5" s="145" t="inlineStr">
        <is>
          <t>AST/LSP/compiler/Git/schema</t>
        </is>
      </c>
      <c r="C5" s="145" t="inlineStr">
        <is>
          <t>find references without LLM</t>
        </is>
      </c>
      <c r="D5" s="145" t="inlineStr">
        <is>
          <t>avoid model call</t>
        </is>
      </c>
      <c r="E5" s="145" t="inlineStr">
        <is>
          <t>LLM calls avoided</t>
        </is>
      </c>
      <c r="F5" s="146" t="inlineStr">
        <is>
          <t>MVP</t>
        </is>
      </c>
    </row>
    <row r="6">
      <c r="A6" s="223" t="inlineStr">
        <is>
          <t>Progressive retrieval</t>
        </is>
      </c>
      <c r="B6" s="514" t="inlineStr">
        <is>
          <t>Context Pack + on-demand tools</t>
        </is>
      </c>
      <c r="C6" s="514" t="inlineStr">
        <is>
          <t>5 symbols before 30 files</t>
        </is>
      </c>
      <c r="D6" s="514" t="inlineStr">
        <is>
          <t>input-token reduction</t>
        </is>
      </c>
      <c r="E6" s="514" t="inlineStr">
        <is>
          <t>relevant-context hit rate</t>
        </is>
      </c>
      <c r="F6" s="225" t="inlineStr">
        <is>
          <t>MVP</t>
        </is>
      </c>
    </row>
    <row r="7">
      <c r="A7" s="147" t="inlineStr">
        <is>
          <t>Incremental indexing</t>
        </is>
      </c>
      <c r="B7" s="455" t="inlineStr">
        <is>
          <t>content hashes/Merkle-like tree</t>
        </is>
      </c>
      <c r="C7" s="455" t="inlineStr">
        <is>
          <t>re-index 3 changed files</t>
        </is>
      </c>
      <c r="D7" s="455" t="inlineStr">
        <is>
          <t>embedding/index cost</t>
        </is>
      </c>
      <c r="E7" s="455" t="inlineStr">
        <is>
          <t>index cache hit rate</t>
        </is>
      </c>
      <c r="F7" s="149" t="inlineStr">
        <is>
          <t>MVP/MID</t>
        </is>
      </c>
    </row>
    <row r="8">
      <c r="A8" s="223" t="inlineStr">
        <is>
          <t>Log compaction</t>
        </is>
      </c>
      <c r="B8" s="514" t="inlineStr">
        <is>
          <t>parse structured failures</t>
        </is>
      </c>
      <c r="C8" s="514" t="inlineStr">
        <is>
          <t>3 errors from 80k build lines</t>
        </is>
      </c>
      <c r="D8" s="514" t="inlineStr">
        <is>
          <t>input tokens + latency</t>
        </is>
      </c>
      <c r="E8" s="514" t="inlineStr">
        <is>
          <t>error extraction accuracy</t>
        </is>
      </c>
      <c r="F8" s="225" t="inlineStr">
        <is>
          <t>MVP</t>
        </is>
      </c>
    </row>
    <row r="9">
      <c r="A9" s="147" t="inlineStr">
        <is>
          <t>Model ladder</t>
        </is>
      </c>
      <c r="B9" s="455" t="inlineStr">
        <is>
          <t>L1 -&gt; L2 -&gt; L3 -&gt; L4</t>
        </is>
      </c>
      <c r="C9" s="455" t="inlineStr">
        <is>
          <t>cheap classify, strong debug only when needed</t>
        </is>
      </c>
      <c r="D9" s="455" t="inlineStr">
        <is>
          <t>provider/model spend</t>
        </is>
      </c>
      <c r="E9" s="455" t="inlineStr">
        <is>
          <t>model escalation rate</t>
        </is>
      </c>
      <c r="F9" s="149" t="inlineStr">
        <is>
          <t>MVP</t>
        </is>
      </c>
    </row>
    <row r="10">
      <c r="A10" s="223" t="inlineStr">
        <is>
          <t>Durable resume</t>
        </is>
      </c>
      <c r="B10" s="514" t="inlineStr">
        <is>
          <t>Temporal checkpoints</t>
        </is>
      </c>
      <c r="C10" s="514" t="inlineStr">
        <is>
          <t>resume after worker death</t>
        </is>
      </c>
      <c r="D10" s="514" t="inlineStr">
        <is>
          <t>avoid repeated build/model work</t>
        </is>
      </c>
      <c r="E10" s="514" t="inlineStr">
        <is>
          <t>resume success</t>
        </is>
      </c>
      <c r="F10" s="225" t="inlineStr">
        <is>
          <t>MVP</t>
        </is>
      </c>
    </row>
    <row r="11">
      <c r="A11" s="147" t="inlineStr">
        <is>
          <t>Browser first</t>
        </is>
      </c>
      <c r="B11" s="455" t="inlineStr">
        <is>
          <t>instant preview</t>
        </is>
      </c>
      <c r="C11" s="455" t="inlineStr">
        <is>
          <t>UI change no APK/IPA</t>
        </is>
      </c>
      <c r="D11" s="455" t="inlineStr">
        <is>
          <t>native build/device compute</t>
        </is>
      </c>
      <c r="E11" s="455" t="inlineStr">
        <is>
          <t>preview-to-build ratio</t>
        </is>
      </c>
      <c r="F11" s="149" t="inlineStr">
        <is>
          <t>MVP</t>
        </is>
      </c>
    </row>
    <row r="12">
      <c r="A12" s="223" t="inlineStr">
        <is>
          <t>Physical device first</t>
        </is>
      </c>
      <c r="B12" s="514" t="inlineStr">
        <is>
          <t>QR/TestFlight</t>
        </is>
      </c>
      <c r="C12" s="514" t="inlineStr">
        <is>
          <t>customer phone supplies CPU/GPU</t>
        </is>
      </c>
      <c r="D12" s="514" t="inlineStr">
        <is>
          <t>device-cloud spend</t>
        </is>
      </c>
      <c r="E12" s="514" t="inlineStr">
        <is>
          <t>cloud device avoidance</t>
        </is>
      </c>
      <c r="F12" s="225" t="inlineStr">
        <is>
          <t>MVP/MID</t>
        </is>
      </c>
    </row>
    <row r="13">
      <c r="A13" s="147" t="inlineStr">
        <is>
          <t>Native fingerprint</t>
        </is>
      </c>
      <c r="B13" s="455" t="inlineStr">
        <is>
          <t>reuse dev runtime</t>
        </is>
      </c>
      <c r="C13" s="455" t="inlineStr">
        <is>
          <t>JS change no new Expo client</t>
        </is>
      </c>
      <c r="D13" s="455" t="inlineStr">
        <is>
          <t>build minutes</t>
        </is>
      </c>
      <c r="E13" s="455" t="inlineStr">
        <is>
          <t>native rebuild avoidance</t>
        </is>
      </c>
      <c r="F13" s="149" t="inlineStr">
        <is>
          <t>MVP/MID</t>
        </is>
      </c>
    </row>
    <row r="14">
      <c r="A14" s="223" t="inlineStr">
        <is>
          <t>Build caches</t>
        </is>
      </c>
      <c r="B14" s="514" t="inlineStr">
        <is>
          <t>Gradle/pub/npm/SPM safe caches</t>
        </is>
      </c>
      <c r="C14" s="514" t="inlineStr">
        <is>
          <t>faster repeat build</t>
        </is>
      </c>
      <c r="D14" s="514" t="inlineStr">
        <is>
          <t>Linux/Mac minutes</t>
        </is>
      </c>
      <c r="E14" s="514" t="inlineStr">
        <is>
          <t>cache hit rate</t>
        </is>
      </c>
      <c r="F14" s="225" t="inlineStr">
        <is>
          <t>MVP/MID</t>
        </is>
      </c>
    </row>
    <row r="15">
      <c r="A15" s="156" t="inlineStr">
        <is>
          <t>Mac on demand</t>
        </is>
      </c>
      <c r="B15" s="157" t="inlineStr">
        <is>
          <t>schedule only Apple work</t>
        </is>
      </c>
      <c r="C15" s="157" t="inlineStr">
        <is>
          <t>Android never uses Mac</t>
        </is>
      </c>
      <c r="D15" s="157" t="inlineStr">
        <is>
          <t>Mac cost</t>
        </is>
      </c>
      <c r="E15" s="157" t="inlineStr">
        <is>
          <t>Mac minutes/iOS success</t>
        </is>
      </c>
      <c r="F15" s="158" t="inlineStr">
        <is>
          <t>MVP</t>
        </is>
      </c>
    </row>
  </sheetData>
  <mergeCells count="2">
    <mergeCell ref="A2:F2"/>
    <mergeCell ref="A1:F1"/>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1" customWidth="1" style="401" min="1" max="1"/>
    <col width="30" customWidth="1" style="401" min="2" max="2"/>
    <col width="28" customWidth="1" style="401" min="3" max="3"/>
    <col width="42" customWidth="1" style="401" min="4" max="4"/>
    <col width="31" customWidth="1" style="401" min="5" max="5"/>
    <col width="38" customWidth="1" style="401" min="6" max="6"/>
  </cols>
  <sheetData>
    <row r="1" ht="30" customHeight="1" s="401">
      <c r="A1" s="552" t="inlineStr">
        <is>
          <t>OmniStackAI V5 — Database Strategy</t>
        </is>
      </c>
      <c r="B1" s="547" t="n"/>
      <c r="C1" s="547" t="n"/>
      <c r="D1" s="547" t="n"/>
      <c r="E1" s="547" t="n"/>
      <c r="F1" s="547" t="n"/>
    </row>
    <row r="2" ht="34" customHeight="1" s="401">
      <c r="A2" s="565" t="inlineStr">
        <is>
          <t>OmniStackAI control plane is PostgreSQL. Generated customer databases are recommended from workload requirements, not copied from a competitor.</t>
        </is>
      </c>
      <c r="B2" s="547" t="n"/>
      <c r="C2" s="547" t="n"/>
      <c r="D2" s="547" t="n"/>
      <c r="E2" s="547" t="n"/>
      <c r="F2" s="547" t="n"/>
    </row>
    <row r="4" ht="28" customHeight="1" s="401">
      <c r="A4" s="141" t="inlineStr">
        <is>
          <t>Scope / Workload</t>
        </is>
      </c>
      <c r="B4" s="142" t="inlineStr">
        <is>
          <t>Recommended</t>
        </is>
      </c>
      <c r="C4" s="142" t="inlineStr">
        <is>
          <t>Alternative</t>
        </is>
      </c>
      <c r="D4" s="142" t="inlineStr">
        <is>
          <t>Why</t>
        </is>
      </c>
      <c r="E4" s="142" t="inlineStr">
        <is>
          <t>Key Features</t>
        </is>
      </c>
      <c r="F4" s="143" t="inlineStr">
        <is>
          <t>Risk / Caveat</t>
        </is>
      </c>
    </row>
    <row r="5">
      <c r="A5" s="144" t="inlineStr">
        <is>
          <t>OmniStackAI control plane</t>
        </is>
      </c>
      <c r="B5" s="145" t="inlineStr">
        <is>
          <t>PostgreSQL + pgvector + JSONB</t>
        </is>
      </c>
      <c r="C5" s="145" t="inlineStr">
        <is>
          <t>specialized stores later</t>
        </is>
      </c>
      <c r="D5" s="145" t="inlineStr">
        <is>
          <t>transactions, constraints, joins, audit, one primary DB</t>
        </is>
      </c>
      <c r="E5" s="145" t="inlineStr">
        <is>
          <t>RLS where useful, HA, backups</t>
        </is>
      </c>
      <c r="F5" s="146" t="inlineStr">
        <is>
          <t>do not overload Postgres with huge raw logs</t>
        </is>
      </c>
    </row>
    <row r="6">
      <c r="A6" s="223" t="inlineStr">
        <is>
          <t>E-commerce / marketplace</t>
        </is>
      </c>
      <c r="B6" s="514" t="inlineStr">
        <is>
          <t>PostgreSQL</t>
        </is>
      </c>
      <c r="C6" s="514" t="inlineStr">
        <is>
          <t>Supabase/Postgres</t>
        </is>
      </c>
      <c r="D6" s="514" t="inlineStr">
        <is>
          <t>orders, inventory, refunds, payments relational</t>
        </is>
      </c>
      <c r="E6" s="514" t="inlineStr">
        <is>
          <t>FKs, transactions, indexes</t>
        </is>
      </c>
      <c r="F6" s="225" t="inlineStr">
        <is>
          <t>design money/idempotency carefully</t>
        </is>
      </c>
    </row>
    <row r="7">
      <c r="A7" s="147" t="inlineStr">
        <is>
          <t>SaaS / CRM / ERP</t>
        </is>
      </c>
      <c r="B7" s="455" t="inlineStr">
        <is>
          <t>PostgreSQL</t>
        </is>
      </c>
      <c r="C7" s="455" t="inlineStr">
        <is>
          <t>Supabase/Postgres</t>
        </is>
      </c>
      <c r="D7" s="455" t="inlineStr">
        <is>
          <t>relational reporting and permissions</t>
        </is>
      </c>
      <c r="E7" s="455" t="inlineStr">
        <is>
          <t>constraints, JSONB</t>
        </is>
      </c>
      <c r="F7" s="149" t="inlineStr">
        <is>
          <t>tenant isolation</t>
        </is>
      </c>
    </row>
    <row r="8">
      <c r="A8" s="223" t="inlineStr">
        <is>
          <t>Taxi / logistics</t>
        </is>
      </c>
      <c r="B8" s="514" t="inlineStr">
        <is>
          <t>PostgreSQL + PostGIS</t>
        </is>
      </c>
      <c r="C8" s="514" t="inlineStr">
        <is>
          <t>existing GIS</t>
        </is>
      </c>
      <c r="D8" s="514" t="inlineStr">
        <is>
          <t>relational + geospatial</t>
        </is>
      </c>
      <c r="E8" s="514" t="inlineStr">
        <is>
          <t>spatial indexes</t>
        </is>
      </c>
      <c r="F8" s="225" t="inlineStr">
        <is>
          <t>route engines may be separate</t>
        </is>
      </c>
    </row>
    <row r="9">
      <c r="A9" s="147" t="inlineStr">
        <is>
          <t>Flexible documents/CMS</t>
        </is>
      </c>
      <c r="B9" s="455" t="inlineStr">
        <is>
          <t>PostgreSQL JSONB</t>
        </is>
      </c>
      <c r="C9" s="455" t="inlineStr">
        <is>
          <t>MongoDB</t>
        </is>
      </c>
      <c r="D9" s="455" t="inlineStr">
        <is>
          <t>flexibility without losing relational core</t>
        </is>
      </c>
      <c r="E9" s="455" t="inlineStr">
        <is>
          <t>GIN/JSONB</t>
        </is>
      </c>
      <c r="F9" s="149" t="inlineStr">
        <is>
          <t>Mongo may win on document-specific workload</t>
        </is>
      </c>
    </row>
    <row r="10">
      <c r="A10" s="223" t="inlineStr">
        <is>
          <t>Rapid mobile BaaS</t>
        </is>
      </c>
      <c r="B10" s="514" t="inlineStr">
        <is>
          <t>Supabase/Postgres</t>
        </is>
      </c>
      <c r="C10" s="514" t="inlineStr">
        <is>
          <t>Firebase/Firestore</t>
        </is>
      </c>
      <c r="D10" s="514" t="inlineStr">
        <is>
          <t>fast auth/storage/realtime</t>
        </is>
      </c>
      <c r="E10" s="514" t="inlineStr">
        <is>
          <t>managed BaaS</t>
        </is>
      </c>
      <c r="F10" s="225" t="inlineStr">
        <is>
          <t>portability/transaction constraints</t>
        </is>
      </c>
    </row>
    <row r="11">
      <c r="A11" s="147" t="inlineStr">
        <is>
          <t>Existing enterprise</t>
        </is>
      </c>
      <c r="B11" s="455" t="inlineStr">
        <is>
          <t>Existing database adapter</t>
        </is>
      </c>
      <c r="C11" s="455" t="inlineStr">
        <is>
          <t>migration</t>
        </is>
      </c>
      <c r="D11" s="455" t="inlineStr">
        <is>
          <t>least disruption</t>
        </is>
      </c>
      <c r="E11" s="455" t="inlineStr">
        <is>
          <t>contracts/IR portable</t>
        </is>
      </c>
      <c r="F11" s="149" t="inlineStr">
        <is>
          <t>never force rewrite silently</t>
        </is>
      </c>
    </row>
    <row r="12">
      <c r="A12" s="239" t="inlineStr">
        <is>
          <t>High-volume analytics later</t>
        </is>
      </c>
      <c r="B12" s="240" t="inlineStr">
        <is>
          <t>ClickHouse/warehouse when measured</t>
        </is>
      </c>
      <c r="C12" s="240" t="inlineStr">
        <is>
          <t>managed warehouse</t>
        </is>
      </c>
      <c r="D12" s="240" t="inlineStr">
        <is>
          <t>columnar analytics</t>
        </is>
      </c>
      <c r="E12" s="240" t="inlineStr">
        <is>
          <t>large event queries</t>
        </is>
      </c>
      <c r="F12" s="241" t="inlineStr">
        <is>
          <t>not MVP default</t>
        </is>
      </c>
    </row>
  </sheetData>
  <mergeCells count="2">
    <mergeCell ref="A2:F2"/>
    <mergeCell ref="A1:F1"/>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9" customWidth="1" style="401" min="1" max="1"/>
    <col width="36" customWidth="1" style="401" min="2" max="2"/>
    <col width="31" customWidth="1" style="401" min="3" max="3"/>
    <col width="42" customWidth="1" style="401" min="4" max="4"/>
    <col width="18" customWidth="1" style="401" min="5" max="5"/>
    <col width="34" customWidth="1" style="401" min="6" max="6"/>
  </cols>
  <sheetData>
    <row r="1" ht="30" customHeight="1" s="401">
      <c r="A1" s="552" t="inlineStr">
        <is>
          <t>OmniStackAI V5 — Incident Bug Flow</t>
        </is>
      </c>
      <c r="B1" s="547" t="n"/>
      <c r="C1" s="547" t="n"/>
      <c r="D1" s="547" t="n"/>
      <c r="E1" s="547" t="n"/>
      <c r="F1" s="547" t="n"/>
    </row>
    <row r="2" ht="34" customHeight="1" s="401">
      <c r="A2" s="565" t="inlineStr">
        <is>
          <t>Production bug handling for a large project months or years later. The platform reconstructs current engineering context from evidence, not old chat.</t>
        </is>
      </c>
      <c r="B2" s="547" t="n"/>
      <c r="C2" s="547" t="n"/>
      <c r="D2" s="547" t="n"/>
      <c r="E2" s="547" t="n"/>
      <c r="F2" s="547" t="n"/>
    </row>
    <row r="4" ht="28" customHeight="1" s="401">
      <c r="A4" s="141" t="inlineStr">
        <is>
          <t>Step</t>
        </is>
      </c>
      <c r="B4" s="142" t="inlineStr">
        <is>
          <t>Action</t>
        </is>
      </c>
      <c r="C4" s="142" t="inlineStr">
        <is>
          <t>Primary System</t>
        </is>
      </c>
      <c r="D4" s="142" t="inlineStr">
        <is>
          <t>Evidence / Output</t>
        </is>
      </c>
      <c r="E4" s="142" t="inlineStr">
        <is>
          <t>Approval?</t>
        </is>
      </c>
      <c r="F4" s="143" t="inlineStr">
        <is>
          <t>Cost Rule</t>
        </is>
      </c>
    </row>
    <row r="5">
      <c r="A5" s="144" t="n">
        <v>1</v>
      </c>
      <c r="B5" s="145" t="inlineStr">
        <is>
          <t>User reports crash/change</t>
        </is>
      </c>
      <c r="C5" s="145" t="inlineStr">
        <is>
          <t>Chat/Issue Agent</t>
        </is>
      </c>
      <c r="D5" s="145" t="inlineStr">
        <is>
          <t>BUG task + feature clues</t>
        </is>
      </c>
      <c r="E5" s="145" t="inlineStr">
        <is>
          <t>No</t>
        </is>
      </c>
      <c r="F5" s="146" t="inlineStr">
        <is>
          <t>small model or structured parse</t>
        </is>
      </c>
    </row>
    <row r="6">
      <c r="A6" s="223" t="n">
        <v>2</v>
      </c>
      <c r="B6" s="514" t="inlineStr">
        <is>
          <t>Identify exact production version</t>
        </is>
      </c>
      <c r="C6" s="514" t="inlineStr">
        <is>
          <t>Deployment/Git/IR index</t>
        </is>
      </c>
      <c r="D6" s="514" t="inlineStr">
        <is>
          <t>deployment, commit, IR, DB version</t>
        </is>
      </c>
      <c r="E6" s="514" t="inlineStr">
        <is>
          <t>No</t>
        </is>
      </c>
      <c r="F6" s="225" t="inlineStr">
        <is>
          <t>deterministic</t>
        </is>
      </c>
    </row>
    <row r="7">
      <c r="A7" s="147" t="n">
        <v>3</v>
      </c>
      <c r="B7" s="455" t="inlineStr">
        <is>
          <t>Collect runtime evidence</t>
        </is>
      </c>
      <c r="C7" s="455" t="inlineStr">
        <is>
          <t>Observability/Remote Debug Bridge</t>
        </is>
      </c>
      <c r="D7" s="455" t="inlineStr">
        <is>
          <t>crash, trace, device, logs</t>
        </is>
      </c>
      <c r="E7" s="455" t="inlineStr">
        <is>
          <t>Access policy</t>
        </is>
      </c>
      <c r="F7" s="149" t="inlineStr">
        <is>
          <t>retrieve only relevant trace</t>
        </is>
      </c>
    </row>
    <row r="8">
      <c r="A8" s="223" t="n">
        <v>4</v>
      </c>
      <c r="B8" s="514" t="inlineStr">
        <is>
          <t>Build Context Pack</t>
        </is>
      </c>
      <c r="C8" s="514" t="inlineStr">
        <is>
          <t>Context Engine</t>
        </is>
      </c>
      <c r="D8" s="514" t="inlineStr">
        <is>
          <t>requirements, ADRs, symbols, recent commits, tests</t>
        </is>
      </c>
      <c r="E8" s="514" t="inlineStr">
        <is>
          <t>No</t>
        </is>
      </c>
      <c r="F8" s="225" t="inlineStr">
        <is>
          <t>bounded context</t>
        </is>
      </c>
    </row>
    <row r="9">
      <c r="A9" s="147" t="n">
        <v>5</v>
      </c>
      <c r="B9" s="455" t="inlineStr">
        <is>
          <t>Predict blast radius</t>
        </is>
      </c>
      <c r="C9" s="455" t="inlineStr">
        <is>
          <t>Change Impact</t>
        </is>
      </c>
      <c r="D9" s="455" t="inlineStr">
        <is>
          <t>allowed modules/APIs/schema/tests</t>
        </is>
      </c>
      <c r="E9" s="455" t="inlineStr">
        <is>
          <t>Policy-based</t>
        </is>
      </c>
      <c r="F9" s="149" t="inlineStr">
        <is>
          <t>no broad repo edit</t>
        </is>
      </c>
    </row>
    <row r="10">
      <c r="A10" s="223" t="n">
        <v>6</v>
      </c>
      <c r="B10" s="514" t="inlineStr">
        <is>
          <t>Create branch/worktree</t>
        </is>
      </c>
      <c r="C10" s="514" t="inlineStr">
        <is>
          <t>GitProvider</t>
        </is>
      </c>
      <c r="D10" s="514" t="inlineStr">
        <is>
          <t>ai/BUG-... isolated task</t>
        </is>
      </c>
      <c r="E10" s="514" t="inlineStr">
        <is>
          <t>No</t>
        </is>
      </c>
      <c r="F10" s="225" t="inlineStr">
        <is>
          <t>cheap</t>
        </is>
      </c>
    </row>
    <row r="11">
      <c r="A11" s="147" t="n">
        <v>7</v>
      </c>
      <c r="B11" s="455" t="inlineStr">
        <is>
          <t>Reproduce</t>
        </is>
      </c>
      <c r="C11" s="455" t="inlineStr">
        <is>
          <t>RuntimeProvider</t>
        </is>
      </c>
      <c r="D11" s="455" t="inlineStr">
        <is>
          <t>confirmed failing case</t>
        </is>
      </c>
      <c r="E11" s="455" t="inlineStr">
        <is>
          <t>No</t>
        </is>
      </c>
      <c r="F11" s="149" t="inlineStr">
        <is>
          <t>cheapest capable runtime</t>
        </is>
      </c>
    </row>
    <row r="12">
      <c r="A12" s="223" t="n">
        <v>8</v>
      </c>
      <c r="B12" s="514" t="inlineStr">
        <is>
          <t>Patch</t>
        </is>
      </c>
      <c r="C12" s="514" t="inlineStr">
        <is>
          <t>Coding Agent</t>
        </is>
      </c>
      <c r="D12" s="514" t="inlineStr">
        <is>
          <t>structured minimal diff</t>
        </is>
      </c>
      <c r="E12" s="514" t="inlineStr">
        <is>
          <t>No/Policy</t>
        </is>
      </c>
      <c r="F12" s="225" t="inlineStr">
        <is>
          <t>L2 model; escalate only if needed</t>
        </is>
      </c>
    </row>
    <row r="13">
      <c r="A13" s="147" t="n">
        <v>9</v>
      </c>
      <c r="B13" s="455" t="inlineStr">
        <is>
          <t>Verify</t>
        </is>
      </c>
      <c r="C13" s="455" t="inlineStr">
        <is>
          <t>Tests/Security</t>
        </is>
      </c>
      <c r="D13" s="455" t="inlineStr">
        <is>
          <t>targeted + regression + blast radius</t>
        </is>
      </c>
      <c r="E13" s="455" t="inlineStr">
        <is>
          <t>No</t>
        </is>
      </c>
      <c r="F13" s="149" t="inlineStr">
        <is>
          <t>deterministic first</t>
        </is>
      </c>
    </row>
    <row r="14">
      <c r="A14" s="223" t="n">
        <v>10</v>
      </c>
      <c r="B14" s="514" t="inlineStr">
        <is>
          <t>Instant Browser Preview</t>
        </is>
      </c>
      <c r="C14" s="514" t="inlineStr">
        <is>
          <t>Preview Service</t>
        </is>
      </c>
      <c r="D14" s="514" t="inlineStr">
        <is>
          <t>visible fix FIRST</t>
        </is>
      </c>
      <c r="E14" s="514" t="inlineStr">
        <is>
          <t>User review</t>
        </is>
      </c>
      <c r="F14" s="225" t="inlineStr">
        <is>
          <t>lowest runtime</t>
        </is>
      </c>
    </row>
    <row r="15">
      <c r="A15" s="147" t="n">
        <v>11</v>
      </c>
      <c r="B15" s="455" t="inlineStr">
        <is>
          <t>Real device / cloud device if required</t>
        </is>
      </c>
      <c r="C15" s="455" t="inlineStr">
        <is>
          <t>DeviceProvider</t>
        </is>
      </c>
      <c r="D15" s="455" t="inlineStr">
        <is>
          <t>actual native proof</t>
        </is>
      </c>
      <c r="E15" s="455" t="inlineStr">
        <is>
          <t>User/policy</t>
        </is>
      </c>
      <c r="F15" s="149" t="inlineStr">
        <is>
          <t>physical before cloud</t>
        </is>
      </c>
    </row>
    <row r="16">
      <c r="A16" s="223" t="n">
        <v>12</v>
      </c>
      <c r="B16" s="514" t="inlineStr">
        <is>
          <t>PR -&gt; staging -&gt; prod</t>
        </is>
      </c>
      <c r="C16" s="514" t="inlineStr">
        <is>
          <t>Git/Deployment</t>
        </is>
      </c>
      <c r="D16" s="514" t="inlineStr">
        <is>
          <t>approved immutable release</t>
        </is>
      </c>
      <c r="E16" s="514" t="inlineStr">
        <is>
          <t>Yes for production</t>
        </is>
      </c>
      <c r="F16" s="225" t="inlineStr">
        <is>
          <t>no repeated side effects</t>
        </is>
      </c>
    </row>
    <row r="17">
      <c r="A17" s="156" t="n">
        <v>13</v>
      </c>
      <c r="B17" s="157" t="inlineStr">
        <is>
          <t>Persist incident memory</t>
        </is>
      </c>
      <c r="C17" s="157" t="inlineStr">
        <is>
          <t>Project Memory</t>
        </is>
      </c>
      <c r="D17" s="157" t="inlineStr">
        <is>
          <t>cause, diff, tests, release, similarity refs</t>
        </is>
      </c>
      <c r="E17" s="157" t="inlineStr">
        <is>
          <t>No</t>
        </is>
      </c>
      <c r="F17" s="158" t="inlineStr">
        <is>
          <t>future cost reduction</t>
        </is>
      </c>
    </row>
  </sheetData>
  <mergeCells count="2">
    <mergeCell ref="A2:F2"/>
    <mergeCell ref="A1:F1"/>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1" customWidth="1" style="401" min="1" max="1"/>
    <col width="31" customWidth="1" style="401" min="2" max="2"/>
    <col width="30" customWidth="1" style="401" min="3" max="3"/>
    <col width="29" customWidth="1" style="401" min="4" max="4"/>
    <col width="29" customWidth="1" style="401" min="5" max="5"/>
    <col width="34" customWidth="1" style="401" min="6" max="6"/>
    <col width="43" customWidth="1" style="401" min="7" max="7"/>
  </cols>
  <sheetData>
    <row r="1" ht="30" customHeight="1" s="401">
      <c r="A1" s="552" t="inlineStr">
        <is>
          <t>OmniStackAI V5 — Competitor Matrix</t>
        </is>
      </c>
      <c r="B1" s="547" t="n"/>
      <c r="C1" s="547" t="n"/>
      <c r="D1" s="547" t="n"/>
      <c r="E1" s="547" t="n"/>
      <c r="F1" s="547" t="n"/>
      <c r="G1" s="547" t="n"/>
    </row>
    <row r="2" ht="34" customHeight="1" s="401">
      <c r="A2" s="565" t="inlineStr">
        <is>
          <t>Publicly documented position as of September 2026. Use for internal strategy; revalidate before external marketing.</t>
        </is>
      </c>
      <c r="B2" s="547" t="n"/>
      <c r="C2" s="547" t="n"/>
      <c r="D2" s="547" t="n"/>
      <c r="E2" s="547" t="n"/>
      <c r="F2" s="547" t="n"/>
      <c r="G2" s="547" t="n"/>
    </row>
    <row r="4" ht="28" customHeight="1" s="401">
      <c r="A4" s="141" t="inlineStr">
        <is>
          <t>Capability</t>
        </is>
      </c>
      <c r="B4" s="142" t="inlineStr">
        <is>
          <t>Emergent</t>
        </is>
      </c>
      <c r="C4" s="142" t="inlineStr">
        <is>
          <t>Lovable</t>
        </is>
      </c>
      <c r="D4" s="142" t="inlineStr">
        <is>
          <t>Bolt</t>
        </is>
      </c>
      <c r="E4" s="142" t="inlineStr">
        <is>
          <t>Replit</t>
        </is>
      </c>
      <c r="F4" s="142" t="inlineStr">
        <is>
          <t>Cursor/Windsurf reference</t>
        </is>
      </c>
      <c r="G4" s="143" t="inlineStr">
        <is>
          <t>OmniStackAI Target</t>
        </is>
      </c>
    </row>
    <row r="5">
      <c r="A5" s="144" t="inlineStr">
        <is>
          <t>Full product from natural language</t>
        </is>
      </c>
      <c r="B5" s="145" t="inlineStr">
        <is>
          <t>Yes</t>
        </is>
      </c>
      <c r="C5" s="145" t="inlineStr">
        <is>
          <t>Yes, web-focused</t>
        </is>
      </c>
      <c r="D5" s="145" t="inlineStr">
        <is>
          <t>Yes</t>
        </is>
      </c>
      <c r="E5" s="145" t="inlineStr">
        <is>
          <t>Yes</t>
        </is>
      </c>
      <c r="F5" s="145" t="inlineStr">
        <is>
          <t>Developer-agent focus</t>
        </is>
      </c>
      <c r="G5" s="146" t="inlineStr">
        <is>
          <t>Yes</t>
        </is>
      </c>
    </row>
    <row r="6">
      <c r="A6" s="223" t="inlineStr">
        <is>
          <t>Mobile generated stack</t>
        </is>
      </c>
      <c r="B6" s="514" t="inlineStr">
        <is>
          <t>Expo/React Native</t>
        </is>
      </c>
      <c r="C6" s="514" t="inlineStr">
        <is>
          <t>No native-generation core in public docs</t>
        </is>
      </c>
      <c r="D6" s="514" t="inlineStr">
        <is>
          <t>Expo</t>
        </is>
      </c>
      <c r="E6" s="514" t="inlineStr">
        <is>
          <t>React Native/Expo</t>
        </is>
      </c>
      <c r="F6" s="514" t="inlineStr">
        <is>
          <t>IDE assistants</t>
        </is>
      </c>
      <c r="G6" s="225" t="inlineStr">
        <is>
          <t>Expo/RN + Flutter + Kotlin + Swift</t>
        </is>
      </c>
    </row>
    <row r="7">
      <c r="A7" s="147" t="inlineStr">
        <is>
          <t>Flutter/native Kotlin/native Swift</t>
        </is>
      </c>
      <c r="B7" s="455" t="inlineStr">
        <is>
          <t>Emergent Mobile Agent says unsupported</t>
        </is>
      </c>
      <c r="C7" s="455" t="inlineStr">
        <is>
          <t>Not core</t>
        </is>
      </c>
      <c r="D7" s="455" t="inlineStr">
        <is>
          <t>Not core</t>
        </is>
      </c>
      <c r="E7" s="455" t="inlineStr">
        <is>
          <t>Not core</t>
        </is>
      </c>
      <c r="F7" s="455" t="inlineStr">
        <is>
          <t>Can edit existing repos</t>
        </is>
      </c>
      <c r="G7" s="149" t="inlineStr">
        <is>
          <t>First-class adapters</t>
        </is>
      </c>
    </row>
    <row r="8">
      <c r="A8" s="223" t="inlineStr">
        <is>
          <t>Database default/direction</t>
        </is>
      </c>
      <c r="B8" s="514" t="inlineStr">
        <is>
          <t>MongoDB common/default generated stack</t>
        </is>
      </c>
      <c r="C8" s="514" t="inlineStr">
        <is>
          <t>PostgreSQL via Cloud/Supabase foundation</t>
        </is>
      </c>
      <c r="D8" s="514" t="inlineStr">
        <is>
          <t>JS/Supabase options</t>
        </is>
      </c>
      <c r="E8" s="514" t="inlineStr">
        <is>
          <t>multiple services</t>
        </is>
      </c>
      <c r="F8" s="514" t="inlineStr">
        <is>
          <t>works with existing repo</t>
        </is>
      </c>
      <c r="G8" s="225" t="inlineStr">
        <is>
          <t>Auto -&gt; PostgreSQL; Mongo/Supabase/Firebase/existing optional</t>
        </is>
      </c>
    </row>
    <row r="9">
      <c r="A9" s="147" t="inlineStr">
        <is>
          <t>Execution</t>
        </is>
      </c>
      <c r="B9" s="455" t="inlineStr">
        <is>
          <t>Full Linux K8s pods</t>
        </is>
      </c>
      <c r="C9" s="455" t="inlineStr">
        <is>
          <t>Managed cloud</t>
        </is>
      </c>
      <c r="D9" s="455" t="inlineStr">
        <is>
          <t>WebContainers/browser-centered</t>
        </is>
      </c>
      <c r="E9" s="455" t="inlineStr">
        <is>
          <t>Cloud workspace</t>
        </is>
      </c>
      <c r="F9" s="455" t="inlineStr">
        <is>
          <t>developer environments</t>
        </is>
      </c>
      <c r="G9" s="149" t="inlineStr">
        <is>
          <t>Tiered browser/Linux/microVM/Android/macOS/local/BYOC</t>
        </is>
      </c>
    </row>
    <row r="10">
      <c r="A10" s="223" t="inlineStr">
        <is>
          <t>Low-cost device preview</t>
        </is>
      </c>
      <c r="B10" s="514" t="inlineStr">
        <is>
          <t>Expo Go/EAS</t>
        </is>
      </c>
      <c r="C10" s="514" t="inlineStr">
        <is>
          <t>N/A native</t>
        </is>
      </c>
      <c r="D10" s="514" t="inlineStr">
        <is>
          <t>Expo Go/EAS</t>
        </is>
      </c>
      <c r="E10" s="514" t="inlineStr">
        <is>
          <t>Expo Go</t>
        </is>
      </c>
      <c r="F10" s="514" t="inlineStr">
        <is>
          <t>N/A builder platform</t>
        </is>
      </c>
      <c r="G10" s="225" t="inlineStr">
        <is>
          <t>Browser first + Expo QR + APK QR + TestFlight</t>
        </is>
      </c>
    </row>
    <row r="11">
      <c r="A11" s="147" t="inlineStr">
        <is>
          <t>Long workflow durability</t>
        </is>
      </c>
      <c r="B11" s="455" t="inlineStr">
        <is>
          <t>Temporal publicly documented</t>
        </is>
      </c>
      <c r="C11" s="455" t="inlineStr">
        <is>
          <t>Managed product behavior</t>
        </is>
      </c>
      <c r="D11" s="455" t="inlineStr">
        <is>
          <t>Managed product behavior</t>
        </is>
      </c>
      <c r="E11" s="455" t="inlineStr">
        <is>
          <t>Checkpoints/agent infra</t>
        </is>
      </c>
      <c r="F11" s="455" t="inlineStr">
        <is>
          <t>Agent state varies</t>
        </is>
      </c>
      <c r="G11" s="149" t="inlineStr">
        <is>
          <t>Temporal + platform-owned event ledger</t>
        </is>
      </c>
    </row>
    <row r="12">
      <c r="A12" s="223" t="inlineStr">
        <is>
          <t>Project context/memory</t>
        </is>
      </c>
      <c r="B12" s="514" t="inlineStr">
        <is>
          <t>~200K + compression/forks + filtered subagents</t>
        </is>
      </c>
      <c r="C12" s="514" t="inlineStr">
        <is>
          <t>Project/workspace knowledge</t>
        </is>
      </c>
      <c r="D12" s="514" t="inlineStr">
        <is>
          <t>Project Knowledge + context cleanup</t>
        </is>
      </c>
      <c r="E12" s="514" t="inlineStr">
        <is>
          <t>Checkpoints/context</t>
        </is>
      </c>
      <c r="F12" s="514" t="inlineStr">
        <is>
          <t>Rules/memories + indexed retrieval</t>
        </is>
      </c>
      <c r="G12" s="225" t="inlineStr">
        <is>
          <t>IR + code graph + runtime evidence + evidence-backed memory</t>
        </is>
      </c>
    </row>
    <row r="13">
      <c r="A13" s="147" t="inlineStr">
        <is>
          <t>Code ownership</t>
        </is>
      </c>
      <c r="B13" s="455" t="inlineStr">
        <is>
          <t>GitHub/export</t>
        </is>
      </c>
      <c r="C13" s="455" t="inlineStr">
        <is>
          <t>Git sync/export</t>
        </is>
      </c>
      <c r="D13" s="455" t="inlineStr">
        <is>
          <t>GitHub</t>
        </is>
      </c>
      <c r="E13" s="455" t="inlineStr">
        <is>
          <t>Git</t>
        </is>
      </c>
      <c r="F13" s="455" t="inlineStr">
        <is>
          <t>existing repo</t>
        </is>
      </c>
      <c r="G13" s="149" t="inlineStr">
        <is>
          <t>customer Git + handover</t>
        </is>
      </c>
    </row>
    <row r="14">
      <c r="A14" s="239" t="inlineStr">
        <is>
          <t>Primary differentiation</t>
        </is>
      </c>
      <c r="B14" s="240" t="inlineStr">
        <is>
          <t>full Linux + autonomous app build</t>
        </is>
      </c>
      <c r="C14" s="240" t="inlineStr">
        <is>
          <t>smooth full-stack web UX</t>
        </is>
      </c>
      <c r="D14" s="240" t="inlineStr">
        <is>
          <t>browser speed + JS/Expo</t>
        </is>
      </c>
      <c r="E14" s="240" t="inlineStr">
        <is>
          <t>integrated cloud dev + Expo</t>
        </is>
      </c>
      <c r="F14" s="240" t="inlineStr">
        <is>
          <t>deep developer code context</t>
        </is>
      </c>
      <c r="G14" s="241" t="inlineStr">
        <is>
          <t>multi-target engineering + cost/safety governance</t>
        </is>
      </c>
    </row>
  </sheetData>
  <mergeCells count="2">
    <mergeCell ref="A2:G2"/>
    <mergeCell ref="A1:G1"/>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style="401" min="1" max="1"/>
    <col width="14" customWidth="1" style="401" min="2" max="2"/>
    <col width="31" customWidth="1" style="401" min="3" max="3"/>
    <col width="44" customWidth="1" style="401" min="4" max="4"/>
    <col width="36" customWidth="1" style="401" min="5" max="5"/>
    <col width="15" customWidth="1" style="401" min="6" max="6"/>
  </cols>
  <sheetData>
    <row r="1" ht="30" customHeight="1" s="401">
      <c r="A1" s="552" t="inlineStr">
        <is>
          <t>OmniStackAI V5 — Client Handover</t>
        </is>
      </c>
      <c r="B1" s="547" t="n"/>
      <c r="C1" s="547" t="n"/>
      <c r="D1" s="547" t="n"/>
      <c r="E1" s="547" t="n"/>
      <c r="F1" s="547" t="n"/>
    </row>
    <row r="2" ht="34" customHeight="1" s="401">
      <c r="A2" s="565" t="inlineStr">
        <is>
          <t>Customer source ownership is a product feature. A project must remain maintainable outside OmniStackAI.</t>
        </is>
      </c>
      <c r="B2" s="547" t="n"/>
      <c r="C2" s="547" t="n"/>
      <c r="D2" s="547" t="n"/>
      <c r="E2" s="547" t="n"/>
      <c r="F2" s="547" t="n"/>
    </row>
    <row r="4" ht="28" customHeight="1" s="401">
      <c r="A4" s="141" t="inlineStr">
        <is>
          <t>Deliverable</t>
        </is>
      </c>
      <c r="B4" s="142" t="inlineStr">
        <is>
          <t>Required</t>
        </is>
      </c>
      <c r="C4" s="142" t="inlineStr">
        <is>
          <t>Generated / Verified By</t>
        </is>
      </c>
      <c r="D4" s="142" t="inlineStr">
        <is>
          <t>Contains</t>
        </is>
      </c>
      <c r="E4" s="142" t="inlineStr">
        <is>
          <t>Must Exclude</t>
        </is>
      </c>
      <c r="F4" s="143" t="inlineStr">
        <is>
          <t>Phase</t>
        </is>
      </c>
    </row>
    <row r="5">
      <c r="A5" s="144" t="inlineStr">
        <is>
          <t>Source repository</t>
        </is>
      </c>
      <c r="B5" s="145" t="inlineStr">
        <is>
          <t>Yes</t>
        </is>
      </c>
      <c r="C5" s="145" t="inlineStr">
        <is>
          <t>GitProvider</t>
        </is>
      </c>
      <c r="D5" s="145" t="inlineStr">
        <is>
          <t>all customer source + history</t>
        </is>
      </c>
      <c r="E5" s="145" t="inlineStr">
        <is>
          <t>platform internal secrets</t>
        </is>
      </c>
      <c r="F5" s="146" t="inlineStr">
        <is>
          <t>MVP</t>
        </is>
      </c>
    </row>
    <row r="6">
      <c r="A6" s="223" t="inlineStr">
        <is>
          <t>Application IR</t>
        </is>
      </c>
      <c r="B6" s="514" t="inlineStr">
        <is>
          <t>Yes</t>
        </is>
      </c>
      <c r="C6" s="514" t="inlineStr">
        <is>
          <t>IR service</t>
        </is>
      </c>
      <c r="D6" s="514" t="inlineStr">
        <is>
          <t>product behavior, targets, acceptance</t>
        </is>
      </c>
      <c r="E6" s="514" t="inlineStr">
        <is>
          <t>raw private chat dumps</t>
        </is>
      </c>
      <c r="F6" s="225" t="inlineStr">
        <is>
          <t>MVP</t>
        </is>
      </c>
    </row>
    <row r="7">
      <c r="A7" s="147" t="inlineStr">
        <is>
          <t>ADRs / architecture</t>
        </is>
      </c>
      <c r="B7" s="455" t="inlineStr">
        <is>
          <t>Yes</t>
        </is>
      </c>
      <c r="C7" s="455" t="inlineStr">
        <is>
          <t>Architect/Review</t>
        </is>
      </c>
      <c r="D7" s="455" t="inlineStr">
        <is>
          <t>decisions, reasons, exit strategies</t>
        </is>
      </c>
      <c r="E7" s="455" t="inlineStr">
        <is>
          <t>unverified assumptions</t>
        </is>
      </c>
      <c r="F7" s="149" t="inlineStr">
        <is>
          <t>MVP/MID</t>
        </is>
      </c>
    </row>
    <row r="8">
      <c r="A8" s="223" t="inlineStr">
        <is>
          <t>API contracts</t>
        </is>
      </c>
      <c r="B8" s="514" t="inlineStr">
        <is>
          <t>Yes</t>
        </is>
      </c>
      <c r="C8" s="514" t="inlineStr">
        <is>
          <t>Contract service</t>
        </is>
      </c>
      <c r="D8" s="514" t="inlineStr">
        <is>
          <t>OpenAPI/AsyncAPI/generated clients</t>
        </is>
      </c>
      <c r="E8" s="514" t="inlineStr">
        <is>
          <t>secrets</t>
        </is>
      </c>
      <c r="F8" s="225" t="inlineStr">
        <is>
          <t>MVP</t>
        </is>
      </c>
    </row>
    <row r="9">
      <c r="A9" s="147" t="inlineStr">
        <is>
          <t>DB package</t>
        </is>
      </c>
      <c r="B9" s="455" t="inlineStr">
        <is>
          <t>Yes</t>
        </is>
      </c>
      <c r="C9" s="455" t="inlineStr">
        <is>
          <t>DB agent</t>
        </is>
      </c>
      <c r="D9" s="455" t="inlineStr">
        <is>
          <t>schema/migrations/seeds</t>
        </is>
      </c>
      <c r="E9" s="455" t="inlineStr">
        <is>
          <t>production credentials</t>
        </is>
      </c>
      <c r="F9" s="149" t="inlineStr">
        <is>
          <t>MVP</t>
        </is>
      </c>
    </row>
    <row r="10">
      <c r="A10" s="223" t="inlineStr">
        <is>
          <t>Developer setup</t>
        </is>
      </c>
      <c r="B10" s="514" t="inlineStr">
        <is>
          <t>Yes</t>
        </is>
      </c>
      <c r="C10" s="514" t="inlineStr">
        <is>
          <t>Template/build service</t>
        </is>
      </c>
      <c r="D10" s="514" t="inlineStr">
        <is>
          <t>bootstrap/lint/test/build/preview</t>
        </is>
      </c>
      <c r="E10" s="514" t="inlineStr">
        <is>
          <t>internal-only infra endpoints</t>
        </is>
      </c>
      <c r="F10" s="225" t="inlineStr">
        <is>
          <t>MVP/MID</t>
        </is>
      </c>
    </row>
    <row r="11">
      <c r="A11" s="147" t="inlineStr">
        <is>
          <t>CI/CD &amp; deployment</t>
        </is>
      </c>
      <c r="B11" s="455" t="inlineStr">
        <is>
          <t>Yes</t>
        </is>
      </c>
      <c r="C11" s="455" t="inlineStr">
        <is>
          <t>Deployment service</t>
        </is>
      </c>
      <c r="D11" s="455" t="inlineStr">
        <is>
          <t>environments, promotion, rollback</t>
        </is>
      </c>
      <c r="E11" s="455" t="inlineStr">
        <is>
          <t>private keys</t>
        </is>
      </c>
      <c r="F11" s="149" t="inlineStr">
        <is>
          <t>MID</t>
        </is>
      </c>
    </row>
    <row r="12">
      <c r="A12" s="223" t="inlineStr">
        <is>
          <t>Security/SBOM/provenance</t>
        </is>
      </c>
      <c r="B12" s="514" t="inlineStr">
        <is>
          <t>Yes</t>
        </is>
      </c>
      <c r="C12" s="514" t="inlineStr">
        <is>
          <t>Security/release</t>
        </is>
      </c>
      <c r="D12" s="514" t="inlineStr">
        <is>
          <t>scan reports, licenses, digests</t>
        </is>
      </c>
      <c r="E12" s="514" t="inlineStr">
        <is>
          <t>sensitive scanner credentials</t>
        </is>
      </c>
      <c r="F12" s="225" t="inlineStr">
        <is>
          <t>MID</t>
        </is>
      </c>
    </row>
    <row r="13">
      <c r="A13" s="147" t="inlineStr">
        <is>
          <t>Signing ownership checklist</t>
        </is>
      </c>
      <c r="B13" s="455" t="inlineStr">
        <is>
          <t>Mobile projects</t>
        </is>
      </c>
      <c r="C13" s="455" t="inlineStr">
        <is>
          <t>Signing service</t>
        </is>
      </c>
      <c r="D13" s="455" t="inlineStr">
        <is>
          <t>key ownership/process/App Store/Play ownership</t>
        </is>
      </c>
      <c r="E13" s="455" t="inlineStr">
        <is>
          <t>raw private keys</t>
        </is>
      </c>
      <c r="F13" s="149" t="inlineStr">
        <is>
          <t>MID</t>
        </is>
      </c>
    </row>
    <row r="14">
      <c r="A14" s="239" t="inlineStr">
        <is>
          <t>Release history/runbooks</t>
        </is>
      </c>
      <c r="B14" s="240" t="inlineStr">
        <is>
          <t>Yes</t>
        </is>
      </c>
      <c r="C14" s="240" t="inlineStr">
        <is>
          <t>Deployment/observability</t>
        </is>
      </c>
      <c r="D14" s="240" t="inlineStr">
        <is>
          <t>versions, incidents, operations</t>
        </is>
      </c>
      <c r="E14" s="240" t="inlineStr">
        <is>
          <t>unnecessary user PII</t>
        </is>
      </c>
      <c r="F14" s="241" t="inlineStr">
        <is>
          <t>MID</t>
        </is>
      </c>
    </row>
  </sheetData>
  <mergeCells count="2">
    <mergeCell ref="A2:F2"/>
    <mergeCell ref="A1:F1"/>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0" customWidth="1" style="401" min="1" max="1"/>
    <col width="45" customWidth="1" style="401" min="2" max="2"/>
    <col width="30" customWidth="1" style="401" min="3" max="3"/>
    <col width="34" customWidth="1" style="401" min="4" max="4"/>
    <col width="42" customWidth="1" style="401" min="5" max="5"/>
    <col width="36" customWidth="1" style="401" min="6" max="6"/>
    <col width="21" customWidth="1" style="401" min="7" max="7"/>
  </cols>
  <sheetData>
    <row r="1" ht="30" customHeight="1" s="401">
      <c r="A1" s="552" t="inlineStr">
        <is>
          <t>OmniStackAI V5 — Publishing Release</t>
        </is>
      </c>
      <c r="B1" s="547" t="n"/>
      <c r="C1" s="547" t="n"/>
      <c r="D1" s="547" t="n"/>
      <c r="E1" s="547" t="n"/>
      <c r="F1" s="547" t="n"/>
      <c r="G1" s="547" t="n"/>
    </row>
    <row r="2" ht="34" customHeight="1" s="401">
      <c r="A2" s="565" t="inlineStr">
        <is>
          <t>Immutable, traceable releases for web, Android and iOS. Coding agents never read raw signing keys.</t>
        </is>
      </c>
      <c r="B2" s="547" t="n"/>
      <c r="C2" s="547" t="n"/>
      <c r="D2" s="547" t="n"/>
      <c r="E2" s="547" t="n"/>
      <c r="F2" s="547" t="n"/>
      <c r="G2" s="547" t="n"/>
    </row>
    <row r="4" ht="28" customHeight="1" s="401">
      <c r="A4" s="141" t="inlineStr">
        <is>
          <t>Target</t>
        </is>
      </c>
      <c r="B4" s="142" t="inlineStr">
        <is>
          <t>Pipeline</t>
        </is>
      </c>
      <c r="C4" s="142" t="inlineStr">
        <is>
          <t>Artifact</t>
        </is>
      </c>
      <c r="D4" s="142" t="inlineStr">
        <is>
          <t>Signing</t>
        </is>
      </c>
      <c r="E4" s="142" t="inlineStr">
        <is>
          <t>Promotion / Store</t>
        </is>
      </c>
      <c r="F4" s="142" t="inlineStr">
        <is>
          <t>Rollback</t>
        </is>
      </c>
      <c r="G4" s="143" t="inlineStr">
        <is>
          <t>Approval</t>
        </is>
      </c>
    </row>
    <row r="5">
      <c r="A5" s="144" t="inlineStr">
        <is>
          <t>Web</t>
        </is>
      </c>
      <c r="B5" s="145" t="inlineStr">
        <is>
          <t>commit -&gt; build/test/scan -&gt; OCI -&gt; health</t>
        </is>
      </c>
      <c r="C5" s="145" t="inlineStr">
        <is>
          <t>OCI image + SBOM + digest</t>
        </is>
      </c>
      <c r="D5" s="145" t="inlineStr">
        <is>
          <t>Cosign/supply-chain signing</t>
        </is>
      </c>
      <c r="E5" s="145" t="inlineStr">
        <is>
          <t>preview -&gt; staging -&gt; isolated production -&gt; atomic traffic switch</t>
        </is>
      </c>
      <c r="F5" s="145" t="inlineStr">
        <is>
          <t>pointer to previous known-good run</t>
        </is>
      </c>
      <c r="G5" s="146" t="inlineStr">
        <is>
          <t>production</t>
        </is>
      </c>
    </row>
    <row r="6">
      <c r="A6" s="223" t="inlineStr">
        <is>
          <t>Backend</t>
        </is>
      </c>
      <c r="B6" s="514" t="inlineStr">
        <is>
          <t>commit -&gt; test/container/migrations check</t>
        </is>
      </c>
      <c r="C6" s="514" t="inlineStr">
        <is>
          <t>OCI image</t>
        </is>
      </c>
      <c r="D6" s="514" t="inlineStr">
        <is>
          <t>artifact signing</t>
        </is>
      </c>
      <c r="E6" s="514" t="inlineStr">
        <is>
          <t>staging -&gt; production</t>
        </is>
      </c>
      <c r="F6" s="514" t="inlineStr">
        <is>
          <t>immutable prior run</t>
        </is>
      </c>
      <c r="G6" s="225" t="inlineStr">
        <is>
          <t>production</t>
        </is>
      </c>
    </row>
    <row r="7">
      <c r="A7" s="147" t="inlineStr">
        <is>
          <t>Android test</t>
        </is>
      </c>
      <c r="B7" s="455" t="inlineStr">
        <is>
          <t>commit -&gt; Gradle/test/scan</t>
        </is>
      </c>
      <c r="C7" s="455" t="inlineStr">
        <is>
          <t>APK</t>
        </is>
      </c>
      <c r="D7" s="455" t="inlineStr">
        <is>
          <t>isolated dev signing</t>
        </is>
      </c>
      <c r="E7" s="455" t="inlineStr">
        <is>
          <t>secure object store -&gt; short-lived QR</t>
        </is>
      </c>
      <c r="F7" s="455" t="inlineStr">
        <is>
          <t>build previous APK</t>
        </is>
      </c>
      <c r="G7" s="149" t="inlineStr">
        <is>
          <t>user/request</t>
        </is>
      </c>
    </row>
    <row r="8">
      <c r="A8" s="223" t="inlineStr">
        <is>
          <t>Android store</t>
        </is>
      </c>
      <c r="B8" s="514" t="inlineStr">
        <is>
          <t>commit -&gt; Gradle/test/scan</t>
        </is>
      </c>
      <c r="C8" s="514" t="inlineStr">
        <is>
          <t>AAB</t>
        </is>
      </c>
      <c r="D8" s="514" t="inlineStr">
        <is>
          <t>isolated release signing</t>
        </is>
      </c>
      <c r="E8" s="514" t="inlineStr">
        <is>
          <t>Play internal/closed -&gt; production</t>
        </is>
      </c>
      <c r="F8" s="514" t="inlineStr">
        <is>
          <t>store/version rollback strategy</t>
        </is>
      </c>
      <c r="G8" s="225" t="inlineStr">
        <is>
          <t>explicit</t>
        </is>
      </c>
    </row>
    <row r="9">
      <c r="A9" s="147" t="inlineStr">
        <is>
          <t>iOS test</t>
        </is>
      </c>
      <c r="B9" s="455" t="inlineStr">
        <is>
          <t>commit -&gt; Xcode/test/archive</t>
        </is>
      </c>
      <c r="C9" s="455" t="inlineStr">
        <is>
          <t>IPA/TestFlight build</t>
        </is>
      </c>
      <c r="D9" s="455" t="inlineStr">
        <is>
          <t>isolated Apple signing/provisioning</t>
        </is>
      </c>
      <c r="E9" s="455" t="inlineStr">
        <is>
          <t>TestFlight</t>
        </is>
      </c>
      <c r="F9" s="455" t="inlineStr">
        <is>
          <t>new build / previous approved build</t>
        </is>
      </c>
      <c r="G9" s="149" t="inlineStr">
        <is>
          <t>explicit credentials/use</t>
        </is>
      </c>
    </row>
    <row r="10">
      <c r="A10" s="239" t="inlineStr">
        <is>
          <t>iOS store</t>
        </is>
      </c>
      <c r="B10" s="240" t="inlineStr">
        <is>
          <t>approved archive -&gt; App Store Connect</t>
        </is>
      </c>
      <c r="C10" s="240" t="inlineStr">
        <is>
          <t>signed archive/IPA</t>
        </is>
      </c>
      <c r="D10" s="240" t="inlineStr">
        <is>
          <t>KMS/HSM/brokered signing</t>
        </is>
      </c>
      <c r="E10" s="240" t="inlineStr">
        <is>
          <t>App Store review -&gt; release</t>
        </is>
      </c>
      <c r="F10" s="240" t="inlineStr">
        <is>
          <t>store-managed version strategy</t>
        </is>
      </c>
      <c r="G10" s="241" t="inlineStr">
        <is>
          <t>explicit</t>
        </is>
      </c>
    </row>
  </sheetData>
  <mergeCells count="2">
    <mergeCell ref="A2:G2"/>
    <mergeCell ref="A1:G1"/>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8" customWidth="1" style="401" min="1" max="1"/>
    <col width="17" customWidth="1" style="401" min="2" max="2"/>
    <col width="46" customWidth="1" style="401" min="3" max="3"/>
    <col width="43" customWidth="1" style="401" min="4" max="4"/>
    <col width="31" customWidth="1" style="401" min="5" max="5"/>
    <col width="15" customWidth="1" style="401" min="6" max="6"/>
  </cols>
  <sheetData>
    <row r="1" ht="30" customHeight="1" s="401">
      <c r="A1" s="552" t="inlineStr">
        <is>
          <t>OmniStackAI V5 — Unit Economics</t>
        </is>
      </c>
      <c r="B1" s="547" t="n"/>
      <c r="C1" s="547" t="n"/>
      <c r="D1" s="547" t="n"/>
      <c r="E1" s="547" t="n"/>
      <c r="F1" s="547" t="n"/>
    </row>
    <row r="2" ht="34" customHeight="1" s="401">
      <c r="A2" s="565" t="inlineStr">
        <is>
          <t>Measure the total cost of a verified accepted task. The architecture should systematically push work toward cheaper evidence sources and runtimes.</t>
        </is>
      </c>
      <c r="B2" s="547" t="n"/>
      <c r="C2" s="547" t="n"/>
      <c r="D2" s="547" t="n"/>
      <c r="E2" s="547" t="n"/>
      <c r="F2" s="547" t="n"/>
    </row>
    <row r="4" ht="28" customHeight="1" s="401">
      <c r="A4" s="141" t="inlineStr">
        <is>
          <t>Cost Component</t>
        </is>
      </c>
      <c r="B4" s="142" t="inlineStr">
        <is>
          <t>Unit</t>
        </is>
      </c>
      <c r="C4" s="142" t="inlineStr">
        <is>
          <t>Avoid / Reduce By</t>
        </is>
      </c>
      <c r="D4" s="142" t="inlineStr">
        <is>
          <t>When It Is Worth Paying</t>
        </is>
      </c>
      <c r="E4" s="142" t="inlineStr">
        <is>
          <t>Tracked KPI</t>
        </is>
      </c>
      <c r="F4" s="143" t="inlineStr">
        <is>
          <t>Phase</t>
        </is>
      </c>
    </row>
    <row r="5">
      <c r="A5" s="144" t="inlineStr">
        <is>
          <t>LLM input</t>
        </is>
      </c>
      <c r="B5" s="145" t="inlineStr">
        <is>
          <t>tokens</t>
        </is>
      </c>
      <c r="C5" s="145" t="inlineStr">
        <is>
          <t>Context Pack, deterministic tools, cache, compact logs</t>
        </is>
      </c>
      <c r="D5" s="145" t="inlineStr">
        <is>
          <t>complex reasoning needs evidence</t>
        </is>
      </c>
      <c r="E5" s="145" t="inlineStr">
        <is>
          <t>input tokens / success</t>
        </is>
      </c>
      <c r="F5" s="146" t="inlineStr">
        <is>
          <t>MVP</t>
        </is>
      </c>
    </row>
    <row r="6">
      <c r="A6" s="223" t="inlineStr">
        <is>
          <t>LLM output</t>
        </is>
      </c>
      <c r="B6" s="514" t="inlineStr">
        <is>
          <t>tokens</t>
        </is>
      </c>
      <c r="C6" s="514" t="inlineStr">
        <is>
          <t>structured patches, concise tool plans</t>
        </is>
      </c>
      <c r="D6" s="514" t="inlineStr">
        <is>
          <t>implementation/review</t>
        </is>
      </c>
      <c r="E6" s="514" t="inlineStr">
        <is>
          <t>output tokens / success</t>
        </is>
      </c>
      <c r="F6" s="225" t="inlineStr">
        <is>
          <t>MVP</t>
        </is>
      </c>
    </row>
    <row r="7">
      <c r="A7" s="147" t="inlineStr">
        <is>
          <t>Embedding/index</t>
        </is>
      </c>
      <c r="B7" s="455" t="inlineStr">
        <is>
          <t>chunks</t>
        </is>
      </c>
      <c r="C7" s="455" t="inlineStr">
        <is>
          <t>incremental hash-based indexing</t>
        </is>
      </c>
      <c r="D7" s="455" t="inlineStr">
        <is>
          <t>new/changed code</t>
        </is>
      </c>
      <c r="E7" s="455" t="inlineStr">
        <is>
          <t>index cost / changed LOC</t>
        </is>
      </c>
      <c r="F7" s="149" t="inlineStr">
        <is>
          <t>MVP/MID</t>
        </is>
      </c>
    </row>
    <row r="8">
      <c r="A8" s="223" t="inlineStr">
        <is>
          <t>Linux runtime</t>
        </is>
      </c>
      <c r="B8" s="514" t="inlineStr">
        <is>
          <t>seconds</t>
        </is>
      </c>
      <c r="C8" s="514" t="inlineStr">
        <is>
          <t>browser runtime, fast teardown, cache</t>
        </is>
      </c>
      <c r="D8" s="514" t="inlineStr">
        <is>
          <t>real server/build/test required</t>
        </is>
      </c>
      <c r="E8" s="514" t="inlineStr">
        <is>
          <t>Linux min / success</t>
        </is>
      </c>
      <c r="F8" s="225" t="inlineStr">
        <is>
          <t>MVP</t>
        </is>
      </c>
    </row>
    <row r="9">
      <c r="A9" s="147" t="inlineStr">
        <is>
          <t>Android build</t>
        </is>
      </c>
      <c r="B9" s="455" t="inlineStr">
        <is>
          <t>seconds</t>
        </is>
      </c>
      <c r="C9" s="455" t="inlineStr">
        <is>
          <t>native fingerprint, Gradle cache, Expo hot update</t>
        </is>
      </c>
      <c r="D9" s="455" t="inlineStr">
        <is>
          <t>new native binary needed</t>
        </is>
      </c>
      <c r="E9" s="455" t="inlineStr">
        <is>
          <t>Android build min / success</t>
        </is>
      </c>
      <c r="F9" s="149" t="inlineStr">
        <is>
          <t>MVP</t>
        </is>
      </c>
    </row>
    <row r="10">
      <c r="A10" s="223" t="inlineStr">
        <is>
          <t>Android emulator</t>
        </is>
      </c>
      <c r="B10" s="514" t="inlineStr">
        <is>
          <t>seconds</t>
        </is>
      </c>
      <c r="C10" s="514" t="inlineStr">
        <is>
          <t>physical device QR</t>
        </is>
      </c>
      <c r="D10" s="514" t="inlineStr">
        <is>
          <t>OS/device-specific debug/QA</t>
        </is>
      </c>
      <c r="E10" s="514" t="inlineStr">
        <is>
          <t>emulator min / incident</t>
        </is>
      </c>
      <c r="F10" s="225" t="inlineStr">
        <is>
          <t>MID</t>
        </is>
      </c>
    </row>
    <row r="11">
      <c r="A11" s="147" t="inlineStr">
        <is>
          <t>macOS build</t>
        </is>
      </c>
      <c r="B11" s="455" t="inlineStr">
        <is>
          <t>seconds</t>
        </is>
      </c>
      <c r="C11" s="455" t="inlineStr">
        <is>
          <t>only iOS work, caches, Local Mac</t>
        </is>
      </c>
      <c r="D11" s="455" t="inlineStr">
        <is>
          <t>Xcode compile/sign required</t>
        </is>
      </c>
      <c r="E11" s="455" t="inlineStr">
        <is>
          <t>Mac min / iOS success</t>
        </is>
      </c>
      <c r="F11" s="149" t="inlineStr">
        <is>
          <t>MVP</t>
        </is>
      </c>
    </row>
    <row r="12">
      <c r="A12" s="223" t="inlineStr">
        <is>
          <t>iOS Simulator</t>
        </is>
      </c>
      <c r="B12" s="514" t="inlineStr">
        <is>
          <t>seconds</t>
        </is>
      </c>
      <c r="C12" s="514" t="inlineStr">
        <is>
          <t>physical iPhone/TestFlight, Local Mac</t>
        </is>
      </c>
      <c r="D12" s="514" t="inlineStr">
        <is>
          <t>iOS-specific debugging/automation</t>
        </is>
      </c>
      <c r="E12" s="514" t="inlineStr">
        <is>
          <t>simulator min / incident</t>
        </is>
      </c>
      <c r="F12" s="225" t="inlineStr">
        <is>
          <t>MID</t>
        </is>
      </c>
    </row>
    <row r="13">
      <c r="A13" s="147" t="inlineStr">
        <is>
          <t>Device cloud</t>
        </is>
      </c>
      <c r="B13" s="455" t="inlineStr">
        <is>
          <t>minutes</t>
        </is>
      </c>
      <c r="C13" s="455" t="inlineStr">
        <is>
          <t>customer physical device first</t>
        </is>
      </c>
      <c r="D13" s="455" t="inlineStr">
        <is>
          <t>coverage across device matrix</t>
        </is>
      </c>
      <c r="E13" s="455" t="inlineStr">
        <is>
          <t>device min / release</t>
        </is>
      </c>
      <c r="F13" s="149" t="inlineStr">
        <is>
          <t>ADV</t>
        </is>
      </c>
    </row>
    <row r="14">
      <c r="A14" s="223" t="inlineStr">
        <is>
          <t>Storage/bandwidth</t>
        </is>
      </c>
      <c r="B14" s="514" t="inlineStr">
        <is>
          <t>GB</t>
        </is>
      </c>
      <c r="C14" s="514" t="inlineStr">
        <is>
          <t>artifact expiry/dedupe/content addressing</t>
        </is>
      </c>
      <c r="D14" s="514" t="inlineStr">
        <is>
          <t>release provenance/log retention</t>
        </is>
      </c>
      <c r="E14" s="514" t="inlineStr">
        <is>
          <t>GB / active project</t>
        </is>
      </c>
      <c r="F14" s="225" t="inlineStr">
        <is>
          <t>MVP</t>
        </is>
      </c>
    </row>
    <row r="15">
      <c r="A15" s="147" t="inlineStr">
        <is>
          <t>Third-party tools</t>
        </is>
      </c>
      <c r="B15" s="455" t="inlineStr">
        <is>
          <t>API cost</t>
        </is>
      </c>
      <c r="C15" s="455" t="inlineStr">
        <is>
          <t>provider routing/rate limits</t>
        </is>
      </c>
      <c r="D15" s="455" t="inlineStr">
        <is>
          <t>validated integration value</t>
        </is>
      </c>
      <c r="E15" s="455" t="inlineStr">
        <is>
          <t>tool cost / success</t>
        </is>
      </c>
      <c r="F15" s="149" t="inlineStr">
        <is>
          <t>MVP/MID</t>
        </is>
      </c>
    </row>
    <row r="16">
      <c r="A16" s="239" t="inlineStr">
        <is>
          <t>Retry waste</t>
        </is>
      </c>
      <c r="B16" s="240" t="inlineStr">
        <is>
          <t>task cost</t>
        </is>
      </c>
      <c r="C16" s="240" t="inlineStr">
        <is>
          <t>Temporal resume/idempotency/bounded retries</t>
        </is>
      </c>
      <c r="D16" s="240" t="inlineStr">
        <is>
          <t>only retry transient failures</t>
        </is>
      </c>
      <c r="E16" s="240" t="inlineStr">
        <is>
          <t>waste %</t>
        </is>
      </c>
      <c r="F16" s="241" t="inlineStr">
        <is>
          <t>MVP</t>
        </is>
      </c>
    </row>
  </sheetData>
  <mergeCells count="2">
    <mergeCell ref="A2:F2"/>
    <mergeCell ref="A1:F1"/>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style="401" min="1" max="1"/>
    <col width="41" customWidth="1" style="401" min="2" max="2"/>
    <col width="45" customWidth="1" style="401" min="3" max="3"/>
    <col width="45" customWidth="1" style="401" min="4" max="4"/>
    <col width="16" customWidth="1" style="401" min="5" max="5"/>
  </cols>
  <sheetData>
    <row r="1" ht="30" customHeight="1" s="401">
      <c r="A1" s="552" t="inlineStr">
        <is>
          <t>OmniStackAI V5 — Provider Interfaces</t>
        </is>
      </c>
      <c r="B1" s="547" t="n"/>
      <c r="C1" s="547" t="n"/>
      <c r="D1" s="547" t="n"/>
      <c r="E1" s="547" t="n"/>
    </row>
    <row r="2" ht="34" customHeight="1" s="401">
      <c r="A2" s="565" t="inlineStr">
        <is>
          <t>Vendor lock-in control. Domain agents/services call OmniStackAI contracts; providers expose capabilities and policy metadata.</t>
        </is>
      </c>
      <c r="B2" s="547" t="n"/>
      <c r="C2" s="547" t="n"/>
      <c r="D2" s="547" t="n"/>
      <c r="E2" s="547" t="n"/>
    </row>
    <row r="4" ht="28" customHeight="1" s="401">
      <c r="A4" s="141" t="inlineStr">
        <is>
          <t>Interface</t>
        </is>
      </c>
      <c r="B4" s="142" t="inlineStr">
        <is>
          <t>Responsibilities</t>
        </is>
      </c>
      <c r="C4" s="142" t="inlineStr">
        <is>
          <t>Example Implementations</t>
        </is>
      </c>
      <c r="D4" s="142" t="inlineStr">
        <is>
          <t>Must Not Leak Into Domain</t>
        </is>
      </c>
      <c r="E4" s="143" t="inlineStr">
        <is>
          <t>Phase</t>
        </is>
      </c>
    </row>
    <row r="5">
      <c r="A5" s="144" t="inlineStr">
        <is>
          <t>ModelProvider</t>
        </is>
      </c>
      <c r="B5" s="145" t="inlineStr">
        <is>
          <t>generate/stream/tool-call/model metadata</t>
        </is>
      </c>
      <c r="C5" s="145" t="inlineStr">
        <is>
          <t>OpenAI/Anthropic/Gemini/private/BYOK</t>
        </is>
      </c>
      <c r="D5" s="145" t="inlineStr">
        <is>
          <t>provider SDK types/prompts outside gateway</t>
        </is>
      </c>
      <c r="E5" s="146" t="inlineStr">
        <is>
          <t>MVP</t>
        </is>
      </c>
    </row>
    <row r="6">
      <c r="A6" s="223" t="inlineStr">
        <is>
          <t>RuntimeProvider</t>
        </is>
      </c>
      <c r="B6" s="514" t="inlineStr">
        <is>
          <t>create/exec/files/ports/snapshot/destroy</t>
        </is>
      </c>
      <c r="C6" s="514" t="inlineStr">
        <is>
          <t>browser/E2B/Daytona/K8s/macOS/local/BYOC</t>
        </is>
      </c>
      <c r="D6" s="514" t="inlineStr">
        <is>
          <t>vendor sandbox handles in agents</t>
        </is>
      </c>
      <c r="E6" s="225" t="inlineStr">
        <is>
          <t>MVP</t>
        </is>
      </c>
    </row>
    <row r="7">
      <c r="A7" s="147" t="inlineStr">
        <is>
          <t>BuildProvider</t>
        </is>
      </c>
      <c r="B7" s="455" t="inlineStr">
        <is>
          <t>build/test/cache/artifact</t>
        </is>
      </c>
      <c r="C7" s="455" t="inlineStr">
        <is>
          <t>BuildKit/Gradle/Xcode/Flutter</t>
        </is>
      </c>
      <c r="D7" s="455" t="inlineStr">
        <is>
          <t>runner-specific state</t>
        </is>
      </c>
      <c r="E7" s="149" t="inlineStr">
        <is>
          <t>MVP</t>
        </is>
      </c>
    </row>
    <row r="8">
      <c r="A8" s="223" t="inlineStr">
        <is>
          <t>DeviceProvider</t>
        </is>
      </c>
      <c r="B8" s="514" t="inlineStr">
        <is>
          <t>real-device/cloud-device sessions</t>
        </is>
      </c>
      <c r="C8" s="514" t="inlineStr">
        <is>
          <t>Expo dev client/emulator/simulator/device cloud</t>
        </is>
      </c>
      <c r="D8" s="514" t="inlineStr">
        <is>
          <t>provider session IDs as domain identity</t>
        </is>
      </c>
      <c r="E8" s="225" t="inlineStr">
        <is>
          <t>MVP/MID</t>
        </is>
      </c>
    </row>
    <row r="9">
      <c r="A9" s="147" t="inlineStr">
        <is>
          <t>GitProvider</t>
        </is>
      </c>
      <c r="B9" s="455" t="inlineStr">
        <is>
          <t>repo/branch/worktree/PR/commit</t>
        </is>
      </c>
      <c r="C9" s="455" t="inlineStr">
        <is>
          <t>GitHub/GitLab/enterprise</t>
        </is>
      </c>
      <c r="D9" s="455" t="inlineStr">
        <is>
          <t>OAuth token values</t>
        </is>
      </c>
      <c r="E9" s="149" t="inlineStr">
        <is>
          <t>MVP</t>
        </is>
      </c>
    </row>
    <row r="10">
      <c r="A10" s="223" t="inlineStr">
        <is>
          <t>DatabaseProfileProvider</t>
        </is>
      </c>
      <c r="B10" s="514" t="inlineStr">
        <is>
          <t>recommend/scaffold/migrate/connect</t>
        </is>
      </c>
      <c r="C10" s="514" t="inlineStr">
        <is>
          <t>Postgres/Mongo/Supabase/Firebase/existing</t>
        </is>
      </c>
      <c r="D10" s="514" t="inlineStr">
        <is>
          <t>vendor-specific DB assumptions in IR</t>
        </is>
      </c>
      <c r="E10" s="225" t="inlineStr">
        <is>
          <t>MVP/MID</t>
        </is>
      </c>
    </row>
    <row r="11">
      <c r="A11" s="147" t="inlineStr">
        <is>
          <t>DeploymentProvider</t>
        </is>
      </c>
      <c r="B11" s="455" t="inlineStr">
        <is>
          <t>preview/staging/prod/promotion/rollback</t>
        </is>
      </c>
      <c r="C11" s="455" t="inlineStr">
        <is>
          <t>K8s/cloud/serverless adapters</t>
        </is>
      </c>
      <c r="D11" s="455" t="inlineStr">
        <is>
          <t>cloud-specific state model</t>
        </is>
      </c>
      <c r="E11" s="149" t="inlineStr">
        <is>
          <t>MVP</t>
        </is>
      </c>
    </row>
    <row r="12">
      <c r="A12" s="223" t="inlineStr">
        <is>
          <t>ArtifactProvider</t>
        </is>
      </c>
      <c r="B12" s="514" t="inlineStr">
        <is>
          <t>store/digest/expire/distribute</t>
        </is>
      </c>
      <c r="C12" s="514" t="inlineStr">
        <is>
          <t>S3/GCS/OCI registry</t>
        </is>
      </c>
      <c r="D12" s="514" t="inlineStr">
        <is>
          <t>public permanent test URLs</t>
        </is>
      </c>
      <c r="E12" s="225" t="inlineStr">
        <is>
          <t>MVP</t>
        </is>
      </c>
    </row>
    <row r="13">
      <c r="A13" s="147" t="inlineStr">
        <is>
          <t>SigningProvider</t>
        </is>
      </c>
      <c r="B13" s="455" t="inlineStr">
        <is>
          <t>sign approved digest/archive</t>
        </is>
      </c>
      <c r="C13" s="455" t="inlineStr">
        <is>
          <t>KMS/HSM/Apple/Android service</t>
        </is>
      </c>
      <c r="D13" s="455" t="inlineStr">
        <is>
          <t>raw private key material</t>
        </is>
      </c>
      <c r="E13" s="149" t="inlineStr">
        <is>
          <t>MVP/MID</t>
        </is>
      </c>
    </row>
    <row r="14">
      <c r="A14" s="223" t="inlineStr">
        <is>
          <t>SecretProvider</t>
        </is>
      </c>
      <c r="B14" s="514" t="inlineStr">
        <is>
          <t>broker scoped capabilities</t>
        </is>
      </c>
      <c r="C14" s="514" t="inlineStr">
        <is>
          <t>Vault/KMS/cloud secret manager</t>
        </is>
      </c>
      <c r="D14" s="514" t="inlineStr">
        <is>
          <t>secret values in prompts</t>
        </is>
      </c>
      <c r="E14" s="225" t="inlineStr">
        <is>
          <t>MVP</t>
        </is>
      </c>
    </row>
    <row r="15">
      <c r="A15" s="147" t="inlineStr">
        <is>
          <t>TelemetryProvider</t>
        </is>
      </c>
      <c r="B15" s="455" t="inlineStr">
        <is>
          <t>events/logs/traces/metrics</t>
        </is>
      </c>
      <c r="C15" s="455" t="inlineStr">
        <is>
          <t>OpenTelemetry/Prometheus/etc.</t>
        </is>
      </c>
      <c r="D15" s="455" t="inlineStr">
        <is>
          <t>vendor telemetry schema in core contracts</t>
        </is>
      </c>
      <c r="E15" s="149" t="inlineStr">
        <is>
          <t>MVP</t>
        </is>
      </c>
    </row>
    <row r="16">
      <c r="A16" s="239" t="inlineStr">
        <is>
          <t>MCPToolProvider</t>
        </is>
      </c>
      <c r="B16" s="240" t="inlineStr">
        <is>
          <t>governed external tools</t>
        </is>
      </c>
      <c r="C16" s="240" t="inlineStr">
        <is>
          <t>verified MCP servers/legacy adapters</t>
        </is>
      </c>
      <c r="D16" s="240" t="inlineStr">
        <is>
          <t>arbitrary unrestricted MCP connection</t>
        </is>
      </c>
      <c r="E16" s="241" t="inlineStr">
        <is>
          <t>MVP/MID</t>
        </is>
      </c>
    </row>
    <row r="18">
      <c r="A18" s="545" t="inlineStr">
        <is>
          <t>V6 Extension</t>
        </is>
      </c>
      <c r="B18" s="545" t="inlineStr">
        <is>
          <t>Responsibilities</t>
        </is>
      </c>
      <c r="C18" s="545" t="inlineStr">
        <is>
          <t>Example Implementations</t>
        </is>
      </c>
      <c r="D18" s="545" t="inlineStr">
        <is>
          <t>Must Not Leak Into Domain</t>
        </is>
      </c>
      <c r="E18" s="545" t="inlineStr">
        <is>
          <t>Phase</t>
        </is>
      </c>
    </row>
    <row r="19">
      <c r="A19" s="421" t="inlineStr">
        <is>
          <t>LocalModelProvider</t>
        </is>
      </c>
      <c r="B19" s="421" t="inlineStr">
        <is>
          <t>local model discovery/health/inference/streaming/capability telemetry</t>
        </is>
      </c>
      <c r="C19" s="421" t="inlineStr">
        <is>
          <t>Ollama-compatible adapter; evaluated Qwen/Llama/Gemma/etc.</t>
        </is>
      </c>
      <c r="D19" s="421" t="inlineStr">
        <is>
          <t>local HTTP client/model tags/resource assumptions</t>
        </is>
      </c>
      <c r="E19" s="421" t="inlineStr">
        <is>
          <t>MVP</t>
        </is>
      </c>
    </row>
    <row r="20">
      <c r="A20" s="421" t="inlineStr">
        <is>
          <t>ModelCapabilityRegistry</t>
        </is>
      </c>
      <c r="B20" s="421" t="inlineStr">
        <is>
          <t>measured capability/context/quality/privacy/license metadata</t>
        </is>
      </c>
      <c r="C20" s="421" t="inlineStr">
        <is>
          <t>PostgreSQL registry + eval artifacts</t>
        </is>
      </c>
      <c r="D20" s="421" t="inlineStr">
        <is>
          <t>provider marketing claims as truth</t>
        </is>
      </c>
      <c r="E20" s="421" t="inlineStr">
        <is>
          <t>MVP</t>
        </is>
      </c>
    </row>
  </sheetData>
  <mergeCells count="2">
    <mergeCell ref="A2:E2"/>
    <mergeCell ref="A1:E1"/>
  </mergeCell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9" customWidth="1" style="401" min="1" max="1"/>
    <col width="44" customWidth="1" style="401" min="2" max="2"/>
    <col width="31" customWidth="1" style="401" min="3" max="3"/>
    <col width="19" customWidth="1" style="401" min="4" max="4"/>
    <col width="17" customWidth="1" style="401" min="5" max="5"/>
  </cols>
  <sheetData>
    <row r="1" ht="30" customHeight="1" s="401">
      <c r="A1" s="552" t="inlineStr">
        <is>
          <t>OmniStackAI V5 — Supply Chain</t>
        </is>
      </c>
      <c r="B1" s="547" t="n"/>
      <c r="C1" s="547" t="n"/>
      <c r="D1" s="547" t="n"/>
      <c r="E1" s="547" t="n"/>
    </row>
    <row r="2" ht="34" customHeight="1" s="401">
      <c r="A2" s="565" t="inlineStr">
        <is>
          <t>Software supply-chain and signing controls for production-quality generated software.</t>
        </is>
      </c>
      <c r="B2" s="547" t="n"/>
      <c r="C2" s="547" t="n"/>
      <c r="D2" s="547" t="n"/>
      <c r="E2" s="547" t="n"/>
    </row>
    <row r="4" ht="28" customHeight="1" s="401">
      <c r="A4" s="141" t="inlineStr">
        <is>
          <t>Control</t>
        </is>
      </c>
      <c r="B4" s="142" t="inlineStr">
        <is>
          <t>Required Evidence</t>
        </is>
      </c>
      <c r="C4" s="142" t="inlineStr">
        <is>
          <t>Owner / Service</t>
        </is>
      </c>
      <c r="D4" s="142" t="inlineStr">
        <is>
          <t>Blocking?</t>
        </is>
      </c>
      <c r="E4" s="143" t="inlineStr">
        <is>
          <t>Phase</t>
        </is>
      </c>
    </row>
    <row r="5">
      <c r="A5" s="144" t="inlineStr">
        <is>
          <t>Source provenance</t>
        </is>
      </c>
      <c r="B5" s="145" t="inlineStr">
        <is>
          <t>Git commit SHA + task/PR</t>
        </is>
      </c>
      <c r="C5" s="145" t="inlineStr">
        <is>
          <t>Git service</t>
        </is>
      </c>
      <c r="D5" s="145" t="inlineStr">
        <is>
          <t>Yes for release</t>
        </is>
      </c>
      <c r="E5" s="146" t="inlineStr">
        <is>
          <t>MVP</t>
        </is>
      </c>
    </row>
    <row r="6">
      <c r="A6" s="223" t="inlineStr">
        <is>
          <t>IR provenance</t>
        </is>
      </c>
      <c r="B6" s="514" t="inlineStr">
        <is>
          <t>IR hash/version</t>
        </is>
      </c>
      <c r="C6" s="514" t="inlineStr">
        <is>
          <t>IR service</t>
        </is>
      </c>
      <c r="D6" s="514" t="inlineStr">
        <is>
          <t>Yes</t>
        </is>
      </c>
      <c r="E6" s="225" t="inlineStr">
        <is>
          <t>MVP</t>
        </is>
      </c>
    </row>
    <row r="7">
      <c r="A7" s="147" t="inlineStr">
        <is>
          <t>Template/toolchain</t>
        </is>
      </c>
      <c r="B7" s="455" t="inlineStr">
        <is>
          <t>template + builder image + SDK versions</t>
        </is>
      </c>
      <c r="C7" s="455" t="inlineStr">
        <is>
          <t>Template/Build service</t>
        </is>
      </c>
      <c r="D7" s="455" t="inlineStr">
        <is>
          <t>Yes</t>
        </is>
      </c>
      <c r="E7" s="149" t="inlineStr">
        <is>
          <t>MVP</t>
        </is>
      </c>
    </row>
    <row r="8">
      <c r="A8" s="223" t="inlineStr">
        <is>
          <t>Dependency lockfiles</t>
        </is>
      </c>
      <c r="B8" s="514" t="inlineStr">
        <is>
          <t>committed lockfiles</t>
        </is>
      </c>
      <c r="C8" s="514" t="inlineStr">
        <is>
          <t>Generated project</t>
        </is>
      </c>
      <c r="D8" s="514" t="inlineStr">
        <is>
          <t>Yes</t>
        </is>
      </c>
      <c r="E8" s="225" t="inlineStr">
        <is>
          <t>MVP</t>
        </is>
      </c>
    </row>
    <row r="9">
      <c r="A9" s="147" t="inlineStr">
        <is>
          <t>Tests/security</t>
        </is>
      </c>
      <c r="B9" s="455" t="inlineStr">
        <is>
          <t>test + SAST/dependency results</t>
        </is>
      </c>
      <c r="C9" s="455" t="inlineStr">
        <is>
          <t>QA/Security</t>
        </is>
      </c>
      <c r="D9" s="455" t="inlineStr">
        <is>
          <t>Yes</t>
        </is>
      </c>
      <c r="E9" s="149" t="inlineStr">
        <is>
          <t>MVP</t>
        </is>
      </c>
    </row>
    <row r="10">
      <c r="A10" s="223" t="inlineStr">
        <is>
          <t>SBOM</t>
        </is>
      </c>
      <c r="B10" s="514" t="inlineStr">
        <is>
          <t>package/component inventory</t>
        </is>
      </c>
      <c r="C10" s="514" t="inlineStr">
        <is>
          <t>Security/Release</t>
        </is>
      </c>
      <c r="D10" s="514" t="inlineStr">
        <is>
          <t>Yes at MID/enterprise</t>
        </is>
      </c>
      <c r="E10" s="225" t="inlineStr">
        <is>
          <t>MVP/MID</t>
        </is>
      </c>
    </row>
    <row r="11">
      <c r="A11" s="147" t="inlineStr">
        <is>
          <t>Artifact digest</t>
        </is>
      </c>
      <c r="B11" s="455" t="inlineStr">
        <is>
          <t>SHA/digest</t>
        </is>
      </c>
      <c r="C11" s="455" t="inlineStr">
        <is>
          <t>Artifact service</t>
        </is>
      </c>
      <c r="D11" s="455" t="inlineStr">
        <is>
          <t>Yes</t>
        </is>
      </c>
      <c r="E11" s="149" t="inlineStr">
        <is>
          <t>MVP</t>
        </is>
      </c>
    </row>
    <row r="12">
      <c r="A12" s="223" t="inlineStr">
        <is>
          <t>Artifact signature</t>
        </is>
      </c>
      <c r="B12" s="514" t="inlineStr">
        <is>
          <t>signed digest/OCI/mobile artifact</t>
        </is>
      </c>
      <c r="C12" s="514" t="inlineStr">
        <is>
          <t>Signing service</t>
        </is>
      </c>
      <c r="D12" s="514" t="inlineStr">
        <is>
          <t>Yes for prod</t>
        </is>
      </c>
      <c r="E12" s="225" t="inlineStr">
        <is>
          <t>MVP/MID</t>
        </is>
      </c>
    </row>
    <row r="13">
      <c r="A13" s="147" t="inlineStr">
        <is>
          <t>Signer identity/key version</t>
        </is>
      </c>
      <c r="B13" s="455" t="inlineStr">
        <is>
          <t>audit record</t>
        </is>
      </c>
      <c r="C13" s="455" t="inlineStr">
        <is>
          <t>Signing/KMS</t>
        </is>
      </c>
      <c r="D13" s="455" t="inlineStr">
        <is>
          <t>Yes</t>
        </is>
      </c>
      <c r="E13" s="149" t="inlineStr">
        <is>
          <t>MVP/MID</t>
        </is>
      </c>
    </row>
    <row r="14">
      <c r="A14" s="223" t="inlineStr">
        <is>
          <t>Deployment/store ID</t>
        </is>
      </c>
      <c r="B14" s="514" t="inlineStr">
        <is>
          <t>immutable release reference</t>
        </is>
      </c>
      <c r="C14" s="514" t="inlineStr">
        <is>
          <t>Deployment/Store</t>
        </is>
      </c>
      <c r="D14" s="514" t="inlineStr">
        <is>
          <t>Yes</t>
        </is>
      </c>
      <c r="E14" s="225" t="inlineStr">
        <is>
          <t>MVP/MID</t>
        </is>
      </c>
    </row>
    <row r="15">
      <c r="A15" s="156" t="inlineStr">
        <is>
          <t>Retention/rollback</t>
        </is>
      </c>
      <c r="B15" s="157" t="inlineStr">
        <is>
          <t>known-good prior run</t>
        </is>
      </c>
      <c r="C15" s="157" t="inlineStr">
        <is>
          <t>Deployment</t>
        </is>
      </c>
      <c r="D15" s="157" t="inlineStr">
        <is>
          <t>Yes</t>
        </is>
      </c>
      <c r="E15" s="158" t="inlineStr">
        <is>
          <t>MVP</t>
        </is>
      </c>
    </row>
  </sheetData>
  <mergeCells count="2">
    <mergeCell ref="A2:E2"/>
    <mergeCell ref="A1:E1"/>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0" customWidth="1" style="401" min="1" max="1"/>
    <col width="24" customWidth="1" style="401" min="2" max="2"/>
    <col width="24" customWidth="1" style="401" min="3" max="3"/>
    <col width="34" customWidth="1" style="401" min="4" max="4"/>
    <col width="38" customWidth="1" style="401" min="5" max="5"/>
    <col width="10" customWidth="1" style="401" min="6" max="6"/>
    <col width="36" customWidth="1" style="401" min="7" max="7"/>
  </cols>
  <sheetData>
    <row r="1">
      <c r="A1" s="551" t="inlineStr">
        <is>
          <t>OmniStackAI V6 — R&amp;D Gap Audit</t>
        </is>
      </c>
      <c r="B1" s="547" t="n"/>
      <c r="C1" s="547" t="n"/>
      <c r="D1" s="547" t="n"/>
      <c r="E1" s="547" t="n"/>
      <c r="F1" s="547" t="n"/>
      <c r="G1" s="547" t="n"/>
    </row>
    <row r="2">
      <c r="A2" s="566" t="inlineStr">
        <is>
          <t>Verdict: V5 is architecturally strong. V6 focuses on direct executability by external coding agents, local/cloud model portability, deterministic handoff, and stronger production evidence.</t>
        </is>
      </c>
      <c r="B2" s="547" t="n"/>
      <c r="C2" s="547" t="n"/>
      <c r="D2" s="547" t="n"/>
      <c r="E2" s="547" t="n"/>
      <c r="F2" s="547" t="n"/>
      <c r="G2" s="547" t="n"/>
    </row>
    <row r="4">
      <c r="A4" s="544" t="inlineStr">
        <is>
          <t>ID</t>
        </is>
      </c>
      <c r="B4" s="544" t="inlineStr">
        <is>
          <t>Area</t>
        </is>
      </c>
      <c r="C4" s="544" t="inlineStr">
        <is>
          <t>V5 State</t>
        </is>
      </c>
      <c r="D4" s="544" t="inlineStr">
        <is>
          <t>Gap / Risk</t>
        </is>
      </c>
      <c r="E4" s="544" t="inlineStr">
        <is>
          <t>V6 Decision</t>
        </is>
      </c>
      <c r="F4" s="544" t="inlineStr">
        <is>
          <t>Priority</t>
        </is>
      </c>
      <c r="G4" s="544" t="inlineStr">
        <is>
          <t>Evidence / Exit Gate</t>
        </is>
      </c>
    </row>
    <row r="5">
      <c r="A5" s="421" t="inlineStr">
        <is>
          <t>G-01</t>
        </is>
      </c>
      <c r="B5" s="421" t="inlineStr">
        <is>
          <t>AI tool interoperability</t>
        </is>
      </c>
      <c r="C5" s="421" t="inlineStr">
        <is>
          <t>Partial</t>
        </is>
      </c>
      <c r="D5" s="421" t="inlineStr">
        <is>
          <t>No single portable start contract for Codex/Claude/Cursor</t>
        </is>
      </c>
      <c r="E5" s="421" t="inlineStr">
        <is>
          <t>Add AGENTS.md + thin tool adapters + START_HERE</t>
        </is>
      </c>
      <c r="F5" s="421" t="inlineStr">
        <is>
          <t>P0</t>
        </is>
      </c>
      <c r="G5" s="421" t="inlineStr">
        <is>
          <t>Fresh agent reports correct phase/task without chat</t>
        </is>
      </c>
    </row>
    <row r="6">
      <c r="A6" s="421" t="inlineStr">
        <is>
          <t>G-02</t>
        </is>
      </c>
      <c r="B6" s="421" t="inlineStr">
        <is>
          <t>Work resume / interruption</t>
        </is>
      </c>
      <c r="C6" s="421" t="inlineStr">
        <is>
          <t>Strong platform runtime; weak repo handoff</t>
        </is>
      </c>
      <c r="D6" s="421" t="inlineStr">
        <is>
          <t>External coding session can lose exact next step</t>
        </is>
      </c>
      <c r="E6" s="421" t="inlineStr">
        <is>
          <t>PROJECT_STATE + CURRENT_TASK + HANDOFF + WORK_LOG</t>
        </is>
      </c>
      <c r="F6" s="421" t="inlineStr">
        <is>
          <t>P0</t>
        </is>
      </c>
      <c r="G6" s="421" t="inlineStr">
        <is>
          <t>Resume from recorded SHA and re-run last proof</t>
        </is>
      </c>
    </row>
    <row r="7">
      <c r="A7" s="421" t="inlineStr">
        <is>
          <t>G-03</t>
        </is>
      </c>
      <c r="B7" s="421" t="inlineStr">
        <is>
          <t>Local models</t>
        </is>
      </c>
      <c r="C7" s="421" t="inlineStr">
        <is>
          <t>Private/self-hosted planned</t>
        </is>
      </c>
      <c r="D7" s="421" t="inlineStr">
        <is>
          <t>No explicit Ollama/Qwen MVP profile</t>
        </is>
      </c>
      <c r="E7" s="421" t="inlineStr">
        <is>
          <t>First-class Ollama-compatible ModelProvider</t>
        </is>
      </c>
      <c r="F7" s="421" t="inlineStr">
        <is>
          <t>P0</t>
        </is>
      </c>
      <c r="G7" s="421" t="inlineStr">
        <is>
          <t>Conformance + task-class quality eval passes</t>
        </is>
      </c>
    </row>
    <row r="8">
      <c r="A8" s="421" t="inlineStr">
        <is>
          <t>G-04</t>
        </is>
      </c>
      <c r="B8" s="421" t="inlineStr">
        <is>
          <t>Context windows / tokens</t>
        </is>
      </c>
      <c r="C8" s="421" t="inlineStr">
        <is>
          <t>Progressive context exists</t>
        </is>
      </c>
      <c r="D8" s="421" t="inlineStr">
        <is>
          <t>No per-model safe context registry/overflow policy</t>
        </is>
      </c>
      <c r="E8" s="421" t="inlineStr">
        <is>
          <t>Capability registry + safe token budget + critical-context protection</t>
        </is>
      </c>
      <c r="F8" s="421" t="inlineStr">
        <is>
          <t>P0</t>
        </is>
      </c>
      <c r="G8" s="421" t="inlineStr">
        <is>
          <t>No silent truncation of task/security/contracts</t>
        </is>
      </c>
    </row>
    <row r="9">
      <c r="A9" s="421" t="inlineStr">
        <is>
          <t>G-05</t>
        </is>
      </c>
      <c r="B9" s="421" t="inlineStr">
        <is>
          <t>Model routing</t>
        </is>
      </c>
      <c r="C9" s="421" t="inlineStr">
        <is>
          <t>Good cost ladder</t>
        </is>
      </c>
      <c r="D9" s="421" t="inlineStr">
        <is>
          <t>Routing needs measured capability/version evidence</t>
        </is>
      </c>
      <c r="E9" s="421" t="inlineStr">
        <is>
          <t>Route by task, policy, eval, latency, context and cost</t>
        </is>
      </c>
      <c r="F9" s="421" t="inlineStr">
        <is>
          <t>P0</t>
        </is>
      </c>
      <c r="G9" s="421" t="inlineStr">
        <is>
          <t>Routing benchmark + fallback tests</t>
        </is>
      </c>
    </row>
    <row r="10">
      <c r="A10" s="421" t="inlineStr">
        <is>
          <t>G-06</t>
        </is>
      </c>
      <c r="B10" s="421" t="inlineStr">
        <is>
          <t>Developer bootstrap</t>
        </is>
      </c>
      <c r="C10" s="421" t="inlineStr">
        <is>
          <t>Taskfile concept exists</t>
        </is>
      </c>
      <c r="D10" s="421" t="inlineStr">
        <is>
          <t>No normative doctor/bootstrap/status/handoff contract</t>
        </is>
      </c>
      <c r="E10" s="421" t="inlineStr">
        <is>
          <t>Phase 0 deterministic commands</t>
        </is>
      </c>
      <c r="F10" s="421" t="inlineStr">
        <is>
          <t>P0</t>
        </is>
      </c>
      <c r="G10" s="421" t="inlineStr">
        <is>
          <t>Clean clone passes doctor/bootstrap/verify</t>
        </is>
      </c>
    </row>
    <row r="11">
      <c r="A11" s="421" t="inlineStr">
        <is>
          <t>G-07</t>
        </is>
      </c>
      <c r="B11" s="421" t="inlineStr">
        <is>
          <t>Environments</t>
        </is>
      </c>
      <c r="C11" s="421" t="inlineStr">
        <is>
          <t>Environment concept exists</t>
        </is>
      </c>
      <c r="D11" s="421" t="inlineStr">
        <is>
          <t>Config/secrets parity needs stronger executable contract</t>
        </is>
      </c>
      <c r="E11" s="421" t="inlineStr">
        <is>
          <t>local→test→preview→staging→prod + typed config</t>
        </is>
      </c>
      <c r="F11" s="421" t="inlineStr">
        <is>
          <t>P0</t>
        </is>
      </c>
      <c r="G11" s="421" t="inlineStr">
        <is>
          <t>env:check + no secret in AI context</t>
        </is>
      </c>
    </row>
    <row r="12">
      <c r="A12" s="421" t="inlineStr">
        <is>
          <t>G-08</t>
        </is>
      </c>
      <c r="B12" s="421" t="inlineStr">
        <is>
          <t>Database releases</t>
        </is>
      </c>
      <c r="C12" s="421" t="inlineStr">
        <is>
          <t>Migration safety exists</t>
        </is>
      </c>
      <c r="D12" s="421" t="inlineStr">
        <is>
          <t>Progressive stateful deployment not explicit enough</t>
        </is>
      </c>
      <c r="E12" s="421" t="inlineStr">
        <is>
          <t>expand/migrate/contract + resumable backfill</t>
        </is>
      </c>
      <c r="F12" s="421" t="inlineStr">
        <is>
          <t>P0</t>
        </is>
      </c>
      <c r="G12" s="421" t="inlineStr">
        <is>
          <t>compatibility + rollback/roll-forward rehearsal</t>
        </is>
      </c>
    </row>
    <row r="13">
      <c r="A13" s="421" t="inlineStr">
        <is>
          <t>G-09</t>
        </is>
      </c>
      <c r="B13" s="421" t="inlineStr">
        <is>
          <t>Agentic security</t>
        </is>
      </c>
      <c r="C13" s="421" t="inlineStr">
        <is>
          <t>Strong baseline</t>
        </is>
      </c>
      <c r="D13" s="421" t="inlineStr">
        <is>
          <t>Need dedicated poisoning/provider/local-endpoint threat cases</t>
        </is>
      </c>
      <c r="E13" s="421" t="inlineStr">
        <is>
          <t>Agentic threat model + red-team/eval corpus</t>
        </is>
      </c>
      <c r="F13" s="421" t="inlineStr">
        <is>
          <t>P0</t>
        </is>
      </c>
      <c r="G13" s="421" t="inlineStr">
        <is>
          <t>release-blocking security scenarios pass</t>
        </is>
      </c>
    </row>
    <row r="14">
      <c r="A14" s="421" t="inlineStr">
        <is>
          <t>G-10</t>
        </is>
      </c>
      <c r="B14" s="421" t="inlineStr">
        <is>
          <t>Production proof</t>
        </is>
      </c>
      <c r="C14" s="421" t="inlineStr">
        <is>
          <t>16 blocking gates</t>
        </is>
      </c>
      <c r="D14" s="421" t="inlineStr">
        <is>
          <t>Need local-model/provider/handoff evidence added</t>
        </is>
      </c>
      <c r="E14" s="421" t="inlineStr">
        <is>
          <t>Extend production evidence set</t>
        </is>
      </c>
      <c r="F14" s="421" t="inlineStr">
        <is>
          <t>P0</t>
        </is>
      </c>
      <c r="G14" s="421" t="inlineStr">
        <is>
          <t>provider conformance/failover + resume + endpoint security</t>
        </is>
      </c>
    </row>
    <row r="15">
      <c r="A15" s="421" t="inlineStr">
        <is>
          <t>G-11</t>
        </is>
      </c>
      <c r="B15" s="421" t="inlineStr">
        <is>
          <t>Supply chain</t>
        </is>
      </c>
      <c r="C15" s="421" t="inlineStr">
        <is>
          <t>Strong</t>
        </is>
      </c>
      <c r="D15" s="421" t="inlineStr">
        <is>
          <t>Need consistent pinning/patch SLA enforcement</t>
        </is>
      </c>
      <c r="E15" s="421" t="inlineStr">
        <is>
          <t>Pinned lockfiles/images + SBOM/provenance + patch policy</t>
        </is>
      </c>
      <c r="F15" s="421" t="inlineStr">
        <is>
          <t>P1</t>
        </is>
      </c>
      <c r="G15" s="421" t="inlineStr">
        <is>
          <t>CI rejects drift/unapproved dependency</t>
        </is>
      </c>
    </row>
    <row r="16">
      <c r="A16" s="421" t="inlineStr">
        <is>
          <t>G-12</t>
        </is>
      </c>
      <c r="B16" s="421" t="inlineStr">
        <is>
          <t>Feature flags / progressive delivery</t>
        </is>
      </c>
      <c r="C16" s="421" t="inlineStr">
        <is>
          <t>Partial</t>
        </is>
      </c>
      <c r="D16" s="421" t="inlineStr">
        <is>
          <t>Operational ownership/expiry not explicit</t>
        </is>
      </c>
      <c r="E16" s="421" t="inlineStr">
        <is>
          <t>Feature flags with owner/expiry + canary/blue-green</t>
        </is>
      </c>
      <c r="F16" s="421" t="inlineStr">
        <is>
          <t>P1</t>
        </is>
      </c>
      <c r="G16" s="421" t="inlineStr">
        <is>
          <t>same digest promoted with measured SLOs</t>
        </is>
      </c>
    </row>
  </sheetData>
  <mergeCells count="2">
    <mergeCell ref="A2:G2"/>
    <mergeCell ref="A1:G1"/>
  </mergeCell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4" customWidth="1" style="401" min="1" max="1"/>
    <col width="32" customWidth="1" style="401" min="2" max="2"/>
    <col width="30" customWidth="1" style="401" min="3" max="3"/>
    <col width="45" customWidth="1" style="401" min="4" max="4"/>
    <col width="34" customWidth="1" style="401" min="5" max="5"/>
    <col width="40" customWidth="1" style="401" min="6" max="6"/>
    <col width="44" customWidth="1" style="401" min="7" max="7"/>
    <col width="14" customWidth="1" style="401" min="8" max="8"/>
  </cols>
  <sheetData>
    <row r="1">
      <c r="A1" s="551" t="inlineStr">
        <is>
          <t>OmniStackAI V6 — Local &amp; API Model Provider Contract</t>
        </is>
      </c>
      <c r="B1" s="547" t="n"/>
      <c r="C1" s="547" t="n"/>
      <c r="D1" s="547" t="n"/>
      <c r="E1" s="547" t="n"/>
      <c r="F1" s="547" t="n"/>
      <c r="G1" s="547" t="n"/>
      <c r="H1" s="547" t="n"/>
    </row>
    <row r="2">
      <c r="A2" s="566" t="inlineStr">
        <is>
          <t>Every exact provider/model/version/configuration is evaluated. A model family is never trusted solely by brand name.</t>
        </is>
      </c>
      <c r="B2" s="547" t="n"/>
      <c r="C2" s="547" t="n"/>
      <c r="D2" s="547" t="n"/>
      <c r="E2" s="547" t="n"/>
      <c r="F2" s="547" t="n"/>
      <c r="G2" s="547" t="n"/>
      <c r="H2" s="547" t="n"/>
    </row>
    <row r="4">
      <c r="A4" s="544" t="inlineStr">
        <is>
          <t>Profile</t>
        </is>
      </c>
      <c r="B4" s="544" t="inlineStr">
        <is>
          <t>Endpoint</t>
        </is>
      </c>
      <c r="C4" s="544" t="inlineStr">
        <is>
          <t>Auth / Secret</t>
        </is>
      </c>
      <c r="D4" s="544" t="inlineStr">
        <is>
          <t>Required Capabilities</t>
        </is>
      </c>
      <c r="E4" s="544" t="inlineStr">
        <is>
          <t>Context Policy</t>
        </is>
      </c>
      <c r="F4" s="544" t="inlineStr">
        <is>
          <t>Routing Use</t>
        </is>
      </c>
      <c r="G4" s="544" t="inlineStr">
        <is>
          <t>Blocking Gates</t>
        </is>
      </c>
      <c r="H4" s="544" t="inlineStr">
        <is>
          <t>Phase</t>
        </is>
      </c>
    </row>
    <row r="5">
      <c r="A5" s="421" t="inlineStr">
        <is>
          <t>ollama-local</t>
        </is>
      </c>
      <c r="B5" s="421" t="inlineStr">
        <is>
          <t>Loopback/local Ollama-compatible endpoint</t>
        </is>
      </c>
      <c r="C5" s="421" t="inlineStr">
        <is>
          <t>None/local OS policy; auth if exposed beyond loopback</t>
        </is>
      </c>
      <c r="D5" s="421" t="inlineStr">
        <is>
          <t>health, model discovery, stream; tools/JSON/embeddings only when validated</t>
        </is>
      </c>
      <c r="E5" s="421" t="inlineStr">
        <is>
          <t>configured + measured safe input/output reserve</t>
        </is>
      </c>
      <c r="F5" s="421" t="inlineStr">
        <is>
          <t>privacy, low-cost coding, summaries, selected implementation tasks</t>
        </is>
      </c>
      <c r="G5" s="421" t="inlineStr">
        <is>
          <t>license + endpoint security + conformance + task-class eval</t>
        </is>
      </c>
      <c r="H5" s="421" t="inlineStr">
        <is>
          <t>MVP</t>
        </is>
      </c>
    </row>
    <row r="6">
      <c r="A6" s="421" t="inlineStr">
        <is>
          <t>openai-byok</t>
        </is>
      </c>
      <c r="B6" s="421" t="inlineStr">
        <is>
          <t>Official cloud API</t>
        </is>
      </c>
      <c r="C6" s="421" t="inlineStr">
        <is>
          <t>SecretProvider reference</t>
        </is>
      </c>
      <c r="D6" s="421" t="inlineStr">
        <is>
          <t>stream, tools/structured output as selected model supports</t>
        </is>
      </c>
      <c r="E6" s="421" t="inlineStr">
        <is>
          <t>provider/model registry + tokenizer/cost accounting</t>
        </is>
      </c>
      <c r="F6" s="421" t="inlineStr">
        <is>
          <t>complex reasoning/coding/review according to policy</t>
        </is>
      </c>
      <c r="G6" s="421" t="inlineStr">
        <is>
          <t>budget + data policy + provider health/fallback</t>
        </is>
      </c>
      <c r="H6" s="421" t="inlineStr">
        <is>
          <t>MVP</t>
        </is>
      </c>
    </row>
    <row r="7">
      <c r="A7" s="421" t="inlineStr">
        <is>
          <t>anthropic-byok</t>
        </is>
      </c>
      <c r="B7" s="421" t="inlineStr">
        <is>
          <t>Official cloud API</t>
        </is>
      </c>
      <c r="C7" s="421" t="inlineStr">
        <is>
          <t>SecretProvider reference</t>
        </is>
      </c>
      <c r="D7" s="421" t="inlineStr">
        <is>
          <t>stream/tools according to selected model</t>
        </is>
      </c>
      <c r="E7" s="421" t="inlineStr">
        <is>
          <t>provider/model registry + context budget</t>
        </is>
      </c>
      <c r="F7" s="421" t="inlineStr">
        <is>
          <t>complex coding/review according to policy</t>
        </is>
      </c>
      <c r="G7" s="421" t="inlineStr">
        <is>
          <t>budget + data policy + provider health/fallback</t>
        </is>
      </c>
      <c r="H7" s="421" t="inlineStr">
        <is>
          <t>MVP/MID</t>
        </is>
      </c>
    </row>
    <row r="8">
      <c r="A8" s="421" t="inlineStr">
        <is>
          <t>private-openai-compatible</t>
        </is>
      </c>
      <c r="B8" s="421" t="inlineStr">
        <is>
          <t>Customer/private endpoint</t>
        </is>
      </c>
      <c r="C8" s="421" t="inlineStr">
        <is>
          <t>Workload identity / brokered token</t>
        </is>
      </c>
      <c r="D8" s="421" t="inlineStr">
        <is>
          <t>declared + conformance-tested</t>
        </is>
      </c>
      <c r="E8" s="421" t="inlineStr">
        <is>
          <t>measured; never assume compatibility implies equal limits</t>
        </is>
      </c>
      <c r="F8" s="421" t="inlineStr">
        <is>
          <t>enterprise private/BYOC</t>
        </is>
      </c>
      <c r="G8" s="421" t="inlineStr">
        <is>
          <t>network/tenant/security + conformance</t>
        </is>
      </c>
      <c r="H8" s="421" t="inlineStr">
        <is>
          <t>ADVANCED</t>
        </is>
      </c>
    </row>
    <row r="9">
      <c r="A9" s="421" t="inlineStr">
        <is>
          <t>future-provider</t>
        </is>
      </c>
      <c r="B9" s="421" t="inlineStr">
        <is>
          <t>Adapter only</t>
        </is>
      </c>
      <c r="C9" s="421" t="inlineStr">
        <is>
          <t>SecretProvider reference</t>
        </is>
      </c>
      <c r="D9" s="421" t="inlineStr">
        <is>
          <t>capability registry required</t>
        </is>
      </c>
      <c r="E9" s="421" t="inlineStr">
        <is>
          <t>same budget contract</t>
        </is>
      </c>
      <c r="F9" s="421" t="inlineStr">
        <is>
          <t>only after benchmark/ADR</t>
        </is>
      </c>
      <c r="G9" s="421" t="inlineStr">
        <is>
          <t>conformance + quality + cost + exit path</t>
        </is>
      </c>
      <c r="H9" s="421" t="inlineStr">
        <is>
          <t>As justified</t>
        </is>
      </c>
    </row>
  </sheetData>
  <mergeCells count="2">
    <mergeCell ref="A2:H2"/>
    <mergeCell ref="A1:H1"/>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style="401" min="1" max="1"/>
    <col width="34" customWidth="1" style="401" min="2" max="2"/>
    <col width="34" customWidth="1" style="401" min="3" max="3"/>
    <col width="38" customWidth="1" style="401" min="4" max="4"/>
    <col width="40" customWidth="1" style="401" min="5" max="5"/>
    <col width="18" customWidth="1" style="401" min="6" max="6"/>
  </cols>
  <sheetData>
    <row r="1">
      <c r="A1" s="551" t="inlineStr">
        <is>
          <t>OmniStackAI V6 — AI / Developer Start, Stop &amp; Resume Contract</t>
        </is>
      </c>
      <c r="B1" s="547" t="n"/>
      <c r="C1" s="547" t="n"/>
      <c r="D1" s="547" t="n"/>
      <c r="E1" s="547" t="n"/>
      <c r="F1" s="547" t="n"/>
    </row>
    <row r="2">
      <c r="A2" s="566" t="inlineStr">
        <is>
          <t>Chat is never required for continuation. Git + durable state + evidence are sufficient.</t>
        </is>
      </c>
      <c r="B2" s="547" t="n"/>
      <c r="C2" s="547" t="n"/>
      <c r="D2" s="547" t="n"/>
      <c r="E2" s="547" t="n"/>
      <c r="F2" s="547" t="n"/>
    </row>
    <row r="4">
      <c r="A4" s="544" t="inlineStr">
        <is>
          <t>Stage</t>
        </is>
      </c>
      <c r="B4" s="544" t="inlineStr">
        <is>
          <t>Required Action</t>
        </is>
      </c>
      <c r="C4" s="544" t="inlineStr">
        <is>
          <t>Artifact / Command</t>
        </is>
      </c>
      <c r="D4" s="544" t="inlineStr">
        <is>
          <t>Must Record</t>
        </is>
      </c>
      <c r="E4" s="544" t="inlineStr">
        <is>
          <t>Failure Rule</t>
        </is>
      </c>
      <c r="F4" s="544" t="inlineStr">
        <is>
          <t>Owner</t>
        </is>
      </c>
    </row>
    <row r="5">
      <c r="A5" s="421" t="inlineStr">
        <is>
          <t>Start</t>
        </is>
      </c>
      <c r="B5" s="421" t="inlineStr">
        <is>
          <t>Read portable rules and durable state</t>
        </is>
      </c>
      <c r="C5" s="421" t="inlineStr">
        <is>
          <t>AGENTS.md → START_HERE → PROJECT_STATE → CURRENT_TASK</t>
        </is>
      </c>
      <c r="D5" s="421" t="inlineStr">
        <is>
          <t>phase, task ID, acceptance criteria, allowed paths</t>
        </is>
      </c>
      <c r="E5" s="421" t="inlineStr">
        <is>
          <t>Do not edit until task is unambiguous</t>
        </is>
      </c>
      <c r="F5" s="421" t="inlineStr">
        <is>
          <t>AI / Developer</t>
        </is>
      </c>
    </row>
    <row r="6">
      <c r="A6" s="421" t="inlineStr">
        <is>
          <t>Start</t>
        </is>
      </c>
      <c r="B6" s="421" t="inlineStr">
        <is>
          <t>Verify repository reality</t>
        </is>
      </c>
      <c r="C6" s="421" t="inlineStr">
        <is>
          <t>git status + branch + HEAD</t>
        </is>
      </c>
      <c r="D6" s="421" t="inlineStr">
        <is>
          <t>uncommitted diff, current SHA</t>
        </is>
      </c>
      <c r="E6" s="421" t="inlineStr">
        <is>
          <t>Git wins over stale state</t>
        </is>
      </c>
      <c r="F6" s="421" t="inlineStr">
        <is>
          <t>AI / Developer</t>
        </is>
      </c>
    </row>
    <row r="7">
      <c r="A7" s="421" t="inlineStr">
        <is>
          <t>Start</t>
        </is>
      </c>
      <c r="B7" s="421" t="inlineStr">
        <is>
          <t>Validate local environment</t>
        </is>
      </c>
      <c r="C7" s="421" t="inlineStr">
        <is>
          <t>task doctor; bootstrap only if needed</t>
        </is>
      </c>
      <c r="D7" s="421" t="inlineStr">
        <is>
          <t>toolchain/config failures</t>
        </is>
      </c>
      <c r="E7" s="421" t="inlineStr">
        <is>
          <t>Stop on missing required prerequisite</t>
        </is>
      </c>
      <c r="F7" s="421" t="inlineStr">
        <is>
          <t>AI / Developer</t>
        </is>
      </c>
    </row>
    <row r="8">
      <c r="A8" s="421" t="inlineStr">
        <is>
          <t>Baseline</t>
        </is>
      </c>
      <c r="B8" s="421" t="inlineStr">
        <is>
          <t>Run smallest relevant proof</t>
        </is>
      </c>
      <c r="C8" s="421" t="inlineStr">
        <is>
          <t>task verify or scoped target test</t>
        </is>
      </c>
      <c r="D8" s="421" t="inlineStr">
        <is>
          <t>command + pass/fail + SHA</t>
        </is>
      </c>
      <c r="E8" s="421" t="inlineStr">
        <is>
          <t>No claim of regression without baseline evidence</t>
        </is>
      </c>
      <c r="F8" s="421" t="inlineStr">
        <is>
          <t>AI / Developer</t>
        </is>
      </c>
    </row>
    <row r="9">
      <c r="A9" s="421" t="inlineStr">
        <is>
          <t>Implement</t>
        </is>
      </c>
      <c r="B9" s="421" t="inlineStr">
        <is>
          <t>Work one task / scoped blast radius</t>
        </is>
      </c>
      <c r="C9" s="421" t="inlineStr">
        <is>
          <t>task branch/worktree</t>
        </is>
      </c>
      <c r="D9" s="421" t="inlineStr">
        <is>
          <t>files changed, architecture impact</t>
        </is>
      </c>
      <c r="E9" s="421" t="inlineStr">
        <is>
          <t>Unexpected blast radius requires re-plan/approval</t>
        </is>
      </c>
      <c r="F9" s="421" t="inlineStr">
        <is>
          <t>AI / Developer</t>
        </is>
      </c>
    </row>
    <row r="10">
      <c r="A10" s="421" t="inlineStr">
        <is>
          <t>Stop</t>
        </is>
      </c>
      <c r="B10" s="421" t="inlineStr">
        <is>
          <t>Persist exact state</t>
        </is>
      </c>
      <c r="C10" s="421" t="inlineStr">
        <is>
          <t>.ai/CURRENT_TASK.yaml + WORK_LOG.md</t>
        </is>
      </c>
      <c r="D10" s="421" t="inlineStr">
        <is>
          <t>completed, blockers, next_action</t>
        </is>
      </c>
      <c r="E10" s="421" t="inlineStr">
        <is>
          <t>Never mark done without evidence</t>
        </is>
      </c>
      <c r="F10" s="421" t="inlineStr">
        <is>
          <t>AI / Developer</t>
        </is>
      </c>
    </row>
    <row r="11">
      <c r="A11" s="421" t="inlineStr">
        <is>
          <t>Stop</t>
        </is>
      </c>
      <c r="B11" s="421" t="inlineStr">
        <is>
          <t>Create handoff</t>
        </is>
      </c>
      <c r="C11" s="421" t="inlineStr">
        <is>
          <t>.ai/HANDOFF.md / task ai:handoff</t>
        </is>
      </c>
      <c r="D11" s="421" t="inlineStr">
        <is>
          <t>branch, SHA, last verified SHA, tests, next command</t>
        </is>
      </c>
      <c r="E11" s="421" t="inlineStr">
        <is>
          <t>No secrets/raw credentials</t>
        </is>
      </c>
      <c r="F11" s="421" t="inlineStr">
        <is>
          <t>AI / Developer</t>
        </is>
      </c>
    </row>
    <row r="12">
      <c r="A12" s="421" t="inlineStr">
        <is>
          <t>Resume</t>
        </is>
      </c>
      <c r="B12" s="421" t="inlineStr">
        <is>
          <t>Reconstruct from durable state</t>
        </is>
      </c>
      <c r="C12" s="421" t="inlineStr">
        <is>
          <t>task ai:status</t>
        </is>
      </c>
      <c r="D12" s="421" t="inlineStr">
        <is>
          <t>state vs Git differences</t>
        </is>
      </c>
      <c r="E12" s="421" t="inlineStr">
        <is>
          <t>Repair state before coding when inconsistent</t>
        </is>
      </c>
      <c r="F12" s="421" t="inlineStr">
        <is>
          <t>AI / Developer</t>
        </is>
      </c>
    </row>
    <row r="13">
      <c r="A13" s="421" t="inlineStr">
        <is>
          <t>Resume</t>
        </is>
      </c>
      <c r="B13" s="421" t="inlineStr">
        <is>
          <t>Re-prove last stable point</t>
        </is>
      </c>
      <c r="C13" s="421" t="inlineStr">
        <is>
          <t>last handoff verification command</t>
        </is>
      </c>
      <c r="D13" s="421" t="inlineStr">
        <is>
          <t>proof result at current SHA</t>
        </is>
      </c>
      <c r="E13" s="421" t="inlineStr">
        <is>
          <t>Do not restart completed work</t>
        </is>
      </c>
      <c r="F13" s="421" t="inlineStr">
        <is>
          <t>AI / Developer</t>
        </is>
      </c>
    </row>
  </sheetData>
  <mergeCells count="2">
    <mergeCell ref="A2:F2"/>
    <mergeCell ref="A1:F1"/>
  </mergeCell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5" customWidth="1" style="401" min="1" max="1"/>
    <col width="28" customWidth="1" style="401" min="2" max="2"/>
    <col width="24" customWidth="1" style="401" min="3" max="3"/>
    <col width="35" customWidth="1" style="401" min="4" max="4"/>
    <col width="42" customWidth="1" style="401" min="5" max="5"/>
    <col width="40" customWidth="1" style="401" min="6" max="6"/>
    <col width="44" customWidth="1" style="401" min="7" max="7"/>
  </cols>
  <sheetData>
    <row r="1">
      <c r="A1" s="551" t="inlineStr">
        <is>
          <t>OmniStackAI V6 — Environment &amp; Deployment Contract</t>
        </is>
      </c>
      <c r="B1" s="547" t="n"/>
      <c r="C1" s="547" t="n"/>
      <c r="D1" s="547" t="n"/>
      <c r="E1" s="547" t="n"/>
      <c r="F1" s="547" t="n"/>
      <c r="G1" s="547" t="n"/>
    </row>
    <row r="2">
      <c r="A2" s="566" t="inlineStr">
        <is>
          <t>Promote immutable artifacts. Configuration changes are typed and reviewed separately from source. Production secrets are never model-readable strings.</t>
        </is>
      </c>
      <c r="B2" s="547" t="n"/>
      <c r="C2" s="547" t="n"/>
      <c r="D2" s="547" t="n"/>
      <c r="E2" s="547" t="n"/>
      <c r="F2" s="547" t="n"/>
      <c r="G2" s="547" t="n"/>
    </row>
    <row r="4">
      <c r="A4" s="544" t="inlineStr">
        <is>
          <t>Environment</t>
        </is>
      </c>
      <c r="B4" s="544" t="inlineStr">
        <is>
          <t>Purpose</t>
        </is>
      </c>
      <c r="C4" s="544" t="inlineStr">
        <is>
          <t>Data</t>
        </is>
      </c>
      <c r="D4" s="544" t="inlineStr">
        <is>
          <t>Secrets</t>
        </is>
      </c>
      <c r="E4" s="544" t="inlineStr">
        <is>
          <t>Deployment</t>
        </is>
      </c>
      <c r="F4" s="544" t="inlineStr">
        <is>
          <t>AI / Agent Permissions</t>
        </is>
      </c>
      <c r="G4" s="544" t="inlineStr">
        <is>
          <t>Verification / Promotion Gate</t>
        </is>
      </c>
    </row>
    <row r="5">
      <c r="A5" s="421" t="inlineStr">
        <is>
          <t>local</t>
        </is>
      </c>
      <c r="B5" s="421" t="inlineStr">
        <is>
          <t>developer/AI iteration</t>
        </is>
      </c>
      <c r="C5" s="421" t="inlineStr">
        <is>
          <t>synthetic/local only</t>
        </is>
      </c>
      <c r="D5" s="421" t="inlineStr">
        <is>
          <t>local refs; .env excluded from model context</t>
        </is>
      </c>
      <c r="E5" s="421" t="inlineStr">
        <is>
          <t>Docker Compose/local runtime</t>
        </is>
      </c>
      <c r="F5" s="421" t="inlineStr">
        <is>
          <t>normal dev tools; no prod capability</t>
        </is>
      </c>
      <c r="G5" s="421" t="inlineStr">
        <is>
          <t>doctor + bootstrap + scoped tests</t>
        </is>
      </c>
    </row>
    <row r="6">
      <c r="A6" s="421" t="inlineStr">
        <is>
          <t>test</t>
        </is>
      </c>
      <c r="B6" s="421" t="inlineStr">
        <is>
          <t>automated integration</t>
        </is>
      </c>
      <c r="C6" s="421" t="inlineStr">
        <is>
          <t>ephemeral/synthetic</t>
        </is>
      </c>
      <c r="D6" s="421" t="inlineStr">
        <is>
          <t>CI workload identity</t>
        </is>
      </c>
      <c r="E6" s="421" t="inlineStr">
        <is>
          <t>ephemeral CI deployment</t>
        </is>
      </c>
      <c r="F6" s="421" t="inlineStr">
        <is>
          <t>CI-scoped only</t>
        </is>
      </c>
      <c r="G6" s="421" t="inlineStr">
        <is>
          <t>unit/integration/contract/security</t>
        </is>
      </c>
    </row>
    <row r="7">
      <c r="A7" s="421" t="inlineStr">
        <is>
          <t>preview</t>
        </is>
      </c>
      <c r="B7" s="421" t="inlineStr">
        <is>
          <t>per-PR/client verification</t>
        </is>
      </c>
      <c r="C7" s="421" t="inlineStr">
        <is>
          <t>isolated test dataset</t>
        </is>
      </c>
      <c r="D7" s="421" t="inlineStr">
        <is>
          <t>short-lived preview scope</t>
        </is>
      </c>
      <c r="E7" s="421" t="inlineStr">
        <is>
          <t>immutable PR artifact</t>
        </is>
      </c>
      <c r="F7" s="421" t="inlineStr">
        <is>
          <t>no production writes</t>
        </is>
      </c>
      <c r="G7" s="421" t="inlineStr">
        <is>
          <t>E2E + preview acceptance</t>
        </is>
      </c>
    </row>
    <row r="8">
      <c r="A8" s="421" t="inlineStr">
        <is>
          <t>staging</t>
        </is>
      </c>
      <c r="B8" s="421" t="inlineStr">
        <is>
          <t>production-like rehearsal</t>
        </is>
      </c>
      <c r="C8" s="421" t="inlineStr">
        <is>
          <t>sanitized/non-prod</t>
        </is>
      </c>
      <c r="D8" s="421" t="inlineStr">
        <is>
          <t>staging-only brokered secrets</t>
        </is>
      </c>
      <c r="E8" s="421" t="inlineStr">
        <is>
          <t>same digest intended for prod</t>
        </is>
      </c>
      <c r="F8" s="421" t="inlineStr">
        <is>
          <t>controlled integration actions</t>
        </is>
      </c>
      <c r="G8" s="421" t="inlineStr">
        <is>
          <t>full release qualification + migration rehearsal</t>
        </is>
      </c>
    </row>
    <row r="9">
      <c r="A9" s="421" t="inlineStr">
        <is>
          <t>production</t>
        </is>
      </c>
      <c r="B9" s="421" t="inlineStr">
        <is>
          <t>client workload</t>
        </is>
      </c>
      <c r="C9" s="421" t="inlineStr">
        <is>
          <t>production</t>
        </is>
      </c>
      <c r="D9" s="421" t="inlineStr">
        <is>
          <t>KMS/Vault/HSM capabilities</t>
        </is>
      </c>
      <c r="E9" s="421" t="inlineStr">
        <is>
          <t>promote same immutable digest; canary/blue-green</t>
        </is>
      </c>
      <c r="F9" s="421" t="inlineStr">
        <is>
          <t>explicit risk-based production approval</t>
        </is>
      </c>
      <c r="G9" s="421" t="inlineStr">
        <is>
          <t>SLOs + health + rollback/roll-forward + audit</t>
        </is>
      </c>
    </row>
  </sheetData>
  <mergeCells count="2">
    <mergeCell ref="A2:G2"/>
    <mergeCell ref="A1:G1"/>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4" customWidth="1" style="401" min="1" max="1"/>
    <col width="38" customWidth="1" style="401" min="2" max="2"/>
    <col width="42" customWidth="1" style="401" min="3" max="3"/>
    <col width="14" customWidth="1" style="401" min="4" max="4"/>
    <col width="34" customWidth="1" style="401" min="5" max="5"/>
  </cols>
  <sheetData>
    <row r="1">
      <c r="A1" s="551" t="inlineStr">
        <is>
          <t>OmniStackAI V6 — Model Capability &amp; Context Registry</t>
        </is>
      </c>
      <c r="B1" s="547" t="n"/>
      <c r="C1" s="547" t="n"/>
      <c r="D1" s="547" t="n"/>
      <c r="E1" s="547" t="n"/>
    </row>
    <row r="2">
      <c r="A2" s="566" t="inlineStr">
        <is>
          <t>Populate from measured provider/model configuration. Context and capability values are not hard-coded by model family name.</t>
        </is>
      </c>
      <c r="B2" s="547" t="n"/>
      <c r="C2" s="547" t="n"/>
      <c r="D2" s="547" t="n"/>
      <c r="E2" s="547" t="n"/>
    </row>
    <row r="4">
      <c r="A4" s="544" t="inlineStr">
        <is>
          <t>Field</t>
        </is>
      </c>
      <c r="B4" s="544" t="inlineStr">
        <is>
          <t>Meaning</t>
        </is>
      </c>
      <c r="C4" s="544" t="inlineStr">
        <is>
          <t>Example / Rule</t>
        </is>
      </c>
      <c r="D4" s="544" t="inlineStr">
        <is>
          <t>Required</t>
        </is>
      </c>
      <c r="E4" s="544" t="inlineStr">
        <is>
          <t>Metric / Enforcement</t>
        </is>
      </c>
    </row>
    <row r="5">
      <c r="A5" s="421" t="inlineStr">
        <is>
          <t>provider_id</t>
        </is>
      </c>
      <c r="B5" s="421" t="inlineStr">
        <is>
          <t>adapter/provider identity</t>
        </is>
      </c>
      <c r="C5" s="421" t="inlineStr">
        <is>
          <t>ollama-local / openai-byok</t>
        </is>
      </c>
      <c r="D5" s="421" t="inlineStr">
        <is>
          <t>Yes</t>
        </is>
      </c>
      <c r="E5" s="421" t="inlineStr">
        <is>
          <t>stable registry ID</t>
        </is>
      </c>
    </row>
    <row r="6">
      <c r="A6" s="421" t="inlineStr">
        <is>
          <t>model_id</t>
        </is>
      </c>
      <c r="B6" s="421" t="inlineStr">
        <is>
          <t>exact model/version/tag</t>
        </is>
      </c>
      <c r="C6" s="421" t="inlineStr">
        <is>
          <t>pin exact model/configuration</t>
        </is>
      </c>
      <c r="D6" s="421" t="inlineStr">
        <is>
          <t>Yes</t>
        </is>
      </c>
      <c r="E6" s="421" t="inlineStr">
        <is>
          <t>no floating production alias unless policy allows</t>
        </is>
      </c>
    </row>
    <row r="7">
      <c r="A7" s="421" t="inlineStr">
        <is>
          <t>endpoint_class</t>
        </is>
      </c>
      <c r="B7" s="421" t="inlineStr">
        <is>
          <t>local/cloud/private</t>
        </is>
      </c>
      <c r="C7" s="421" t="inlineStr">
        <is>
          <t>local</t>
        </is>
      </c>
      <c r="D7" s="421" t="inlineStr">
        <is>
          <t>Yes</t>
        </is>
      </c>
      <c r="E7" s="421" t="inlineStr">
        <is>
          <t>data-routing policy</t>
        </is>
      </c>
    </row>
    <row r="8">
      <c r="A8" s="421" t="inlineStr">
        <is>
          <t>tools</t>
        </is>
      </c>
      <c r="B8" s="421" t="inlineStr">
        <is>
          <t>tool/function-call capability</t>
        </is>
      </c>
      <c r="C8" s="421" t="inlineStr">
        <is>
          <t>evaluated: pass/fail</t>
        </is>
      </c>
      <c r="D8" s="421" t="inlineStr">
        <is>
          <t>Yes</t>
        </is>
      </c>
      <c r="E8" s="421" t="inlineStr">
        <is>
          <t>conformance test</t>
        </is>
      </c>
    </row>
    <row r="9">
      <c r="A9" s="421" t="inlineStr">
        <is>
          <t>structured_output</t>
        </is>
      </c>
      <c r="B9" s="421" t="inlineStr">
        <is>
          <t>schema/JSON reliability</t>
        </is>
      </c>
      <c r="C9" s="421" t="inlineStr">
        <is>
          <t>evaluated</t>
        </is>
      </c>
      <c r="D9" s="421" t="inlineStr">
        <is>
          <t>Yes</t>
        </is>
      </c>
      <c r="E9" s="421" t="inlineStr">
        <is>
          <t>schema adherence rate</t>
        </is>
      </c>
    </row>
    <row r="10">
      <c r="A10" s="421" t="inlineStr">
        <is>
          <t>embeddings</t>
        </is>
      </c>
      <c r="B10" s="421" t="inlineStr">
        <is>
          <t>embedding support</t>
        </is>
      </c>
      <c r="C10" s="421" t="inlineStr">
        <is>
          <t>separate embedding model permitted</t>
        </is>
      </c>
      <c r="D10" s="421" t="inlineStr">
        <is>
          <t>When used</t>
        </is>
      </c>
      <c r="E10" s="421" t="inlineStr">
        <is>
          <t>retrieval eval</t>
        </is>
      </c>
    </row>
    <row r="11">
      <c r="A11" s="421" t="inlineStr">
        <is>
          <t>advertised_context</t>
        </is>
      </c>
      <c r="B11" s="421" t="inlineStr">
        <is>
          <t>declared/configured tokens</t>
        </is>
      </c>
      <c r="C11" s="421" t="inlineStr">
        <is>
          <t>provider/model specific</t>
        </is>
      </c>
      <c r="D11" s="421" t="inlineStr">
        <is>
          <t>Yes</t>
        </is>
      </c>
      <c r="E11" s="421" t="inlineStr">
        <is>
          <t>metadata only; not safe budget</t>
        </is>
      </c>
    </row>
    <row r="12">
      <c r="A12" s="421" t="inlineStr">
        <is>
          <t>safe_input_budget</t>
        </is>
      </c>
      <c r="B12" s="421" t="inlineStr">
        <is>
          <t>measured maximum task input</t>
        </is>
      </c>
      <c r="C12" s="421" t="inlineStr">
        <is>
          <t>advertised minus system/tools/output/safety</t>
        </is>
      </c>
      <c r="D12" s="421" t="inlineStr">
        <is>
          <t>Yes</t>
        </is>
      </c>
      <c r="E12" s="421" t="inlineStr">
        <is>
          <t>context guard</t>
        </is>
      </c>
    </row>
    <row r="13">
      <c r="A13" s="421" t="inlineStr">
        <is>
          <t>reserved_output</t>
        </is>
      </c>
      <c r="B13" s="421" t="inlineStr">
        <is>
          <t>protected output allowance</t>
        </is>
      </c>
      <c r="C13" s="421" t="inlineStr">
        <is>
          <t>task-class specific</t>
        </is>
      </c>
      <c r="D13" s="421" t="inlineStr">
        <is>
          <t>Yes</t>
        </is>
      </c>
      <c r="E13" s="421" t="inlineStr">
        <is>
          <t>context guard</t>
        </is>
      </c>
    </row>
    <row r="14">
      <c r="A14" s="421" t="inlineStr">
        <is>
          <t>tool_call_success</t>
        </is>
      </c>
      <c r="B14" s="421" t="inlineStr">
        <is>
          <t>correct tool/schema rate</t>
        </is>
      </c>
      <c r="C14" s="421" t="inlineStr">
        <is>
          <t>measured benchmark</t>
        </is>
      </c>
      <c r="D14" s="421" t="inlineStr">
        <is>
          <t>Yes for agent tasks</t>
        </is>
      </c>
      <c r="E14" s="421" t="inlineStr">
        <is>
          <t>routing threshold</t>
        </is>
      </c>
    </row>
    <row r="15">
      <c r="A15" s="421" t="inlineStr">
        <is>
          <t>patch_acceptance</t>
        </is>
      </c>
      <c r="B15" s="421" t="inlineStr">
        <is>
          <t>verified patch acceptance rate</t>
        </is>
      </c>
      <c r="C15" s="421" t="inlineStr">
        <is>
          <t>measured by task class</t>
        </is>
      </c>
      <c r="D15" s="421" t="inlineStr">
        <is>
          <t>Yes for coding</t>
        </is>
      </c>
      <c r="E15" s="421" t="inlineStr">
        <is>
          <t>routing threshold</t>
        </is>
      </c>
    </row>
    <row r="16">
      <c r="A16" s="421" t="inlineStr">
        <is>
          <t>p50/p95 latency</t>
        </is>
      </c>
      <c r="B16" s="421" t="inlineStr">
        <is>
          <t>operational latency</t>
        </is>
      </c>
      <c r="C16" s="421" t="inlineStr">
        <is>
          <t>measured</t>
        </is>
      </c>
      <c r="D16" s="421" t="inlineStr">
        <is>
          <t>Yes</t>
        </is>
      </c>
      <c r="E16" s="421" t="inlineStr">
        <is>
          <t>routing/capacity</t>
        </is>
      </c>
    </row>
    <row r="17">
      <c r="A17" s="421" t="inlineStr">
        <is>
          <t>max_concurrency</t>
        </is>
      </c>
      <c r="B17" s="421" t="inlineStr">
        <is>
          <t>safe parallel requests</t>
        </is>
      </c>
      <c r="C17" s="421" t="inlineStr">
        <is>
          <t>measured/configured</t>
        </is>
      </c>
      <c r="D17" s="421" t="inlineStr">
        <is>
          <t>Yes</t>
        </is>
      </c>
      <c r="E17" s="421" t="inlineStr">
        <is>
          <t>back-pressure</t>
        </is>
      </c>
    </row>
    <row r="18">
      <c r="A18" s="421" t="inlineStr">
        <is>
          <t>privacy_class</t>
        </is>
      </c>
      <c r="B18" s="421" t="inlineStr">
        <is>
          <t>data allowed</t>
        </is>
      </c>
      <c r="C18" s="421" t="inlineStr">
        <is>
          <t>public/internal/restricted</t>
        </is>
      </c>
      <c r="D18" s="421" t="inlineStr">
        <is>
          <t>Yes</t>
        </is>
      </c>
      <c r="E18" s="421" t="inlineStr">
        <is>
          <t>policy engine</t>
        </is>
      </c>
    </row>
    <row r="19">
      <c r="A19" s="421" t="inlineStr">
        <is>
          <t>license_review</t>
        </is>
      </c>
      <c r="B19" s="421" t="inlineStr">
        <is>
          <t>local model license status</t>
        </is>
      </c>
      <c r="C19" s="421" t="inlineStr">
        <is>
          <t>approved/restricted/rejected</t>
        </is>
      </c>
      <c r="D19" s="421" t="inlineStr">
        <is>
          <t>Yes for local/private</t>
        </is>
      </c>
      <c r="E19" s="421" t="inlineStr">
        <is>
          <t>release gate</t>
        </is>
      </c>
    </row>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2026-09-10T07:27:52Z</dcterms:created>
  <dcterms:modified xmlns:dcterms="http://purl.org/dc/terms/" xmlns:xsi="http://www.w3.org/2001/XMLSchema-instance" xsi:type="dcterms:W3CDTF">2026-09-15T04:49:51Z</dcterms:modified>
</cp:coreProperties>
</file>