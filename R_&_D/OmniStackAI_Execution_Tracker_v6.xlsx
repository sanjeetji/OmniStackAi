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70c80556c843e1" /></Relationships>
</file>

<file path=xl/workbook.xml><?xml version="1.0" encoding="utf-8"?>
<x:workbook xmlns:x="http://schemas.openxmlformats.org/spreadsheetml/2006/main">
  <x:sheets>
    <x:sheet xmlns:r="http://schemas.openxmlformats.org/officeDocument/2006/relationships" name="Dashboard" sheetId="1" r:id="Rc89e181bc1d7450f"/>
    <x:sheet xmlns:r="http://schemas.openxmlformats.org/officeDocument/2006/relationships" name="Phase_Roadmap" sheetId="2" r:id="R1d5b707374294a68"/>
    <x:sheet xmlns:r="http://schemas.openxmlformats.org/officeDocument/2006/relationships" name="Product_UI_Tabs" sheetId="3" r:id="Rf501fe87ab284676"/>
    <x:sheet xmlns:r="http://schemas.openxmlformats.org/officeDocument/2006/relationships" name="Agent_Architecture" sheetId="4" r:id="Re3fccccb66a54e07"/>
    <x:sheet xmlns:r="http://schemas.openxmlformats.org/officeDocument/2006/relationships" name="Application_IR" sheetId="5" r:id="R10bb8d499bf44329"/>
    <x:sheet xmlns:r="http://schemas.openxmlformats.org/officeDocument/2006/relationships" name="Change_Impact" sheetId="6" r:id="Rcd820ec0a5b74726"/>
    <x:sheet xmlns:r="http://schemas.openxmlformats.org/officeDocument/2006/relationships" name="Preview_Build_Matrix" sheetId="7" r:id="Rfbb0e2137eee46d6"/>
    <x:sheet xmlns:r="http://schemas.openxmlformats.org/officeDocument/2006/relationships" name="Testing_Quality" sheetId="8" r:id="Re9eb6c1c97f144e9"/>
    <x:sheet xmlns:r="http://schemas.openxmlformats.org/officeDocument/2006/relationships" name="Security" sheetId="9" r:id="Rbea05e697cc1494e"/>
    <x:sheet xmlns:r="http://schemas.openxmlformats.org/officeDocument/2006/relationships" name="Infrastructure" sheetId="10" r:id="R5ec286cb827e4a58"/>
    <x:sheet xmlns:r="http://schemas.openxmlformats.org/officeDocument/2006/relationships" name="Model_Costs" sheetId="11" r:id="Refadf51adec54338"/>
    <x:sheet xmlns:r="http://schemas.openxmlformats.org/officeDocument/2006/relationships" name="Analytics_KPIs" sheetId="12" r:id="Ra81823931b4f4be8"/>
    <x:sheet xmlns:r="http://schemas.openxmlformats.org/officeDocument/2006/relationships" name="Risks_Competitor" sheetId="13" r:id="Rfecf492d943b497d"/>
    <x:sheet xmlns:r="http://schemas.openxmlformats.org/officeDocument/2006/relationships" name="Production_Gates" sheetId="14" r:id="Rfb859520403e4d72"/>
    <x:sheet xmlns:r="http://schemas.openxmlformats.org/officeDocument/2006/relationships" name="Sources" sheetId="15" r:id="R4e084d8df95342b3"/>
    <x:sheet xmlns:r="http://schemas.openxmlformats.org/officeDocument/2006/relationships" name="Framework_Selection" sheetId="16" r:id="Raecae531c45447f9"/>
    <x:sheet xmlns:r="http://schemas.openxmlformats.org/officeDocument/2006/relationships" name="Framework_Decision" sheetId="17" r:id="R8eaae6bab12c4cfe"/>
    <x:sheet xmlns:r="http://schemas.openxmlformats.org/officeDocument/2006/relationships" name="Repo_Architecture" sheetId="18" r:id="Rd50fdaf9e7d2447c"/>
    <x:sheet xmlns:r="http://schemas.openxmlformats.org/officeDocument/2006/relationships" name="Project_Structure" sheetId="19" r:id="R801e798796c94f39"/>
    <x:sheet xmlns:r="http://schemas.openxmlformats.org/officeDocument/2006/relationships" name="Stack_Profiles" sheetId="20" r:id="Rabe7ad0715f24dc2"/>
    <x:sheet xmlns:r="http://schemas.openxmlformats.org/officeDocument/2006/relationships" name="Code_Sharing" sheetId="21" r:id="Ra1562044580942ec"/>
    <x:sheet xmlns:r="http://schemas.openxmlformats.org/officeDocument/2006/relationships" name="Platform_Architecture" sheetId="22" r:id="R3d452e7b18bc448d"/>
    <x:sheet xmlns:r="http://schemas.openxmlformats.org/officeDocument/2006/relationships" name="Git_Standards" sheetId="23" r:id="Ra8b5ac2de60048a2"/>
    <x:sheet xmlns:r="http://schemas.openxmlformats.org/officeDocument/2006/relationships" name="Flutter_Template" sheetId="24" r:id="Rb7b51bb02e284c3f"/>
    <x:sheet xmlns:r="http://schemas.openxmlformats.org/officeDocument/2006/relationships" name="ReactNative_Template" sheetId="25" r:id="Rb6001f0605f04506"/>
    <x:sheet xmlns:r="http://schemas.openxmlformats.org/officeDocument/2006/relationships" name="Android_Template" sheetId="26" r:id="R6c1b59bfbbc847ab"/>
    <x:sheet xmlns:r="http://schemas.openxmlformats.org/officeDocument/2006/relationships" name="iOS_Template" sheetId="27" r:id="Rb585ee378637432f"/>
    <x:sheet xmlns:r="http://schemas.openxmlformats.org/officeDocument/2006/relationships" name="Web_Template" sheetId="28" r:id="Rc0a6ff88dbba46e8"/>
    <x:sheet xmlns:r="http://schemas.openxmlformats.org/officeDocument/2006/relationships" name="Admin_Template" sheetId="29" r:id="R80cb438fe8364f86"/>
    <x:sheet xmlns:r="http://schemas.openxmlformats.org/officeDocument/2006/relationships" name="Backend_Templates" sheetId="30" r:id="R7fba835aeaa74c56"/>
    <x:sheet xmlns:r="http://schemas.openxmlformats.org/officeDocument/2006/relationships" name="CI_CD" sheetId="31" r:id="R1911982507864ea8"/>
    <x:sheet xmlns:r="http://schemas.openxmlformats.org/officeDocument/2006/relationships" name="Migration_Paths" sheetId="32" r:id="Rff14e885220342d5"/>
    <x:sheet xmlns:r="http://schemas.openxmlformats.org/officeDocument/2006/relationships" name="Template_Governance" sheetId="33" r:id="R3b3a5f74cf8f46b1"/>
    <x:sheet xmlns:r="http://schemas.openxmlformats.org/officeDocument/2006/relationships" name="Reference_Study" sheetId="34" r:id="Rd96f941de0f740c9"/>
    <x:sheet xmlns:r="http://schemas.openxmlformats.org/officeDocument/2006/relationships" name="Runtime_Tiers" sheetId="35" r:id="Ra63d18db2baf47dc"/>
    <x:sheet xmlns:r="http://schemas.openxmlformats.org/officeDocument/2006/relationships" name="Durable_Agent_Runtime" sheetId="36" r:id="Rf4bf37fcf3b74f53"/>
    <x:sheet xmlns:r="http://schemas.openxmlformats.org/officeDocument/2006/relationships" name="MCP_Tool_Registry" sheetId="37" r:id="R7edbbdfe1169433d"/>
    <x:sheet xmlns:r="http://schemas.openxmlformats.org/officeDocument/2006/relationships" name="HITL_Approvals" sheetId="38" r:id="R7c0521412e884421"/>
    <x:sheet xmlns:r="http://schemas.openxmlformats.org/officeDocument/2006/relationships" name="Execution_Modes" sheetId="39" r:id="Rb8a74f6f4ea8456d"/>
    <x:sheet xmlns:r="http://schemas.openxmlformats.org/officeDocument/2006/relationships" name="Backend_Profiles" sheetId="40" r:id="R7dd541f5b46a436d"/>
    <x:sheet xmlns:r="http://schemas.openxmlformats.org/officeDocument/2006/relationships" name="Agent_Streaming" sheetId="41" r:id="Rcbfc880c97194a7c"/>
    <x:sheet xmlns:r="http://schemas.openxmlformats.org/officeDocument/2006/relationships" name="Architecture_Research" sheetId="42" r:id="Rb051828427d14a38"/>
    <x:sheet xmlns:r="http://schemas.openxmlformats.org/officeDocument/2006/relationships" name="Team_Glossary" sheetId="43" r:id="Rd0050fe5854941d6"/>
    <x:sheet xmlns:r="http://schemas.openxmlformats.org/officeDocument/2006/relationships" name="Brand_Naming" sheetId="44" r:id="R89223841668c4395"/>
    <x:sheet xmlns:r="http://schemas.openxmlformats.org/officeDocument/2006/relationships" name="Preview_Verification" sheetId="45" r:id="R8225c68c922445a8"/>
    <x:sheet xmlns:r="http://schemas.openxmlformats.org/officeDocument/2006/relationships" name="Device_QR_Delivery" sheetId="46" r:id="R5f5630f4a6a34b91"/>
    <x:sheet xmlns:r="http://schemas.openxmlformats.org/officeDocument/2006/relationships" name="Context_Engine" sheetId="47" r:id="R19d0615da1dd4d37"/>
    <x:sheet xmlns:r="http://schemas.openxmlformats.org/officeDocument/2006/relationships" name="Project_Memory" sheetId="48" r:id="R4c2a31b22d6f4728"/>
    <x:sheet xmlns:r="http://schemas.openxmlformats.org/officeDocument/2006/relationships" name="LLM_Cost_Optimization" sheetId="49" r:id="R609cde5107014bb7"/>
    <x:sheet xmlns:r="http://schemas.openxmlformats.org/officeDocument/2006/relationships" name="Database_Strategy" sheetId="50" r:id="Rbd57b09447ca43ca"/>
    <x:sheet xmlns:r="http://schemas.openxmlformats.org/officeDocument/2006/relationships" name="Incident_Bug_Flow" sheetId="51" r:id="R3ff4fdccbd5348d7"/>
    <x:sheet xmlns:r="http://schemas.openxmlformats.org/officeDocument/2006/relationships" name="Competitor_Matrix" sheetId="52" r:id="Rf75ad148f32a4b1e"/>
    <x:sheet xmlns:r="http://schemas.openxmlformats.org/officeDocument/2006/relationships" name="Client_Handover" sheetId="53" r:id="R146e9bb8ec134f7f"/>
    <x:sheet xmlns:r="http://schemas.openxmlformats.org/officeDocument/2006/relationships" name="Publishing_Release" sheetId="54" r:id="Rd41509cb9da7463b"/>
    <x:sheet xmlns:r="http://schemas.openxmlformats.org/officeDocument/2006/relationships" name="Unit_Economics" sheetId="55" r:id="Reab0905e89314d2c"/>
    <x:sheet xmlns:r="http://schemas.openxmlformats.org/officeDocument/2006/relationships" name="Provider_Interfaces" sheetId="56" r:id="R229c7c6e51cc4c37"/>
    <x:sheet xmlns:r="http://schemas.openxmlformats.org/officeDocument/2006/relationships" name="Supply_Chain" sheetId="57" r:id="R815d2d82482444c8"/>
    <x:sheet xmlns:r="http://schemas.openxmlformats.org/officeDocument/2006/relationships" name="RND_Gap_Audit" sheetId="58" r:id="R09dd12016b2244c9"/>
    <x:sheet xmlns:r="http://schemas.openxmlformats.org/officeDocument/2006/relationships" name="Local_LLM_Providers" sheetId="59" r:id="Rc073347b1d0e4f19"/>
    <x:sheet xmlns:r="http://schemas.openxmlformats.org/officeDocument/2006/relationships" name="AI_Developer_Handoff" sheetId="60" r:id="Rbe8e31c8e8b94e3f"/>
    <x:sheet xmlns:r="http://schemas.openxmlformats.org/officeDocument/2006/relationships" name="Environment_Matrix" sheetId="61" r:id="Rfa7deee8cc7f4254"/>
    <x:sheet xmlns:r="http://schemas.openxmlformats.org/officeDocument/2006/relationships" name="Model_Capability_Registry" sheetId="62" r:id="R04e985d434bf4dae"/>
  </x:sheets>
</x:workbook>
</file>

<file path=xl/sharedStrings.xml><?xml version="1.0" encoding="utf-8"?>
<x:sst xmlns:x="http://schemas.openxmlformats.org/spreadsheetml/2006/main"/>
</file>

<file path=xl/styles.xml><?xml version="1.0" encoding="utf-8"?>
<x:styleSheet xmlns:x="http://schemas.openxmlformats.org/spreadsheetml/2006/main">
  <x:fonts count="23">
    <x:font>
      <x:sz val="11"/>
      <x:name val="Carlito"/>
    </x:font>
    <x:font>
      <x:b/>
      <x:sz val="18"/>
      <x:color rgb="FFFFFFFF"/>
      <x:name val="Carlito"/>
    </x:font>
    <x:font>
      <x:i/>
      <x:sz val="10"/>
      <x:color rgb="FF111827"/>
      <x:name val="Carlito"/>
    </x:font>
    <x:font>
      <x:b/>
      <x:sz val="11"/>
      <x:color rgb="FFFFFFFF"/>
      <x:name val="Carlito"/>
    </x:font>
    <x:font>
      <x:sz val="10"/>
      <x:color rgb="FF111827"/>
      <x:name val="Carlito"/>
    </x:font>
    <x:font>
      <x:b/>
      <x:sz val="11"/>
      <x:color rgb="FF17324D"/>
      <x:name val="Carlito"/>
    </x:font>
    <x:font>
      <x:b/>
      <x:sz val="16"/>
      <x:color rgb="FFFFFFFF"/>
      <x:name val="Carlito"/>
    </x:font>
    <x:font>
      <x:i/>
      <x:sz val="11"/>
      <x:color rgb="FF334155"/>
      <x:name val="Carlito"/>
    </x:font>
    <x:font>
      <x:sz val="10"/>
      <x:color rgb="FF1E293B"/>
      <x:name val="Carlito"/>
    </x:font>
    <x:font>
      <x:i/>
      <x:sz val="10"/>
      <x:color rgb="FF1E293B"/>
      <x:name val="Carlito"/>
    </x:font>
    <x:font>
      <x:b/>
      <x:sz val="13"/>
      <x:color rgb="FFFFFFFF"/>
      <x:name val="Carlito"/>
    </x:font>
    <x:font>
      <x:sz val="9"/>
      <x:color rgb="FF1E293B"/>
      <x:name val="Carlito"/>
    </x:font>
    <x:font>
      <x:b/>
      <x:sz val="16"/>
      <x:color rgb="FF17324D"/>
      <x:name val="Carlito"/>
    </x:font>
    <x:font>
      <x:b/>
      <x:i/>
      <x:sz val="10"/>
      <x:color rgb="FF17324D"/>
      <x:name val="Carlito"/>
    </x:font>
    <x:font>
      <x:i/>
      <x:sz val="10"/>
      <x:color rgb="FF1F2937"/>
      <x:name val="Carlito"/>
    </x:font>
    <x:font>
      <x:b/>
      <x:sz val="10"/>
      <x:color rgb="FFFFFFFF"/>
      <x:name val="Carlito"/>
    </x:font>
    <x:font>
      <x:sz val="9"/>
      <x:name val="Carlito"/>
    </x:font>
    <x:font>
      <x:b/>
      <x:sz val="11"/>
      <x:color rgb="FF1F2937"/>
      <x:name val="Carlito"/>
    </x:font>
    <x:font>
      <x:b/>
      <x:i/>
      <x:sz val="9"/>
      <x:color rgb="FF4F46E5"/>
      <x:name val="Carlito"/>
    </x:font>
    <x:font>
      <x:b/>
      <x:sz val="12"/>
      <x:color rgb="FFFFFFFF"/>
      <x:name val="Carlito"/>
    </x:font>
    <x:font>
      <x:b/>
      <x:sz val="9"/>
      <x:color rgb="FF1E293B"/>
      <x:name val="Carlito"/>
    </x:font>
    <x:font>
      <x:b/>
      <x:sz val="10"/>
      <x:color rgb="FF17324D"/>
      <x:name val="Carlito"/>
    </x:font>
    <x:font>
      <x:sz val="9"/>
      <x:color rgb="FF1E293B"/>
      <x:name val="Carlito"/>
    </x:font>
  </x:fonts>
  <x:fills count="30">
    <x:fill>
      <x:patternFill patternType="none"/>
    </x:fill>
    <x:fill>
      <x:patternFill patternType="gray125"/>
    </x:fill>
    <x:fill>
      <x:patternFill patternType="solid">
        <x:fgColor rgb="FF16324F"/>
      </x:patternFill>
    </x:fill>
    <x:fill>
      <x:patternFill patternType="solid">
        <x:fgColor rgb="FFEAF2F8"/>
      </x:patternFill>
    </x:fill>
    <x:fill>
      <x:patternFill patternType="solid">
        <x:fgColor rgb="FF1F4E78"/>
      </x:patternFill>
    </x:fill>
    <x:fill>
      <x:patternFill patternType="solid">
        <x:fgColor rgb="FFD9EEF8"/>
      </x:patternFill>
    </x:fill>
    <x:fill>
      <x:patternFill patternType="solid">
        <x:fgColor rgb="FFDCEAF4"/>
      </x:patternFill>
    </x:fill>
    <x:fill>
      <x:patternFill patternType="solid">
        <x:fgColor rgb="FF1F5F89"/>
      </x:patternFill>
    </x:fill>
    <x:fill>
      <x:patternFill patternType="solid">
        <x:fgColor rgb="FF17324D"/>
      </x:patternFill>
    </x:fill>
    <x:fill>
      <x:patternFill patternType="solid">
        <x:fgColor rgb="FFEAF3F8"/>
      </x:patternFill>
    </x:fill>
    <x:fill>
      <x:patternFill patternType="solid">
        <x:fgColor rgb="FFF4F6F8"/>
      </x:patternFill>
    </x:fill>
    <x:fill>
      <x:patternFill patternType="solid">
        <x:fgColor rgb="FF17324D"/>
      </x:patternFill>
    </x:fill>
    <x:fill>
      <x:patternFill patternType="solid">
        <x:fgColor rgb="FFEAF3F8"/>
      </x:patternFill>
    </x:fill>
    <x:fill>
      <x:patternFill patternType="solid">
        <x:fgColor rgb="FF1F5F89"/>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17324D"/>
      </x:patternFill>
    </x:fill>
    <x:fill>
      <x:patternFill patternType="solid">
        <x:fgColor rgb="FFEEF2FF"/>
      </x:patternFill>
    </x:fill>
    <x:fill>
      <x:patternFill patternType="solid">
        <x:fgColor rgb="FF1F5F89"/>
      </x:patternFill>
    </x:fill>
    <x:fill>
      <x:patternFill patternType="solid">
        <x:fgColor rgb="FF4F46E5"/>
      </x:patternFill>
    </x:fill>
    <x:fill>
      <x:patternFill patternType="solid">
        <x:fgColor rgb="FFEAF4FB"/>
      </x:patternFill>
    </x:fill>
    <x:fill>
      <x:patternFill patternType="solid">
        <x:fgColor rgb="FFF8FAFC"/>
      </x:patternFill>
    </x:fill>
    <x:fill>
      <x:patternFill patternType="solid">
        <x:fgColor rgb="FFEAF4FB"/>
      </x:patternFill>
    </x:fill>
    <x:fill>
      <x:patternFill patternType="solid">
        <x:fgColor rgb="FFFFFFFF"/>
      </x:patternFill>
    </x:fill>
    <x:fill>
      <x:patternFill patternType="solid">
        <x:fgColor rgb="FFF8FAFC"/>
      </x:patternFill>
    </x:fill>
    <x:fill>
      <x:patternFill patternType="solid">
        <x:fgColor rgb="FFFFFFFF"/>
      </x:patternFill>
    </x:fill>
    <x:fill>
      <x:patternFill patternType="solid">
        <x:fgColor rgb="FFF8FAFC"/>
      </x:patternFill>
    </x:fill>
    <x:fill>
      <x:patternFill patternType="solid">
        <x:fgColor rgb="FF5962F0"/>
      </x:patternFill>
    </x:fill>
    <x:fill>
      <x:patternFill patternType="solid">
        <x:fgColor rgb="FF18233E"/>
      </x:patternFill>
    </x:fill>
  </x:fills>
  <x:borders count="19">
    <x:border/>
    <x:border/>
    <x:border/>
    <x:border/>
    <x:border/>
    <x:border/>
    <x:border/>
    <x:border/>
    <x:border/>
    <x:border/>
    <x:border/>
    <x:border/>
    <x:border/>
    <x:border/>
    <x:border/>
    <x:border/>
    <x:border/>
    <x:border/>
    <x:border/>
  </x:borders>
  <x:cellStyleXfs count="1">
    <x:xf numFmtId="0" fontId="0" fillId="0" borderId="15"/>
  </x:cellStyleXfs>
  <x:cellXfs count="546">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9" fontId="0" fillId="0" borderId="0" xfId="0"/>
    <x:xf numFmtId="9" fontId="0" fillId="0" borderId="1" xfId="0"/>
    <x:xf numFmtId="0" fontId="4" fillId="0" borderId="0" xfId="0"/>
    <x:xf numFmtId="9" fontId="4" fillId="0" borderId="0" xfId="0"/>
    <x:xf numFmtId="0" fontId="4" fillId="0" borderId="0" xfId="0" applyAlignment="1">
      <x:alignment wrapText="1"/>
    </x:xf>
    <x:xf numFmtId="9" fontId="4" fillId="0" borderId="0" xfId="0" applyAlignment="1">
      <x:alignment wrapText="1"/>
    </x:xf>
    <x:xf numFmtId="0" fontId="4" fillId="0" borderId="0" xfId="0" applyAlignment="1">
      <x:alignment vertical="top" wrapText="1"/>
    </x:xf>
    <x:xf numFmtId="9" fontId="4" fillId="0" borderId="0" xfId="0" applyAlignment="1">
      <x:alignment vertical="top" wrapText="1"/>
    </x:xf>
    <x:xf numFmtId="0" fontId="4" fillId="0" borderId="1" xfId="0"/>
    <x:xf numFmtId="9" fontId="4" fillId="0" borderId="1" xfId="0"/>
    <x:xf numFmtId="0" fontId="4" fillId="0" borderId="1" xfId="0" applyAlignment="1">
      <x:alignment wrapText="1"/>
    </x:xf>
    <x:xf numFmtId="9" fontId="4" fillId="0" borderId="1" xfId="0" applyAlignment="1">
      <x:alignment wrapText="1"/>
    </x:xf>
    <x:xf numFmtId="0" fontId="4" fillId="0" borderId="1" xfId="0" applyAlignment="1">
      <x:alignment vertical="top" wrapText="1"/>
    </x:xf>
    <x:xf numFmtId="9" fontId="4" fillId="0" borderId="1" xfId="0" applyAlignment="1">
      <x:alignment vertical="top" wrapText="1"/>
    </x:xf>
    <x:xf numFmtId="0" fontId="0" fillId="0" borderId="0" xfId="0"/>
    <x:xf numFmtId="0" fontId="0" fillId="0" borderId="0" xfId="0" applyAlignment="1">
      <x:alignment wrapText="1"/>
    </x:xf>
    <x:xf numFmtId="0" fontId="0" fillId="0" borderId="0" xfId="0" applyAlignment="1">
      <x:alignment vertical="top" wrapText="1"/>
    </x:xf>
    <x:xf numFmtId="0" fontId="0" fillId="5" borderId="0" xfId="0" applyAlignment="1">
      <x:alignment vertical="top" wrapText="1"/>
    </x:xf>
    <x:xf numFmtId="9" fontId="0" fillId="5" borderId="0" xfId="0" applyAlignment="1">
      <x:alignment vertical="top" wrapText="1"/>
    </x:xf>
    <x:xf numFmtId="9" fontId="0" fillId="0" borderId="0" xfId="0" applyAlignment="1">
      <x:alignment vertical="top" wrapText="1"/>
    </x:xf>
    <x:xf numFmtId="0" fontId="0" fillId="6" borderId="0" xfId="0"/>
    <x:xf numFmtId="0" fontId="5" fillId="6" borderId="0" xfId="0"/>
    <x:xf numFmtId="0" fontId="5" fillId="6" borderId="0" xfId="0" applyAlignment="1">
      <x:alignment wrapText="1"/>
    </x:xf>
    <x:xf numFmtId="0" fontId="5" fillId="6" borderId="0" xfId="0" applyAlignment="1">
      <x:alignment vertical="center" wrapText="1"/>
    </x:xf>
    <x:xf numFmtId="0" fontId="0" fillId="7" borderId="0" xfId="0"/>
    <x:xf numFmtId="0" fontId="3" fillId="7" borderId="0" xfId="0"/>
    <x:xf numFmtId="0" fontId="3" fillId="7" borderId="0" xfId="0" applyAlignment="1">
      <x:alignment wrapText="1"/>
    </x:xf>
    <x:xf numFmtId="0" fontId="3" fillId="7" borderId="0" xfId="0" applyAlignment="1">
      <x:alignment horizontal="center" wrapText="1"/>
    </x:xf>
    <x:xf numFmtId="0" fontId="3" fillId="7" borderId="0" xfId="0" applyAlignment="1">
      <x:alignment horizontal="center" vertical="center" wrapText="1"/>
    </x:xf>
    <x:xf numFmtId="0" fontId="4" fillId="5" borderId="0" xfId="0" applyAlignment="1">
      <x:alignment vertical="top" wrapText="1"/>
    </x:xf>
    <x:xf numFmtId="0" fontId="0" fillId="8" borderId="0" xfId="0"/>
    <x:xf numFmtId="0" fontId="6" fillId="8" borderId="0" xfId="0"/>
    <x:xf numFmtId="0" fontId="6" fillId="8" borderId="0" xfId="0" applyAlignment="1">
      <x:alignment vertical="center"/>
    </x:xf>
    <x:xf numFmtId="0" fontId="0" fillId="9" borderId="0" xfId="0"/>
    <x:xf numFmtId="0" fontId="7" fillId="9" borderId="0" xfId="0"/>
    <x:xf numFmtId="0" fontId="7" fillId="9" borderId="0" xfId="0" applyAlignment="1">
      <x:alignment wrapText="1"/>
    </x:xf>
    <x:xf numFmtId="0" fontId="1" fillId="2" borderId="0" xfId="0" applyAlignment="1">
      <x:alignment horizontal="left" vertical="center" wrapText="1"/>
    </x:xf>
    <x:xf numFmtId="0" fontId="8" fillId="0" borderId="0" xfId="0"/>
    <x:xf numFmtId="0" fontId="8" fillId="0" borderId="0" xfId="0" applyAlignment="1">
      <x:alignment wrapText="1"/>
    </x:xf>
    <x:xf numFmtId="0" fontId="8" fillId="0" borderId="0" xfId="0" applyAlignment="1">
      <x:alignment vertical="top" wrapText="1"/>
    </x:xf>
    <x:xf numFmtId="0" fontId="8" fillId="10" borderId="0" xfId="0" applyAlignment="1">
      <x:alignment vertical="top" wrapText="1"/>
    </x:xf>
    <x:xf numFmtId="0" fontId="0" fillId="11" borderId="0" xfId="0"/>
    <x:xf numFmtId="0" fontId="6" fillId="11" borderId="0" xfId="0"/>
    <x:xf numFmtId="0" fontId="6" fillId="11" borderId="0" xfId="0" applyAlignment="1">
      <x:alignment vertical="center"/>
    </x:xf>
    <x:xf numFmtId="0" fontId="0" fillId="12" borderId="0" xfId="0"/>
    <x:xf numFmtId="0" fontId="9" fillId="12" borderId="0" xfId="0"/>
    <x:xf numFmtId="0" fontId="9" fillId="12" borderId="0" xfId="0" applyAlignment="1">
      <x:alignment wrapText="1"/>
    </x:xf>
    <x:xf numFmtId="0" fontId="9" fillId="12" borderId="0" xfId="0" applyAlignment="1">
      <x:alignment vertical="center" wrapText="1"/>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9" fontId="8" fillId="0" borderId="0" xfId="0" applyAlignment="1">
      <x:alignment vertical="top" wrapText="1"/>
    </x:xf>
    <x:xf numFmtId="9" fontId="8" fillId="10" borderId="0" xfId="0" applyAlignment="1">
      <x:alignment vertical="top" wrapText="1"/>
    </x:xf>
    <x:xf numFmtId="0" fontId="10" fillId="11" borderId="0" xfId="0"/>
    <x:xf numFmtId="0" fontId="11" fillId="0" borderId="0" xfId="0"/>
    <x:xf numFmtId="0" fontId="11" fillId="0" borderId="0" xfId="0" applyAlignment="1">
      <x:alignment wrapText="1"/>
    </x:xf>
    <x:xf numFmtId="0" fontId="11" fillId="0" borderId="0" xfId="0" applyAlignment="1">
      <x:alignment vertical="top" wrapText="1"/>
    </x:xf>
    <x:xf numFmtId="0" fontId="11" fillId="10" borderId="0" xfId="0" applyAlignment="1">
      <x:alignment vertical="top" wrapText="1"/>
    </x:xf>
    <x:xf numFmtId="0" fontId="1" fillId="11" borderId="0" xfId="0" applyAlignment="1">
      <x:alignment horizontal="left" vertical="center"/>
    </x:xf>
    <x:xf numFmtId="0" fontId="6" fillId="11" borderId="0" xfId="0" applyAlignment="1">
      <x:alignment horizontal="left" vertical="center"/>
    </x:xf>
    <x:xf numFmtId="0" fontId="2" fillId="12" borderId="0" xfId="0" applyAlignment="1">
      <x:alignment wrapText="1"/>
    </x:xf>
    <x:xf numFmtId="0" fontId="6" fillId="12" borderId="0" xfId="0" applyAlignment="1">
      <x:alignment horizontal="left" vertical="center"/>
    </x:xf>
    <x:xf numFmtId="0" fontId="6" fillId="12" borderId="0" xfId="0" applyAlignment="1">
      <x:alignment vertical="center"/>
    </x:xf>
    <x:xf numFmtId="0" fontId="12" fillId="12" borderId="0" xfId="0" applyAlignment="1">
      <x:alignment horizontal="left" vertical="center"/>
    </x:xf>
    <x:xf numFmtId="0" fontId="12" fillId="12" borderId="0" xfId="0" applyAlignment="1">
      <x:alignment vertical="center"/>
    </x:xf>
    <x:xf numFmtId="0" fontId="9" fillId="10" borderId="0" xfId="0" applyAlignment="1">
      <x:alignment vertical="center" wrapText="1"/>
    </x:xf>
    <x:xf numFmtId="0" fontId="12" fillId="11" borderId="0" xfId="0" applyAlignment="1">
      <x:alignment horizontal="left" vertical="center"/>
    </x:xf>
    <x:xf numFmtId="0" fontId="12" fillId="11" borderId="0" xfId="0" applyAlignment="1">
      <x:alignment vertical="center"/>
    </x:xf>
    <x:xf numFmtId="0" fontId="13" fillId="12" borderId="0" xfId="0" applyAlignment="1">
      <x:alignment vertical="center" wrapText="1"/>
    </x:xf>
    <x:xf numFmtId="0" fontId="13" fillId="12" borderId="0" xfId="0" applyAlignment="1">
      <x:alignment horizontal="center" vertical="center" wrapText="1"/>
    </x:xf>
    <x:xf numFmtId="0" fontId="9" fillId="9" borderId="0" xfId="0"/>
    <x:xf numFmtId="0" fontId="9" fillId="9" borderId="0" xfId="0" applyAlignment="1">
      <x:alignment wrapText="1"/>
    </x:xf>
    <x:xf numFmtId="0" fontId="9" fillId="9" borderId="0" xfId="0" applyAlignment="1">
      <x:alignment vertical="center" wrapText="1"/>
    </x:xf>
    <x:xf numFmtId="0" fontId="10" fillId="8" borderId="0" xfId="0"/>
    <x:xf numFmtId="0" fontId="1" fillId="8" borderId="0" xfId="0" applyAlignment="1">
      <x:alignment horizontal="left" vertical="center"/>
    </x:xf>
    <x:xf numFmtId="0" fontId="6" fillId="8" borderId="0" xfId="0" applyAlignment="1">
      <x:alignment horizontal="left" vertical="center"/>
    </x:xf>
    <x:xf numFmtId="0" fontId="2" fillId="9" borderId="0" xfId="0" applyAlignment="1">
      <x:alignment wrapText="1"/>
    </x:xf>
    <x:xf numFmtId="0" fontId="6" fillId="9" borderId="0" xfId="0" applyAlignment="1">
      <x:alignment horizontal="left" vertical="center"/>
    </x:xf>
    <x:xf numFmtId="0" fontId="6" fillId="9" borderId="0" xfId="0" applyAlignment="1">
      <x:alignment vertical="center"/>
    </x:xf>
    <x:xf numFmtId="0" fontId="12" fillId="9" borderId="0" xfId="0" applyAlignment="1">
      <x:alignment horizontal="left" vertical="center"/>
    </x:xf>
    <x:xf numFmtId="0" fontId="12" fillId="9" borderId="0" xfId="0" applyAlignment="1">
      <x:alignment vertical="center"/>
    </x:xf>
    <x:xf numFmtId="0" fontId="12" fillId="8" borderId="0" xfId="0" applyAlignment="1">
      <x:alignment horizontal="left" vertical="center"/>
    </x:xf>
    <x:xf numFmtId="0" fontId="12" fillId="8" borderId="0" xfId="0" applyAlignment="1">
      <x:alignment vertical="center"/>
    </x:xf>
    <x:xf numFmtId="0" fontId="13" fillId="9" borderId="0" xfId="0" applyAlignment="1">
      <x:alignment vertical="center" wrapText="1"/>
    </x:xf>
    <x:xf numFmtId="0" fontId="13" fillId="9" borderId="0" xfId="0" applyAlignment="1">
      <x:alignment horizontal="center" vertical="center" wrapText="1"/>
    </x:xf>
    <x:xf numFmtId="0" fontId="0" fillId="14" borderId="0" xfId="0"/>
    <x:xf numFmtId="0" fontId="6" fillId="14" borderId="0" xfId="0"/>
    <x:xf numFmtId="0" fontId="6" fillId="14" borderId="0" xfId="0" applyAlignment="1">
      <x:alignment horizontal="left"/>
    </x:xf>
    <x:xf numFmtId="0" fontId="6" fillId="14" borderId="0" xfId="0" applyAlignment="1">
      <x:alignment horizontal="left" vertical="center"/>
    </x:xf>
    <x:xf numFmtId="0" fontId="0" fillId="15" borderId="0" xfId="0"/>
    <x:xf numFmtId="0" fontId="14" fillId="15" borderId="0" xfId="0"/>
    <x:xf numFmtId="0" fontId="14" fillId="15" borderId="0" xfId="0" applyAlignment="1">
      <x:alignment wrapText="1"/>
    </x:xf>
    <x:xf numFmtId="0" fontId="0" fillId="16" borderId="0" xfId="0"/>
    <x:xf numFmtId="0" fontId="15" fillId="16" borderId="0" xfId="0"/>
    <x:xf numFmtId="0" fontId="15" fillId="16" borderId="0" xfId="0" applyAlignment="1">
      <x:alignment wrapText="1"/>
    </x:xf>
    <x:xf numFmtId="0" fontId="15" fillId="16" borderId="0" xfId="0" applyAlignment="1">
      <x:alignment horizontal="center" wrapText="1"/>
    </x:xf>
    <x:xf numFmtId="0" fontId="15" fillId="16" borderId="0" xfId="0" applyAlignment="1">
      <x:alignment horizontal="center" vertical="center" wrapText="1"/>
    </x:xf>
    <x:xf numFmtId="0" fontId="16" fillId="0" borderId="0" xfId="0"/>
    <x:xf numFmtId="0" fontId="16" fillId="0" borderId="0" xfId="0" applyAlignment="1">
      <x:alignment wrapText="1"/>
    </x:xf>
    <x:xf numFmtId="0" fontId="16" fillId="0" borderId="0" xfId="0" applyAlignment="1">
      <x:alignment vertical="top" wrapText="1"/>
    </x:xf>
    <x:xf numFmtId="9" fontId="16" fillId="0" borderId="0" xfId="0" applyAlignment="1">
      <x:alignment vertical="top" wrapText="1"/>
    </x:xf>
    <x:xf numFmtId="0" fontId="17" fillId="15" borderId="0" xfId="0"/>
    <x:xf numFmtId="0" fontId="6" fillId="4" borderId="0" xfId="0"/>
    <x:xf numFmtId="0" fontId="6" fillId="4" borderId="0" xfId="0" applyAlignment="1">
      <x:alignment horizontal="left"/>
    </x:xf>
    <x:xf numFmtId="0" fontId="6" fillId="4" borderId="0" xfId="0" applyAlignment="1">
      <x:alignment horizontal="left" vertical="center"/>
    </x:xf>
    <x:xf numFmtId="0" fontId="6" fillId="17" borderId="0" xfId="0" applyAlignment="1">
      <x:alignment horizontal="left" vertical="center"/>
    </x:xf>
    <x:xf numFmtId="0" fontId="6" fillId="17" borderId="0" xfId="0" applyAlignment="1">
      <x:alignment vertical="center"/>
    </x:xf>
    <x:xf numFmtId="0" fontId="1" fillId="17" borderId="0" xfId="0" applyAlignment="1">
      <x:alignment horizontal="left" vertical="center"/>
    </x:xf>
    <x:xf numFmtId="0" fontId="1" fillId="17" borderId="0" xfId="0" applyAlignment="1">
      <x:alignment vertical="center"/>
    </x:xf>
    <x:xf numFmtId="0" fontId="13" fillId="18" borderId="0" xfId="0" applyAlignment="1">
      <x:alignment horizontal="center" vertical="center" wrapText="1"/>
    </x:xf>
    <x:xf numFmtId="0" fontId="18" fillId="18" borderId="0" xfId="0" applyAlignment="1">
      <x:alignment horizontal="center" vertical="center" wrapText="1"/>
    </x:xf>
    <x:xf numFmtId="0" fontId="3" fillId="19" borderId="0" xfId="0" applyAlignment="1">
      <x:alignment horizontal="center" vertical="center" wrapText="1"/>
    </x:xf>
    <x:xf numFmtId="0" fontId="15" fillId="19" borderId="0" xfId="0" applyAlignment="1">
      <x:alignment horizontal="center" vertical="center" wrapText="1"/>
    </x:xf>
    <x:xf numFmtId="0" fontId="15" fillId="19" borderId="2" xfId="0" applyAlignment="1">
      <x:alignment horizontal="center" vertical="center" wrapText="1"/>
    </x:xf>
    <x:xf numFmtId="0" fontId="15" fillId="19" borderId="3" xfId="0" applyAlignment="1">
      <x:alignment horizontal="center" vertical="center" wrapText="1"/>
    </x:xf>
    <x:xf numFmtId="0" fontId="15" fillId="19" borderId="4" xfId="0" applyAlignment="1">
      <x:alignment horizontal="center" vertical="center" wrapText="1"/>
    </x:xf>
    <x:xf numFmtId="0" fontId="11" fillId="0" borderId="5" xfId="0" applyAlignment="1">
      <x:alignment vertical="top" wrapText="1"/>
    </x:xf>
    <x:xf numFmtId="0" fontId="11" fillId="0" borderId="6" xfId="0" applyAlignment="1">
      <x:alignment vertical="top" wrapText="1"/>
    </x:xf>
    <x:xf numFmtId="0" fontId="11" fillId="0" borderId="7" xfId="0" applyAlignment="1">
      <x:alignment vertical="top" wrapText="1"/>
    </x:xf>
    <x:xf numFmtId="0" fontId="11" fillId="0" borderId="8" xfId="0" applyAlignment="1">
      <x:alignment vertical="top" wrapText="1"/>
    </x:xf>
    <x:xf numFmtId="0" fontId="11" fillId="0" borderId="0" xfId="0" applyAlignment="1">
      <x:alignment vertical="top" wrapText="1"/>
    </x:xf>
    <x:xf numFmtId="0" fontId="11" fillId="0" borderId="9" xfId="0" applyAlignment="1">
      <x:alignment vertical="top" wrapText="1"/>
    </x:xf>
    <x:xf numFmtId="0" fontId="11" fillId="0" borderId="10" xfId="0"/>
    <x:xf numFmtId="0" fontId="11" fillId="0" borderId="11" xfId="0"/>
    <x:xf numFmtId="0" fontId="11" fillId="0" borderId="12" xfId="0"/>
    <x:xf numFmtId="0" fontId="11" fillId="0" borderId="10" xfId="0" applyAlignment="1">
      <x:alignment wrapText="1"/>
    </x:xf>
    <x:xf numFmtId="0" fontId="11" fillId="0" borderId="11" xfId="0" applyAlignment="1">
      <x:alignment wrapText="1"/>
    </x:xf>
    <x:xf numFmtId="0" fontId="11" fillId="0" borderId="12" xfId="0" applyAlignment="1">
      <x:alignment wrapText="1"/>
    </x:xf>
    <x:xf numFmtId="0" fontId="11" fillId="0" borderId="10" xfId="0" applyAlignment="1">
      <x:alignment vertical="top" wrapText="1"/>
    </x:xf>
    <x:xf numFmtId="0" fontId="11" fillId="0" borderId="11" xfId="0" applyAlignment="1">
      <x:alignment vertical="top" wrapText="1"/>
    </x:xf>
    <x:xf numFmtId="0" fontId="11" fillId="0" borderId="12" xfId="0" applyAlignment="1">
      <x:alignment vertical="top" wrapText="1"/>
    </x:xf>
    <x:xf numFmtId="0" fontId="11" fillId="20" borderId="0" xfId="0" applyAlignment="1">
      <x:alignment vertical="top" wrapText="1"/>
    </x:xf>
    <x:xf numFmtId="0" fontId="19" fillId="20" borderId="0" xfId="0" applyAlignment="1">
      <x:alignment vertical="top" wrapText="1"/>
    </x:xf>
    <x:xf numFmtId="0" fontId="15" fillId="20" borderId="0" xfId="0" applyAlignment="1">
      <x:alignment vertical="top" wrapText="1"/>
    </x:xf>
    <x:xf numFmtId="0" fontId="15" fillId="20" borderId="2" xfId="0" applyAlignment="1">
      <x:alignment vertical="top" wrapText="1"/>
    </x:xf>
    <x:xf numFmtId="0" fontId="15" fillId="20" borderId="3" xfId="0" applyAlignment="1">
      <x:alignment vertical="top" wrapText="1"/>
    </x:xf>
    <x:xf numFmtId="0" fontId="15" fillId="20" borderId="4" xfId="0" applyAlignment="1">
      <x:alignment vertical="top" wrapText="1"/>
    </x:xf>
    <x:xf numFmtId="0" fontId="15" fillId="20" borderId="2" xfId="0" applyAlignment="1">
      <x:alignment horizontal="center" vertical="top" wrapText="1"/>
    </x:xf>
    <x:xf numFmtId="0" fontId="15" fillId="20" borderId="3" xfId="0" applyAlignment="1">
      <x:alignment horizontal="center" vertical="top" wrapText="1"/>
    </x:xf>
    <x:xf numFmtId="0" fontId="15" fillId="20" borderId="4" xfId="0" applyAlignment="1">
      <x:alignment horizontal="center" vertical="top" wrapText="1"/>
    </x:xf>
    <x:xf numFmtId="0" fontId="15" fillId="20" borderId="2" xfId="0" applyAlignment="1">
      <x:alignment horizontal="center" vertical="center" wrapText="1"/>
    </x:xf>
    <x:xf numFmtId="0" fontId="15" fillId="20" borderId="3" xfId="0" applyAlignment="1">
      <x:alignment horizontal="center" vertical="center" wrapText="1"/>
    </x:xf>
    <x:xf numFmtId="0" fontId="15" fillId="20" borderId="4" xfId="0" applyAlignment="1">
      <x:alignment horizontal="center" vertical="center" wrapText="1"/>
    </x:xf>
    <x:xf numFmtId="0" fontId="20" fillId="15" borderId="0" xfId="0"/>
    <x:xf numFmtId="0" fontId="20" fillId="16" borderId="0" xfId="0" applyAlignment="1">
      <x:alignment horizontal="center" vertical="center" wrapText="1"/>
    </x:xf>
    <x:xf numFmtId="0" fontId="11" fillId="10" borderId="5" xfId="0" applyAlignment="1">
      <x:alignment vertical="top" wrapText="1"/>
    </x:xf>
    <x:xf numFmtId="0" fontId="11" fillId="10" borderId="6" xfId="0" applyAlignment="1">
      <x:alignment vertical="top" wrapText="1"/>
    </x:xf>
    <x:xf numFmtId="0" fontId="11" fillId="10" borderId="7" xfId="0" applyAlignment="1">
      <x:alignment vertical="top" wrapText="1"/>
    </x:xf>
    <x:xf numFmtId="0" fontId="11" fillId="10" borderId="8" xfId="0" applyAlignment="1">
      <x:alignment vertical="top" wrapText="1"/>
    </x:xf>
    <x:xf numFmtId="0" fontId="11" fillId="10" borderId="0" xfId="0" applyAlignment="1">
      <x:alignment vertical="top" wrapText="1"/>
    </x:xf>
    <x:xf numFmtId="0" fontId="11" fillId="10" borderId="9" xfId="0" applyAlignment="1">
      <x:alignment vertical="top" wrapText="1"/>
    </x:xf>
    <x:xf numFmtId="0" fontId="11" fillId="0" borderId="8" xfId="0"/>
    <x:xf numFmtId="0" fontId="11" fillId="0" borderId="0" xfId="0"/>
    <x:xf numFmtId="0" fontId="11" fillId="0" borderId="9" xfId="0"/>
    <x:xf numFmtId="0" fontId="20" fillId="15" borderId="8" xfId="0"/>
    <x:xf numFmtId="0" fontId="20" fillId="15" borderId="0" xfId="0"/>
    <x:xf numFmtId="0" fontId="20" fillId="15" borderId="9" xfId="0"/>
    <x:xf numFmtId="0" fontId="20" fillId="16" borderId="8" xfId="0" applyAlignment="1">
      <x:alignment horizontal="center" vertical="center" wrapText="1"/>
    </x:xf>
    <x:xf numFmtId="0" fontId="20" fillId="16" borderId="0" xfId="0" applyAlignment="1">
      <x:alignment horizontal="center" vertical="center" wrapText="1"/>
    </x:xf>
    <x:xf numFmtId="0" fontId="20" fillId="16" borderId="9" xfId="0" applyAlignment="1">
      <x:alignment horizontal="center" vertical="center" wrapText="1"/>
    </x:xf>
    <x:xf numFmtId="0" fontId="11" fillId="0" borderId="8" xfId="0" applyAlignment="1">
      <x:alignment wrapText="1"/>
    </x:xf>
    <x:xf numFmtId="0" fontId="11" fillId="0" borderId="0" xfId="0" applyAlignment="1">
      <x:alignment wrapText="1"/>
    </x:xf>
    <x:xf numFmtId="0" fontId="11" fillId="0" borderId="9" xfId="0" applyAlignment="1">
      <x:alignment wrapText="1"/>
    </x:xf>
    <x:xf numFmtId="0" fontId="20" fillId="15" borderId="8" xfId="0" applyAlignment="1">
      <x:alignment wrapText="1"/>
    </x:xf>
    <x:xf numFmtId="0" fontId="20" fillId="15" borderId="0" xfId="0" applyAlignment="1">
      <x:alignment wrapText="1"/>
    </x:xf>
    <x:xf numFmtId="0" fontId="20" fillId="15" borderId="9" xfId="0" applyAlignment="1">
      <x:alignment wrapText="1"/>
    </x:xf>
    <x:xf numFmtId="0" fontId="20" fillId="15" borderId="8" xfId="0" applyAlignment="1">
      <x:alignment vertical="top" wrapText="1"/>
    </x:xf>
    <x:xf numFmtId="0" fontId="20" fillId="15" borderId="0" xfId="0" applyAlignment="1">
      <x:alignment vertical="top" wrapText="1"/>
    </x:xf>
    <x:xf numFmtId="0" fontId="20" fillId="15" borderId="9" xfId="0" applyAlignment="1">
      <x:alignment vertical="top" wrapText="1"/>
    </x:xf>
    <x:xf numFmtId="0" fontId="20" fillId="16" borderId="8" xfId="0" applyAlignment="1">
      <x:alignment horizontal="center" vertical="top" wrapText="1"/>
    </x:xf>
    <x:xf numFmtId="0" fontId="20" fillId="16" borderId="0" xfId="0" applyAlignment="1">
      <x:alignment horizontal="center" vertical="top" wrapText="1"/>
    </x:xf>
    <x:xf numFmtId="0" fontId="20" fillId="16" borderId="9" xfId="0" applyAlignment="1">
      <x:alignment horizontal="center" vertical="top" wrapText="1"/>
    </x:xf>
    <x:xf numFmtId="0" fontId="1" fillId="17" borderId="0" xfId="0" applyAlignment="1">
      <x:alignment horizontal="left" vertical="center" wrapText="1"/>
    </x:xf>
    <x:xf numFmtId="0" fontId="0" fillId="17" borderId="0" xfId="0" applyAlignment="1">
      <x:alignment wrapText="1"/>
    </x:xf>
    <x:xf numFmtId="0" fontId="6" fillId="17" borderId="0" xfId="0" applyAlignment="1">
      <x:alignment horizontal="left" vertical="center" wrapText="1"/>
    </x:xf>
    <x:xf numFmtId="0" fontId="6" fillId="17" borderId="0" xfId="0" applyAlignment="1">
      <x:alignment wrapText="1"/>
    </x:xf>
    <x:xf numFmtId="0" fontId="6" fillId="17" borderId="0" xfId="0" applyAlignment="1">
      <x:alignment horizontal="left" wrapText="1"/>
    </x:xf>
    <x:xf numFmtId="0" fontId="2" fillId="21" borderId="0" xfId="0" applyAlignment="1">
      <x:alignment wrapText="1"/>
    </x:xf>
    <x:xf numFmtId="0" fontId="0" fillId="21" borderId="0" xfId="0" applyAlignment="1">
      <x:alignment wrapText="1"/>
    </x:xf>
    <x:xf numFmtId="0" fontId="13" fillId="21" borderId="0" xfId="0" applyAlignment="1">
      <x:alignment wrapText="1"/>
    </x:xf>
    <x:xf numFmtId="0" fontId="21" fillId="21" borderId="0" xfId="0" applyAlignment="1">
      <x:alignment wrapText="1"/>
    </x:xf>
    <x:xf numFmtId="0" fontId="13" fillId="21" borderId="0" xfId="0" applyAlignment="1">
      <x:alignment vertical="center" wrapText="1"/>
    </x:xf>
    <x:xf numFmtId="0" fontId="21" fillId="21" borderId="0" xfId="0" applyAlignment="1">
      <x:alignment vertical="center" wrapText="1"/>
    </x:xf>
    <x:xf numFmtId="0" fontId="4" fillId="19" borderId="0" xfId="0" applyAlignment="1">
      <x:alignment vertical="top" wrapText="1"/>
    </x:xf>
    <x:xf numFmtId="0" fontId="15" fillId="19" borderId="0" xfId="0" applyAlignment="1">
      <x:alignment vertical="top" wrapText="1"/>
    </x:xf>
    <x:xf numFmtId="0" fontId="15" fillId="19" borderId="2" xfId="0" applyAlignment="1">
      <x:alignment vertical="top" wrapText="1"/>
    </x:xf>
    <x:xf numFmtId="0" fontId="15" fillId="19" borderId="3" xfId="0" applyAlignment="1">
      <x:alignment vertical="top" wrapText="1"/>
    </x:xf>
    <x:xf numFmtId="0" fontId="15" fillId="19" borderId="4" xfId="0" applyAlignment="1">
      <x:alignment vertical="top" wrapText="1"/>
    </x:xf>
    <x:xf numFmtId="0" fontId="15" fillId="19" borderId="2" xfId="0" applyAlignment="1">
      <x:alignment horizontal="center" vertical="top" wrapText="1"/>
    </x:xf>
    <x:xf numFmtId="0" fontId="15" fillId="19" borderId="3" xfId="0" applyAlignment="1">
      <x:alignment horizontal="center" vertical="top" wrapText="1"/>
    </x:xf>
    <x:xf numFmtId="0" fontId="15" fillId="19" borderId="4" xfId="0" applyAlignment="1">
      <x:alignment horizontal="center" vertical="top" wrapText="1"/>
    </x:xf>
    <x:xf numFmtId="0" fontId="11" fillId="5" borderId="0" xfId="0" applyAlignment="1">
      <x:alignment vertical="top" wrapText="1"/>
    </x:xf>
    <x:xf numFmtId="0" fontId="11" fillId="5" borderId="8" xfId="0" applyAlignment="1">
      <x:alignment vertical="top" wrapText="1"/>
    </x:xf>
    <x:xf numFmtId="0" fontId="11" fillId="5" borderId="0" xfId="0" applyAlignment="1">
      <x:alignment vertical="top" wrapText="1"/>
    </x:xf>
    <x:xf numFmtId="0" fontId="11" fillId="5" borderId="9" xfId="0" applyAlignment="1">
      <x:alignment vertical="top" wrapText="1"/>
    </x:xf>
    <x:xf numFmtId="0" fontId="11" fillId="22" borderId="8" xfId="0" applyAlignment="1">
      <x:alignment vertical="top" wrapText="1"/>
    </x:xf>
    <x:xf numFmtId="0" fontId="11" fillId="22" borderId="0" xfId="0" applyAlignment="1">
      <x:alignment vertical="top" wrapText="1"/>
    </x:xf>
    <x:xf numFmtId="0" fontId="11" fillId="22" borderId="9" xfId="0" applyAlignment="1">
      <x:alignment vertical="top" wrapText="1"/>
    </x:xf>
    <x:xf numFmtId="0" fontId="0" fillId="17" borderId="0" xfId="0"/>
    <x:xf numFmtId="0" fontId="6" fillId="17" borderId="0" xfId="0"/>
    <x:xf numFmtId="0" fontId="0" fillId="21" borderId="0" xfId="0"/>
    <x:xf numFmtId="0" fontId="21" fillId="21" borderId="0" xfId="0"/>
    <x:xf numFmtId="0" fontId="14" fillId="21" borderId="0" xfId="0" applyAlignment="1">
      <x:alignment wrapText="1"/>
    </x:xf>
    <x:xf numFmtId="0" fontId="16" fillId="19" borderId="0" xfId="0" applyAlignment="1">
      <x:alignment vertical="top" wrapText="1"/>
    </x:xf>
    <x:xf numFmtId="0" fontId="0" fillId="19" borderId="0" xfId="0"/>
    <x:xf numFmtId="0" fontId="15" fillId="19" borderId="0" xfId="0"/>
    <x:xf numFmtId="0" fontId="15" fillId="19" borderId="4" xfId="0"/>
    <x:xf numFmtId="0" fontId="15" fillId="19" borderId="4" xfId="0" applyAlignment="1">
      <x:alignment wrapText="1"/>
    </x:xf>
    <x:xf numFmtId="0" fontId="15" fillId="19" borderId="4" xfId="0" applyAlignment="1">
      <x:alignment horizontal="center" wrapText="1"/>
    </x:xf>
    <x:xf numFmtId="0" fontId="11" fillId="0" borderId="7" xfId="0"/>
    <x:xf numFmtId="0" fontId="11" fillId="0" borderId="7" xfId="0" applyAlignment="1">
      <x:alignment wrapText="1"/>
    </x:xf>
    <x:xf numFmtId="0" fontId="11" fillId="22" borderId="10" xfId="0" applyAlignment="1">
      <x:alignment vertical="top" wrapText="1"/>
    </x:xf>
    <x:xf numFmtId="0" fontId="11" fillId="22" borderId="11" xfId="0" applyAlignment="1">
      <x:alignment vertical="top" wrapText="1"/>
    </x:xf>
    <x:xf numFmtId="0" fontId="11" fillId="22" borderId="12" xfId="0" applyAlignment="1">
      <x:alignment vertical="top" wrapText="1"/>
    </x:xf>
    <x:xf numFmtId="0" fontId="15" fillId="19" borderId="3" xfId="0"/>
    <x:xf numFmtId="0" fontId="15" fillId="19" borderId="3" xfId="0" applyAlignment="1">
      <x:alignment wrapText="1"/>
    </x:xf>
    <x:xf numFmtId="0" fontId="15" fillId="19" borderId="3" xfId="0" applyAlignment="1">
      <x:alignment horizontal="center" wrapText="1"/>
    </x:xf>
    <x:xf numFmtId="0" fontId="11" fillId="0" borderId="6" xfId="0"/>
    <x:xf numFmtId="0" fontId="11" fillId="0" borderId="6" xfId="0" applyAlignment="1">
      <x:alignment wrapText="1"/>
    </x:xf>
    <x:xf numFmtId="0" fontId="6" fillId="17" borderId="0" xfId="0" applyAlignment="1">
      <x:alignment vertical="center" wrapText="1"/>
    </x:xf>
    <x:xf numFmtId="0" fontId="7" fillId="21" borderId="0" xfId="0" applyAlignment="1">
      <x:alignment wrapText="1"/>
    </x:xf>
    <x:xf numFmtId="0" fontId="0" fillId="19" borderId="0" xfId="0" applyAlignment="1">
      <x:alignment vertical="top" wrapText="1"/>
    </x:xf>
    <x:xf numFmtId="0" fontId="9" fillId="21" borderId="0" xfId="0" applyAlignment="1">
      <x:alignment vertical="center" wrapText="1"/>
    </x:xf>
    <x:xf numFmtId="0" fontId="8" fillId="19" borderId="0" xfId="0" applyAlignment="1">
      <x:alignment vertical="top" wrapText="1"/>
    </x:xf>
    <x:xf numFmtId="0" fontId="11" fillId="10" borderId="10" xfId="0" applyAlignment="1">
      <x:alignment vertical="top" wrapText="1"/>
    </x:xf>
    <x:xf numFmtId="0" fontId="11" fillId="10" borderId="11" xfId="0" applyAlignment="1">
      <x:alignment vertical="top" wrapText="1"/>
    </x:xf>
    <x:xf numFmtId="0" fontId="11" fillId="10" borderId="12" xfId="0" applyAlignment="1">
      <x:alignment vertical="top" wrapText="1"/>
    </x:xf>
    <x:xf numFmtId="0" fontId="15" fillId="19" borderId="2" xfId="0"/>
    <x:xf numFmtId="0" fontId="15" fillId="19" borderId="2" xfId="0" applyAlignment="1">
      <x:alignment wrapText="1"/>
    </x:xf>
    <x:xf numFmtId="0" fontId="15" fillId="19" borderId="2" xfId="0" applyAlignment="1">
      <x:alignment horizontal="center" wrapText="1"/>
    </x:xf>
    <x:xf numFmtId="0" fontId="11" fillId="0" borderId="5" xfId="0"/>
    <x:xf numFmtId="0" fontId="11" fillId="0" borderId="5" xfId="0" applyAlignment="1">
      <x:alignment wrapText="1"/>
    </x:xf>
    <x:xf numFmtId="9" fontId="4" fillId="19" borderId="0" xfId="0" applyAlignment="1">
      <x:alignment vertical="top" wrapText="1"/>
    </x:xf>
    <x:xf numFmtId="9" fontId="15" fillId="19" borderId="0" xfId="0" applyAlignment="1">
      <x:alignment vertical="top" wrapText="1"/>
    </x:xf>
    <x:xf numFmtId="9" fontId="15" fillId="19" borderId="3" xfId="0" applyAlignment="1">
      <x:alignment vertical="top" wrapText="1"/>
    </x:xf>
    <x:xf numFmtId="9" fontId="15" fillId="19" borderId="3" xfId="0" applyAlignment="1">
      <x:alignment horizontal="center" vertical="top" wrapText="1"/>
    </x:xf>
    <x:xf numFmtId="9" fontId="15" fillId="19" borderId="3" xfId="0" applyAlignment="1">
      <x:alignment horizontal="center" vertical="center" wrapText="1"/>
    </x:xf>
    <x:xf numFmtId="9" fontId="11" fillId="0" borderId="0" xfId="0" applyAlignment="1">
      <x:alignment vertical="top"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0" fontId="1" fillId="8" borderId="0" xfId="0" applyAlignment="1">
      <x:alignment vertical="center"/>
    </x:xf>
    <x:xf numFmtId="0" fontId="15" fillId="7" borderId="0" xfId="0" applyAlignment="1">
      <x:alignment horizontal="center" vertical="center" wrapText="1"/>
    </x:xf>
    <x:xf numFmtId="0" fontId="15" fillId="20" borderId="0" xfId="0" applyAlignment="1">
      <x:alignment horizontal="center" vertical="top" wrapText="1"/>
    </x:xf>
    <x:xf numFmtId="0" fontId="15" fillId="20" borderId="0" xfId="0" applyAlignment="1">
      <x:alignment horizontal="center" vertical="center" wrapText="1"/>
    </x:xf>
    <x:xf numFmtId="0" fontId="20" fillId="15" borderId="0" xfId="0" applyAlignment="1">
      <x:alignment wrapText="1"/>
    </x:xf>
    <x:xf numFmtId="0" fontId="20" fillId="15" borderId="0" xfId="0" applyAlignment="1">
      <x:alignment vertical="top" wrapText="1"/>
    </x:xf>
    <x:xf numFmtId="0" fontId="20" fillId="16" borderId="0" xfId="0" applyAlignment="1">
      <x:alignment horizontal="center" vertical="top" wrapText="1"/>
    </x:xf>
    <x:xf numFmtId="0" fontId="1" fillId="8" borderId="0" xfId="0" applyAlignment="1">
      <x:alignment horizontal="left" vertical="center" wrapText="1"/>
    </x:xf>
    <x:xf numFmtId="0" fontId="0" fillId="8" borderId="0" xfId="0" applyAlignment="1">
      <x:alignment wrapText="1"/>
    </x:xf>
    <x:xf numFmtId="0" fontId="6" fillId="8" borderId="0" xfId="0" applyAlignment="1">
      <x:alignment horizontal="left" vertical="center" wrapText="1"/>
    </x:xf>
    <x:xf numFmtId="0" fontId="6" fillId="8" borderId="0" xfId="0" applyAlignment="1">
      <x:alignment wrapText="1"/>
    </x:xf>
    <x:xf numFmtId="0" fontId="6" fillId="8" borderId="0" xfId="0" applyAlignment="1">
      <x:alignment horizontal="left" wrapText="1"/>
    </x:xf>
    <x:xf numFmtId="0" fontId="4" fillId="7" borderId="0" xfId="0" applyAlignment="1">
      <x:alignment vertical="top" wrapText="1"/>
    </x:xf>
    <x:xf numFmtId="0" fontId="15" fillId="7" borderId="0" xfId="0" applyAlignment="1">
      <x:alignment vertical="top" wrapText="1"/>
    </x:xf>
    <x:xf numFmtId="0" fontId="15" fillId="7" borderId="0" xfId="0" applyAlignment="1">
      <x:alignment horizontal="center" vertical="top" wrapText="1"/>
    </x:xf>
    <x:xf numFmtId="0" fontId="11" fillId="22" borderId="0" xfId="0" applyAlignment="1">
      <x:alignment vertical="top" wrapText="1"/>
    </x:xf>
    <x:xf numFmtId="0" fontId="16" fillId="7" borderId="0" xfId="0" applyAlignment="1">
      <x:alignment vertical="top" wrapText="1"/>
    </x:xf>
    <x:xf numFmtId="0" fontId="15" fillId="7" borderId="0" xfId="0"/>
    <x:xf numFmtId="0" fontId="15" fillId="7" borderId="0" xfId="0" applyAlignment="1">
      <x:alignment wrapText="1"/>
    </x:xf>
    <x:xf numFmtId="0" fontId="15" fillId="7" borderId="0" xfId="0" applyAlignment="1">
      <x:alignment horizontal="center" wrapText="1"/>
    </x:xf>
    <x:xf numFmtId="0" fontId="6" fillId="8" borderId="0" xfId="0" applyAlignment="1">
      <x:alignment vertical="center" wrapText="1"/>
    </x:xf>
    <x:xf numFmtId="0" fontId="0" fillId="7" borderId="0" xfId="0" applyAlignment="1">
      <x:alignment vertical="top" wrapText="1"/>
    </x:xf>
    <x:xf numFmtId="0" fontId="8" fillId="7" borderId="0" xfId="0" applyAlignment="1">
      <x:alignment vertical="top" wrapText="1"/>
    </x:xf>
    <x:xf numFmtId="9" fontId="4" fillId="7" borderId="0" xfId="0" applyAlignment="1">
      <x:alignment vertical="top" wrapText="1"/>
    </x:xf>
    <x:xf numFmtId="9" fontId="15" fillId="7" borderId="0" xfId="0" applyAlignment="1">
      <x:alignment vertical="top" wrapText="1"/>
    </x:xf>
    <x:xf numFmtId="9" fontId="15" fillId="7" borderId="0" xfId="0" applyAlignment="1">
      <x:alignment horizontal="center" vertical="top" wrapText="1"/>
    </x:xf>
    <x:xf numFmtId="9" fontId="15" fillId="7" borderId="0" xfId="0" applyAlignment="1">
      <x:alignment horizontal="center" vertical="center" wrapText="1"/>
    </x:xf>
    <x:xf numFmtId="0" fontId="10" fillId="23" borderId="0" xfId="0"/>
    <x:xf numFmtId="0" fontId="21" fillId="23" borderId="0" xfId="0"/>
    <x:xf numFmtId="0" fontId="21" fillId="23" borderId="0" xfId="0" applyAlignment="1">
      <x:alignment vertical="center"/>
    </x:xf>
    <x:xf numFmtId="0" fontId="11" fillId="24" borderId="5" xfId="0" applyAlignment="1">
      <x:alignment vertical="top" wrapText="1"/>
    </x:xf>
    <x:xf numFmtId="0" fontId="11" fillId="24" borderId="6" xfId="0" applyAlignment="1">
      <x:alignment vertical="top" wrapText="1"/>
    </x:xf>
    <x:xf numFmtId="0" fontId="11" fillId="24" borderId="7" xfId="0" applyAlignment="1">
      <x:alignment vertical="top" wrapText="1"/>
    </x:xf>
    <x:xf numFmtId="0" fontId="11" fillId="24" borderId="13" xfId="0" applyAlignment="1">
      <x:alignment vertical="top" wrapText="1"/>
    </x:xf>
    <x:xf numFmtId="0" fontId="11" fillId="24" borderId="14" xfId="0" applyAlignment="1">
      <x:alignment vertical="top" wrapText="1"/>
    </x:xf>
    <x:xf numFmtId="0" fontId="11" fillId="24" borderId="15" xfId="0" applyAlignment="1">
      <x:alignment vertical="top" wrapText="1"/>
    </x:xf>
    <x:xf numFmtId="0" fontId="11" fillId="24" borderId="0" xfId="0" applyAlignment="1">
      <x:alignment vertical="top" wrapText="1"/>
    </x:xf>
    <x:xf numFmtId="0" fontId="11" fillId="25" borderId="8" xfId="0" applyAlignment="1">
      <x:alignment vertical="top" wrapText="1"/>
    </x:xf>
    <x:xf numFmtId="0" fontId="11" fillId="25" borderId="0" xfId="0" applyAlignment="1">
      <x:alignment vertical="top" wrapText="1"/>
    </x:xf>
    <x:xf numFmtId="0" fontId="11" fillId="25" borderId="9" xfId="0" applyAlignment="1">
      <x:alignment vertical="top" wrapText="1"/>
    </x:xf>
    <x:xf numFmtId="0" fontId="11" fillId="25" borderId="13" xfId="0" applyAlignment="1">
      <x:alignment vertical="top" wrapText="1"/>
    </x:xf>
    <x:xf numFmtId="0" fontId="11" fillId="25" borderId="14" xfId="0" applyAlignment="1">
      <x:alignment vertical="top" wrapText="1"/>
    </x:xf>
    <x:xf numFmtId="0" fontId="11" fillId="25" borderId="15" xfId="0" applyAlignment="1">
      <x:alignment vertical="top" wrapText="1"/>
    </x:xf>
    <x:xf numFmtId="0" fontId="11" fillId="25" borderId="0" xfId="0" applyAlignment="1">
      <x:alignment vertical="top" wrapText="1"/>
    </x:xf>
    <x:xf numFmtId="0" fontId="11" fillId="24" borderId="8" xfId="0" applyAlignment="1">
      <x:alignment vertical="top" wrapText="1"/>
    </x:xf>
    <x:xf numFmtId="0" fontId="11" fillId="24" borderId="0" xfId="0" applyAlignment="1">
      <x:alignment vertical="top" wrapText="1"/>
    </x:xf>
    <x:xf numFmtId="0" fontId="11" fillId="24" borderId="9" xfId="0" applyAlignment="1">
      <x:alignment vertical="top" wrapText="1"/>
    </x:xf>
    <x:xf numFmtId="0" fontId="20" fillId="25" borderId="8" xfId="0" applyAlignment="1">
      <x:alignment vertical="top" wrapText="1"/>
    </x:xf>
    <x:xf numFmtId="0" fontId="20" fillId="25" borderId="0" xfId="0" applyAlignment="1">
      <x:alignment vertical="top" wrapText="1"/>
    </x:xf>
    <x:xf numFmtId="0" fontId="20" fillId="25" borderId="9" xfId="0" applyAlignment="1">
      <x:alignment vertical="top" wrapText="1"/>
    </x:xf>
    <x:xf numFmtId="0" fontId="20" fillId="25" borderId="13" xfId="0" applyAlignment="1">
      <x:alignment vertical="top" wrapText="1"/>
    </x:xf>
    <x:xf numFmtId="0" fontId="20" fillId="25" borderId="14" xfId="0" applyAlignment="1">
      <x:alignment vertical="top" wrapText="1"/>
    </x:xf>
    <x:xf numFmtId="0" fontId="20" fillId="25" borderId="15" xfId="0" applyAlignment="1">
      <x:alignment vertical="top" wrapText="1"/>
    </x:xf>
    <x:xf numFmtId="0" fontId="20" fillId="25" borderId="0" xfId="0" applyAlignment="1">
      <x:alignment vertical="top" wrapText="1"/>
    </x:xf>
    <x:xf numFmtId="0" fontId="20" fillId="24" borderId="8" xfId="0" applyAlignment="1">
      <x:alignment horizontal="center" vertical="top" wrapText="1"/>
    </x:xf>
    <x:xf numFmtId="0" fontId="20" fillId="24" borderId="0" xfId="0" applyAlignment="1">
      <x:alignment horizontal="center" vertical="top" wrapText="1"/>
    </x:xf>
    <x:xf numFmtId="0" fontId="20" fillId="24" borderId="9" xfId="0" applyAlignment="1">
      <x:alignment horizontal="center" vertical="top" wrapText="1"/>
    </x:xf>
    <x:xf numFmtId="0" fontId="20" fillId="24" borderId="13" xfId="0" applyAlignment="1">
      <x:alignment horizontal="center" vertical="top" wrapText="1"/>
    </x:xf>
    <x:xf numFmtId="0" fontId="20" fillId="24" borderId="14" xfId="0" applyAlignment="1">
      <x:alignment horizontal="center" vertical="top" wrapText="1"/>
    </x:xf>
    <x:xf numFmtId="0" fontId="20" fillId="24" borderId="15" xfId="0" applyAlignment="1">
      <x:alignment horizontal="center" vertical="top" wrapText="1"/>
    </x:xf>
    <x:xf numFmtId="0" fontId="20" fillId="24" borderId="0" xfId="0" applyAlignment="1">
      <x:alignment horizontal="center" vertical="top" wrapText="1"/>
    </x:xf>
    <x:xf numFmtId="0" fontId="11" fillId="25" borderId="10" xfId="0" applyAlignment="1">
      <x:alignment vertical="top" wrapText="1"/>
    </x:xf>
    <x:xf numFmtId="0" fontId="11" fillId="25" borderId="11" xfId="0" applyAlignment="1">
      <x:alignment vertical="top" wrapText="1"/>
    </x:xf>
    <x:xf numFmtId="0" fontId="11" fillId="25" borderId="12" xfId="0" applyAlignment="1">
      <x:alignment vertical="top" wrapText="1"/>
    </x:xf>
    <x:xf numFmtId="0" fontId="10" fillId="21" borderId="0" xfId="0"/>
    <x:xf numFmtId="0" fontId="21" fillId="21" borderId="0" xfId="0" applyAlignment="1">
      <x:alignment vertical="center"/>
    </x:xf>
    <x:xf numFmtId="0" fontId="20" fillId="22" borderId="0" xfId="0" applyAlignment="1">
      <x:alignment vertical="top" wrapText="1"/>
    </x:xf>
    <x:xf numFmtId="0" fontId="20" fillId="22" borderId="0" xfId="0" applyAlignment="1">
      <x:alignment vertical="top" wrapText="1"/>
    </x:xf>
    <x:xf numFmtId="0" fontId="11" fillId="26" borderId="13" xfId="0" applyAlignment="1">
      <x:alignment vertical="top" wrapText="1"/>
    </x:xf>
    <x:xf numFmtId="0" fontId="11" fillId="26" borderId="14" xfId="0" applyAlignment="1">
      <x:alignment vertical="top" wrapText="1"/>
    </x:xf>
    <x:xf numFmtId="0" fontId="11" fillId="26" borderId="15" xfId="0" applyAlignment="1">
      <x:alignment vertical="top" wrapText="1"/>
    </x:xf>
    <x:xf numFmtId="0" fontId="22" fillId="26" borderId="13" xfId="0" applyAlignment="1">
      <x:alignment vertical="top" wrapText="1"/>
    </x:xf>
    <x:xf numFmtId="0" fontId="22" fillId="26" borderId="14" xfId="0" applyAlignment="1">
      <x:alignment vertical="top" wrapText="1"/>
    </x:xf>
    <x:xf numFmtId="0" fontId="22" fillId="26" borderId="15" xfId="0" applyAlignment="1">
      <x:alignment vertical="top" wrapText="1"/>
    </x:xf>
    <x:xf numFmtId="0" fontId="22" fillId="26" borderId="16" xfId="0" applyAlignment="1">
      <x:alignment vertical="top" wrapText="1"/>
    </x:xf>
    <x:xf numFmtId="0" fontId="22" fillId="26" borderId="17" xfId="0" applyAlignment="1">
      <x:alignment vertical="top" wrapText="1"/>
    </x:xf>
    <x:xf numFmtId="0" fontId="22" fillId="26" borderId="18" xfId="0" applyAlignment="1">
      <x:alignment vertical="top" wrapText="1"/>
    </x:xf>
    <x:xf numFmtId="0" fontId="11" fillId="26" borderId="0" xfId="0" applyAlignment="1">
      <x:alignment vertical="top" wrapText="1"/>
    </x:xf>
    <x:xf numFmtId="0" fontId="22" fillId="26" borderId="0" xfId="0" applyAlignment="1">
      <x:alignment vertical="top" wrapText="1"/>
    </x:xf>
    <x:xf numFmtId="0" fontId="11" fillId="27" borderId="13" xfId="0" applyAlignment="1">
      <x:alignment vertical="top" wrapText="1"/>
    </x:xf>
    <x:xf numFmtId="0" fontId="11" fillId="27" borderId="14" xfId="0" applyAlignment="1">
      <x:alignment vertical="top" wrapText="1"/>
    </x:xf>
    <x:xf numFmtId="0" fontId="11" fillId="27" borderId="15" xfId="0" applyAlignment="1">
      <x:alignment vertical="top" wrapText="1"/>
    </x:xf>
    <x:xf numFmtId="0" fontId="22" fillId="27" borderId="13" xfId="0" applyAlignment="1">
      <x:alignment vertical="top" wrapText="1"/>
    </x:xf>
    <x:xf numFmtId="0" fontId="22" fillId="27" borderId="14" xfId="0" applyAlignment="1">
      <x:alignment vertical="top" wrapText="1"/>
    </x:xf>
    <x:xf numFmtId="0" fontId="22" fillId="27" borderId="15" xfId="0" applyAlignment="1">
      <x:alignment vertical="top" wrapText="1"/>
    </x:xf>
    <x:xf numFmtId="0" fontId="22" fillId="27" borderId="16" xfId="0" applyAlignment="1">
      <x:alignment vertical="top" wrapText="1"/>
    </x:xf>
    <x:xf numFmtId="0" fontId="22" fillId="27" borderId="17" xfId="0" applyAlignment="1">
      <x:alignment vertical="top" wrapText="1"/>
    </x:xf>
    <x:xf numFmtId="0" fontId="22" fillId="27" borderId="18" xfId="0" applyAlignment="1">
      <x:alignment vertical="top" wrapText="1"/>
    </x:xf>
    <x:xf numFmtId="0" fontId="11" fillId="27" borderId="0" xfId="0" applyAlignment="1">
      <x:alignment vertical="top" wrapText="1"/>
    </x:xf>
    <x:xf numFmtId="0" fontId="22" fillId="27" borderId="0" xfId="0" applyAlignment="1">
      <x:alignment vertical="top" wrapText="1"/>
    </x:xf>
    <x:xf numFmtId="0" fontId="20" fillId="27" borderId="13" xfId="0" applyAlignment="1">
      <x:alignment vertical="top" wrapText="1"/>
    </x:xf>
    <x:xf numFmtId="0" fontId="20" fillId="27" borderId="14" xfId="0" applyAlignment="1">
      <x:alignment vertical="top" wrapText="1"/>
    </x:xf>
    <x:xf numFmtId="0" fontId="20" fillId="27" borderId="15" xfId="0" applyAlignment="1">
      <x:alignment vertical="top" wrapText="1"/>
    </x:xf>
    <x:xf numFmtId="0" fontId="20" fillId="27" borderId="0" xfId="0" applyAlignment="1">
      <x:alignment vertical="top" wrapText="1"/>
    </x:xf>
    <x:xf numFmtId="0" fontId="20" fillId="26" borderId="13" xfId="0" applyAlignment="1">
      <x:alignment horizontal="center" vertical="top" wrapText="1"/>
    </x:xf>
    <x:xf numFmtId="0" fontId="20" fillId="26" borderId="14" xfId="0" applyAlignment="1">
      <x:alignment horizontal="center" vertical="top" wrapText="1"/>
    </x:xf>
    <x:xf numFmtId="0" fontId="20" fillId="26" borderId="15" xfId="0" applyAlignment="1">
      <x:alignment horizontal="center" vertical="top" wrapText="1"/>
    </x:xf>
    <x:xf numFmtId="0" fontId="22" fillId="26" borderId="13" xfId="0" applyAlignment="1">
      <x:alignment horizontal="center" vertical="top" wrapText="1"/>
    </x:xf>
    <x:xf numFmtId="0" fontId="22" fillId="26" borderId="14" xfId="0" applyAlignment="1">
      <x:alignment horizontal="center" vertical="top" wrapText="1"/>
    </x:xf>
    <x:xf numFmtId="0" fontId="22" fillId="26" borderId="15" xfId="0" applyAlignment="1">
      <x:alignment horizontal="center" vertical="top" wrapText="1"/>
    </x:xf>
    <x:xf numFmtId="0" fontId="22" fillId="26" borderId="16" xfId="0" applyAlignment="1">
      <x:alignment horizontal="center" vertical="top" wrapText="1"/>
    </x:xf>
    <x:xf numFmtId="0" fontId="22" fillId="26" borderId="17" xfId="0" applyAlignment="1">
      <x:alignment horizontal="center" vertical="top" wrapText="1"/>
    </x:xf>
    <x:xf numFmtId="0" fontId="22" fillId="26" borderId="18" xfId="0" applyAlignment="1">
      <x:alignment horizontal="center" vertical="top" wrapText="1"/>
    </x:xf>
    <x:xf numFmtId="0" fontId="20" fillId="26" borderId="0" xfId="0" applyAlignment="1">
      <x:alignment horizontal="center" vertical="top" wrapText="1"/>
    </x:xf>
    <x:xf numFmtId="0" fontId="22" fillId="26" borderId="0" xfId="0" applyAlignment="1">
      <x:alignment horizontal="center" vertical="top" wrapText="1"/>
    </x:xf>
    <x:xf numFmtId="0" fontId="1" fillId="17" borderId="15" xfId="0" applyAlignment="1">
      <x:alignment horizontal="left" vertical="center"/>
    </x:xf>
    <x:xf numFmtId="0" fontId="0" fillId="0" borderId="15" xfId="0"/>
    <x:xf numFmtId="9" fontId="4" fillId="0" borderId="0" xfId="0" applyAlignment="1">
      <x:alignment vertical="top" wrapText="1"/>
    </x:xf>
    <x:xf numFmtId="0" fontId="5" fillId="6" borderId="15" xfId="0" applyAlignment="1">
      <x:alignment vertical="center" wrapText="1"/>
    </x:xf>
    <x:xf numFmtId="0" fontId="21" fillId="23" borderId="15" xfId="0" applyAlignment="1">
      <x:alignment vertical="center"/>
    </x:xf>
    <x:xf numFmtId="0" fontId="19" fillId="20" borderId="15" xfId="0" applyAlignment="1">
      <x:alignment vertical="top" wrapText="1"/>
    </x:xf>
    <x:xf numFmtId="0" fontId="6" fillId="17" borderId="15" xfId="0" applyAlignment="1">
      <x:alignment horizontal="left" vertical="center" wrapText="1"/>
    </x:xf>
    <x:xf numFmtId="0" fontId="13" fillId="21" borderId="15" xfId="0" applyAlignment="1">
      <x:alignment vertical="center" wrapText="1"/>
    </x:xf>
    <x:xf numFmtId="9" fontId="15" fillId="19" borderId="3" xfId="0" applyAlignment="1">
      <x:alignment horizontal="center" vertical="center"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9" fontId="0" fillId="5" borderId="0" xfId="0" applyAlignment="1">
      <x:alignment vertical="top" wrapText="1"/>
    </x:xf>
    <x:xf numFmtId="9" fontId="0" fillId="0" borderId="0" xfId="0" applyAlignment="1">
      <x:alignment vertical="top" wrapText="1"/>
    </x:xf>
    <x:xf numFmtId="9" fontId="8" fillId="10" borderId="0" xfId="0" applyAlignment="1">
      <x:alignment vertical="top" wrapText="1"/>
    </x:xf>
    <x:xf numFmtId="9" fontId="8" fillId="0" borderId="0" xfId="0" applyAlignment="1">
      <x:alignment vertical="top" wrapText="1"/>
    </x:xf>
    <x:xf numFmtId="9" fontId="16" fillId="0" borderId="0" xfId="0" applyAlignment="1">
      <x:alignment vertical="top" wrapText="1"/>
    </x:xf>
    <x:xf numFmtId="0" fontId="1" fillId="2" borderId="15" xfId="0" applyAlignment="1">
      <x:alignment horizontal="left" vertical="center" wrapText="1"/>
    </x:xf>
    <x:xf numFmtId="0" fontId="2" fillId="3" borderId="15" xfId="0" applyAlignment="1">
      <x:alignment wrapText="1"/>
    </x:xf>
    <x:xf numFmtId="0" fontId="1" fillId="2" borderId="15" xfId="0" applyAlignment="1">
      <x:alignment horizontal="left" vertical="center"/>
    </x:xf>
    <x:xf numFmtId="0" fontId="6" fillId="8" borderId="15" xfId="0" applyAlignment="1">
      <x:alignment vertical="center"/>
    </x:xf>
    <x:xf numFmtId="0" fontId="7" fillId="9" borderId="15" xfId="0" applyAlignment="1">
      <x:alignment wrapText="1"/>
    </x:xf>
    <x:xf numFmtId="0" fontId="6" fillId="11" borderId="15" xfId="0" applyAlignment="1">
      <x:alignment vertical="center"/>
    </x:xf>
    <x:xf numFmtId="0" fontId="9" fillId="12" borderId="15" xfId="0" applyAlignment="1">
      <x:alignment vertical="center" wrapText="1"/>
    </x:xf>
    <x:xf numFmtId="0" fontId="6" fillId="14" borderId="15" xfId="0" applyAlignment="1">
      <x:alignment horizontal="left" vertical="center"/>
    </x:xf>
    <x:xf numFmtId="0" fontId="14" fillId="15" borderId="15" xfId="0" applyAlignment="1">
      <x:alignment wrapText="1"/>
    </x:xf>
    <x:xf numFmtId="0" fontId="21" fillId="21"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9" fontId="0" fillId="0" borderId="0" xfId="0" applyNumberFormat="1" applyFont="1" applyFill="1" applyBorder="1"/>
    <x:xf numFmtId="0" fontId="4" fillId="0" borderId="0" xfId="0" applyNumberFormat="1" applyFont="1" applyFill="1" applyBorder="1"/>
    <x:xf numFmtId="9" fontId="4" fillId="0" borderId="0" xfId="0" applyNumberFormat="1" applyFont="1" applyFill="1" applyBorder="1"/>
    <x:xf numFmtId="0" fontId="4" fillId="0" borderId="0" xfId="0" applyNumberFormat="1" applyFont="1" applyFill="1" applyBorder="1" applyAlignment="1">
      <x:alignment wrapText="1"/>
    </x:xf>
    <x:xf numFmtId="9"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9"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5" borderId="0" xfId="0" applyNumberFormat="1" applyFont="1" applyFill="1" applyBorder="1" applyAlignment="1">
      <x:alignment vertical="top" wrapText="1"/>
    </x:xf>
    <x:xf numFmtId="9" fontId="0" fillId="5" borderId="0" xfId="0" applyNumberFormat="1" applyFont="1" applyFill="1" applyBorder="1" applyAlignment="1">
      <x:alignment vertical="top" wrapText="1"/>
    </x:xf>
    <x:xf numFmtId="9" fontId="0" fillId="0" borderId="0" xfId="0" applyNumberFormat="1" applyFont="1" applyFill="1" applyBorder="1" applyAlignment="1">
      <x:alignment vertical="top"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0" fontId="4" fillId="5" borderId="0" xfId="0" applyNumberFormat="1" applyFont="1" applyFill="1" applyBorder="1" applyAlignment="1">
      <x:alignment vertical="top"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vertical="center"/>
    </x:xf>
    <x:xf numFmtId="0" fontId="0" fillId="9" borderId="0" xfId="0" applyNumberFormat="1" applyFont="1" applyFill="1" applyBorder="1"/>
    <x:xf numFmtId="0" fontId="7" fillId="9" borderId="0" xfId="0" applyNumberFormat="1" applyFont="1" applyFill="1" applyBorder="1"/>
    <x:xf numFmtId="0" fontId="7" fillId="9" borderId="0" xfId="0" applyNumberFormat="1" applyFont="1" applyFill="1" applyBorder="1" applyAlignment="1">
      <x:alignment wrapText="1"/>
    </x:xf>
    <x:xf numFmtId="0" fontId="1" fillId="2" borderId="0" xfId="0" applyNumberFormat="1" applyFont="1" applyFill="1" applyBorder="1" applyAlignment="1">
      <x:alignment horizontal="left" vertical="center" wrapText="1"/>
    </x:xf>
    <x:xf numFmtId="0" fontId="8" fillId="0" borderId="0" xfId="0" applyNumberFormat="1" applyFont="1" applyFill="1" applyBorder="1"/>
    <x:xf numFmtId="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0" fontId="8" fillId="10" borderId="0" xfId="0" applyNumberFormat="1" applyFont="1" applyFill="1" applyBorder="1" applyAlignment="1">
      <x:alignment vertical="top" wrapText="1"/>
    </x:xf>
    <x:xf numFmtId="0" fontId="9" fillId="9" borderId="0" xfId="0" applyNumberFormat="1" applyFont="1" applyFill="1" applyBorder="1"/>
    <x:xf numFmtId="0" fontId="9" fillId="9" borderId="0" xfId="0" applyNumberFormat="1" applyFont="1" applyFill="1" applyBorder="1" applyAlignment="1">
      <x:alignment wrapText="1"/>
    </x:xf>
    <x:xf numFmtId="0" fontId="9" fillId="9" borderId="0" xfId="0" applyNumberFormat="1" applyFont="1" applyFill="1" applyBorder="1" applyAlignment="1">
      <x:alignment vertical="center" wrapText="1"/>
    </x:xf>
    <x:xf numFmtId="9" fontId="8" fillId="0" borderId="0" xfId="0" applyNumberFormat="1" applyFont="1" applyFill="1" applyBorder="1" applyAlignment="1">
      <x:alignment vertical="top" wrapText="1"/>
    </x:xf>
    <x:xf numFmtId="9" fontId="8" fillId="10" borderId="0" xfId="0" applyNumberFormat="1" applyFont="1" applyFill="1" applyBorder="1" applyAlignment="1">
      <x:alignment vertical="top" wrapText="1"/>
    </x:xf>
    <x:xf numFmtId="0" fontId="10" fillId="8" borderId="0" xfId="0" applyNumberFormat="1" applyFont="1" applyFill="1" applyBorder="1"/>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11" fillId="10" borderId="0" xfId="0" applyNumberFormat="1" applyFont="1" applyFill="1" applyBorder="1" applyAlignment="1">
      <x:alignment vertical="top" wrapText="1"/>
    </x:xf>
    <x:xf numFmtId="0" fontId="1" fillId="8" borderId="0" xfId="0" applyNumberFormat="1" applyFont="1" applyFill="1" applyBorder="1" applyAlignment="1">
      <x:alignment horizontal="left" vertical="center"/>
    </x:xf>
    <x:xf numFmtId="0" fontId="6" fillId="8" borderId="0" xfId="0" applyNumberFormat="1" applyFont="1" applyFill="1" applyBorder="1" applyAlignment="1">
      <x:alignment horizontal="left" vertical="center"/>
    </x:xf>
    <x:xf numFmtId="0" fontId="2" fillId="9" borderId="0" xfId="0" applyNumberFormat="1" applyFont="1" applyFill="1" applyBorder="1" applyAlignment="1">
      <x:alignment wrapText="1"/>
    </x:xf>
    <x:xf numFmtId="0" fontId="6" fillId="9" borderId="0" xfId="0" applyNumberFormat="1" applyFont="1" applyFill="1" applyBorder="1" applyAlignment="1">
      <x:alignment horizontal="left" vertical="center"/>
    </x:xf>
    <x:xf numFmtId="0" fontId="6" fillId="9" borderId="0" xfId="0" applyNumberFormat="1" applyFont="1" applyFill="1" applyBorder="1" applyAlignment="1">
      <x:alignment vertical="center"/>
    </x:xf>
    <x:xf numFmtId="0" fontId="12" fillId="9" borderId="0" xfId="0" applyNumberFormat="1" applyFont="1" applyFill="1" applyBorder="1" applyAlignment="1">
      <x:alignment horizontal="left" vertical="center"/>
    </x:xf>
    <x:xf numFmtId="0" fontId="12" fillId="9" borderId="0" xfId="0" applyNumberFormat="1" applyFont="1" applyFill="1" applyBorder="1" applyAlignment="1">
      <x:alignment vertical="center"/>
    </x:xf>
    <x:xf numFmtId="0" fontId="9" fillId="10" borderId="0" xfId="0" applyNumberFormat="1" applyFont="1" applyFill="1" applyBorder="1" applyAlignment="1">
      <x:alignment vertical="center" wrapText="1"/>
    </x:xf>
    <x:xf numFmtId="0" fontId="12" fillId="8" borderId="0" xfId="0" applyNumberFormat="1" applyFont="1" applyFill="1" applyBorder="1" applyAlignment="1">
      <x:alignment horizontal="left" vertical="center"/>
    </x:xf>
    <x:xf numFmtId="0" fontId="12" fillId="8" borderId="0" xfId="0" applyNumberFormat="1" applyFont="1" applyFill="1" applyBorder="1" applyAlignment="1">
      <x:alignment vertical="center"/>
    </x:xf>
    <x:xf numFmtId="0" fontId="13" fillId="9" borderId="0" xfId="0" applyNumberFormat="1" applyFont="1" applyFill="1" applyBorder="1" applyAlignment="1">
      <x:alignment vertical="center" wrapText="1"/>
    </x:xf>
    <x:xf numFmtId="0" fontId="13" fillId="9" borderId="0" xfId="0" applyNumberFormat="1" applyFont="1" applyFill="1" applyBorder="1" applyAlignment="1">
      <x:alignment horizontal="center" vertical="center" wrapText="1"/>
    </x:xf>
    <x:xf numFmtId="0" fontId="6" fillId="4" borderId="0" xfId="0" applyNumberFormat="1" applyFont="1" applyFill="1" applyBorder="1"/>
    <x:xf numFmtId="0" fontId="6" fillId="4" borderId="0" xfId="0" applyNumberFormat="1" applyFont="1" applyFill="1" applyBorder="1" applyAlignment="1">
      <x:alignment horizontal="left"/>
    </x:xf>
    <x:xf numFmtId="0" fontId="6" fillId="4" borderId="0" xfId="0" applyNumberFormat="1" applyFont="1" applyFill="1" applyBorder="1" applyAlignment="1">
      <x:alignment horizontal="left" vertical="center"/>
    </x:xf>
    <x:xf numFmtId="0" fontId="0" fillId="15" borderId="0" xfId="0" applyNumberFormat="1" applyFont="1" applyFill="1" applyBorder="1"/>
    <x:xf numFmtId="0" fontId="14" fillId="15" borderId="0" xfId="0" applyNumberFormat="1" applyFont="1" applyFill="1" applyBorder="1"/>
    <x:xf numFmtId="0" fontId="14" fillId="15" borderId="0" xfId="0" applyNumberFormat="1" applyFont="1" applyFill="1" applyBorder="1" applyAlignment="1">
      <x:alignment wrapText="1"/>
    </x:xf>
    <x:xf numFmtId="0" fontId="0" fillId="16" borderId="0" xfId="0" applyNumberFormat="1" applyFont="1" applyFill="1" applyBorder="1"/>
    <x:xf numFmtId="0" fontId="15" fillId="16" borderId="0" xfId="0" applyNumberFormat="1" applyFont="1" applyFill="1" applyBorder="1"/>
    <x:xf numFmtId="0" fontId="15" fillId="16" borderId="0" xfId="0" applyNumberFormat="1" applyFont="1" applyFill="1" applyBorder="1" applyAlignment="1">
      <x:alignment wrapText="1"/>
    </x:xf>
    <x:xf numFmtId="0" fontId="15" fillId="16" borderId="0" xfId="0" applyNumberFormat="1" applyFont="1" applyFill="1" applyBorder="1" applyAlignment="1">
      <x:alignment horizontal="center" wrapText="1"/>
    </x:xf>
    <x:xf numFmtId="0" fontId="15" fillId="16" borderId="0" xfId="0" applyNumberFormat="1" applyFont="1" applyFill="1" applyBorder="1" applyAlignment="1">
      <x:alignment horizontal="center"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9" fontId="16" fillId="0" borderId="0" xfId="0" applyNumberFormat="1" applyFont="1" applyFill="1" applyBorder="1" applyAlignment="1">
      <x:alignment vertical="top" wrapText="1"/>
    </x:xf>
    <x:xf numFmtId="0" fontId="17" fillId="15" borderId="0" xfId="0" applyNumberFormat="1" applyFont="1" applyFill="1" applyBorder="1"/>
    <x:xf numFmtId="0" fontId="1" fillId="8" borderId="0" xfId="0" applyNumberFormat="1" applyFont="1" applyFill="1" applyBorder="1" applyAlignment="1">
      <x:alignment vertical="center"/>
    </x:xf>
    <x:xf numFmtId="0" fontId="13" fillId="18" borderId="0" xfId="0" applyNumberFormat="1" applyFont="1" applyFill="1" applyBorder="1" applyAlignment="1">
      <x:alignment horizontal="center" vertical="center" wrapText="1"/>
    </x:xf>
    <x:xf numFmtId="0" fontId="18" fillId="18" borderId="0" xfId="0" applyNumberFormat="1" applyFont="1" applyFill="1" applyBorder="1" applyAlignment="1">
      <x:alignment horizontal="center" vertical="center" wrapText="1"/>
    </x:xf>
    <x:xf numFmtId="0" fontId="15" fillId="7" borderId="0" xfId="0" applyNumberFormat="1" applyFont="1" applyFill="1" applyBorder="1" applyAlignment="1">
      <x:alignment horizontal="center" vertical="center" wrapText="1"/>
    </x:xf>
    <x:xf numFmtId="0" fontId="11" fillId="20" borderId="0" xfId="0" applyNumberFormat="1" applyFont="1" applyFill="1" applyBorder="1" applyAlignment="1">
      <x:alignment vertical="top" wrapText="1"/>
    </x:xf>
    <x:xf numFmtId="0" fontId="19" fillId="20" borderId="0" xfId="0" applyNumberFormat="1" applyFont="1" applyFill="1" applyBorder="1" applyAlignment="1">
      <x:alignment vertical="top" wrapText="1"/>
    </x:xf>
    <x:xf numFmtId="0" fontId="15" fillId="20" borderId="0" xfId="0" applyNumberFormat="1" applyFont="1" applyFill="1" applyBorder="1" applyAlignment="1">
      <x:alignment vertical="top" wrapText="1"/>
    </x:xf>
    <x:xf numFmtId="0" fontId="15" fillId="20" borderId="0" xfId="0" applyNumberFormat="1" applyFont="1" applyFill="1" applyBorder="1" applyAlignment="1">
      <x:alignment horizontal="center" vertical="top" wrapText="1"/>
    </x:xf>
    <x:xf numFmtId="0" fontId="15" fillId="20" borderId="0" xfId="0" applyNumberFormat="1" applyFont="1" applyFill="1" applyBorder="1" applyAlignment="1">
      <x:alignment horizontal="center" vertical="center" wrapText="1"/>
    </x:xf>
    <x:xf numFmtId="0" fontId="20" fillId="15" borderId="0" xfId="0" applyNumberFormat="1" applyFont="1" applyFill="1" applyBorder="1"/>
    <x:xf numFmtId="0" fontId="20" fillId="16" borderId="0" xfId="0" applyNumberFormat="1" applyFont="1" applyFill="1" applyBorder="1" applyAlignment="1">
      <x:alignment horizontal="center" vertical="center" wrapText="1"/>
    </x:xf>
    <x:xf numFmtId="0" fontId="20" fillId="15" borderId="0" xfId="0" applyNumberFormat="1" applyFont="1" applyFill="1" applyBorder="1" applyAlignment="1">
      <x:alignment wrapText="1"/>
    </x:xf>
    <x:xf numFmtId="0" fontId="20" fillId="15" borderId="0" xfId="0" applyNumberFormat="1" applyFont="1" applyFill="1" applyBorder="1" applyAlignment="1">
      <x:alignment vertical="top" wrapText="1"/>
    </x:xf>
    <x:xf numFmtId="0" fontId="20" fillId="16" borderId="0" xfId="0" applyNumberFormat="1" applyFont="1" applyFill="1" applyBorder="1" applyAlignment="1">
      <x:alignment horizontal="center" vertical="top" wrapText="1"/>
    </x:xf>
    <x:xf numFmtId="0" fontId="1" fillId="8" borderId="0" xfId="0" applyNumberFormat="1" applyFont="1" applyFill="1" applyBorder="1" applyAlignment="1">
      <x:alignment horizontal="left"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horizontal="left" vertical="center" wrapText="1"/>
    </x:xf>
    <x:xf numFmtId="0" fontId="6" fillId="8" borderId="0" xfId="0" applyNumberFormat="1" applyFont="1" applyFill="1" applyBorder="1" applyAlignment="1">
      <x:alignment wrapText="1"/>
    </x:xf>
    <x:xf numFmtId="0" fontId="6" fillId="8" borderId="0" xfId="0" applyNumberFormat="1" applyFont="1" applyFill="1" applyBorder="1" applyAlignment="1">
      <x:alignment horizontal="left" wrapText="1"/>
    </x:xf>
    <x:xf numFmtId="0" fontId="2" fillId="21" borderId="0" xfId="0" applyNumberFormat="1" applyFont="1" applyFill="1" applyBorder="1" applyAlignment="1">
      <x:alignment wrapText="1"/>
    </x:xf>
    <x:xf numFmtId="0" fontId="0" fillId="21" borderId="0" xfId="0" applyNumberFormat="1" applyFont="1" applyFill="1" applyBorder="1" applyAlignment="1">
      <x:alignment wrapText="1"/>
    </x:xf>
    <x:xf numFmtId="0" fontId="13" fillId="21" borderId="0" xfId="0" applyNumberFormat="1" applyFont="1" applyFill="1" applyBorder="1" applyAlignment="1">
      <x:alignment wrapText="1"/>
    </x:xf>
    <x:xf numFmtId="0" fontId="21" fillId="21" borderId="0" xfId="0" applyNumberFormat="1" applyFont="1" applyFill="1" applyBorder="1" applyAlignment="1">
      <x:alignment wrapText="1"/>
    </x:xf>
    <x:xf numFmtId="0" fontId="13" fillId="21" borderId="0" xfId="0" applyNumberFormat="1" applyFont="1" applyFill="1" applyBorder="1" applyAlignment="1">
      <x:alignment vertical="center" wrapText="1"/>
    </x:xf>
    <x:xf numFmtId="0" fontId="21" fillId="21" borderId="0" xfId="0" applyNumberFormat="1" applyFont="1" applyFill="1" applyBorder="1" applyAlignment="1">
      <x:alignment vertical="center" wrapText="1"/>
    </x:xf>
    <x:xf numFmtId="0" fontId="4" fillId="7" borderId="0" xfId="0" applyNumberFormat="1" applyFont="1" applyFill="1" applyBorder="1" applyAlignment="1">
      <x:alignment vertical="top" wrapText="1"/>
    </x:xf>
    <x:xf numFmtId="0" fontId="15" fillId="7" borderId="0" xfId="0" applyNumberFormat="1" applyFont="1" applyFill="1" applyBorder="1" applyAlignment="1">
      <x:alignment vertical="top" wrapText="1"/>
    </x:xf>
    <x:xf numFmtId="0" fontId="15" fillId="7" borderId="0" xfId="0" applyNumberFormat="1" applyFont="1" applyFill="1" applyBorder="1" applyAlignment="1">
      <x:alignment horizontal="center" vertical="top" wrapText="1"/>
    </x:xf>
    <x:xf numFmtId="0" fontId="11" fillId="5" borderId="0" xfId="0" applyNumberFormat="1" applyFont="1" applyFill="1" applyBorder="1" applyAlignment="1">
      <x:alignment vertical="top" wrapText="1"/>
    </x:xf>
    <x:xf numFmtId="0" fontId="11" fillId="22" borderId="0" xfId="0" applyNumberFormat="1" applyFont="1" applyFill="1" applyBorder="1" applyAlignment="1">
      <x:alignment vertical="top" wrapText="1"/>
    </x:xf>
    <x:xf numFmtId="0" fontId="0" fillId="21" borderId="0" xfId="0" applyNumberFormat="1" applyFont="1" applyFill="1" applyBorder="1"/>
    <x:xf numFmtId="0" fontId="21" fillId="21" borderId="0" xfId="0" applyNumberFormat="1" applyFont="1" applyFill="1" applyBorder="1"/>
    <x:xf numFmtId="0" fontId="14" fillId="21" borderId="0" xfId="0" applyNumberFormat="1" applyFont="1" applyFill="1" applyBorder="1" applyAlignment="1">
      <x:alignment wrapText="1"/>
    </x:xf>
    <x:xf numFmtId="0" fontId="16" fillId="7" borderId="0"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5" fillId="7" borderId="0" xfId="0" applyNumberFormat="1" applyFont="1" applyFill="1" applyBorder="1" applyAlignment="1">
      <x:alignment horizontal="center" wrapText="1"/>
    </x:xf>
    <x:xf numFmtId="0" fontId="6" fillId="8" borderId="0" xfId="0" applyNumberFormat="1" applyFont="1" applyFill="1" applyBorder="1" applyAlignment="1">
      <x:alignment vertical="center" wrapText="1"/>
    </x:xf>
    <x:xf numFmtId="0" fontId="7" fillId="21"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9" fillId="21" borderId="0" xfId="0" applyNumberFormat="1" applyFont="1" applyFill="1" applyBorder="1" applyAlignment="1">
      <x:alignment vertical="center" wrapText="1"/>
    </x:xf>
    <x:xf numFmtId="0" fontId="8" fillId="7" borderId="0" xfId="0" applyNumberFormat="1" applyFont="1" applyFill="1" applyBorder="1" applyAlignment="1">
      <x:alignment vertical="top" wrapText="1"/>
    </x:xf>
    <x:xf numFmtId="9" fontId="4" fillId="7" borderId="0" xfId="0" applyNumberFormat="1" applyFont="1" applyFill="1" applyBorder="1" applyAlignment="1">
      <x:alignment vertical="top" wrapText="1"/>
    </x:xf>
    <x:xf numFmtId="9" fontId="15" fillId="7" borderId="0" xfId="0" applyNumberFormat="1" applyFont="1" applyFill="1" applyBorder="1" applyAlignment="1">
      <x:alignment vertical="top" wrapText="1"/>
    </x:xf>
    <x:xf numFmtId="9" fontId="15" fillId="7" borderId="0" xfId="0" applyNumberFormat="1" applyFont="1" applyFill="1" applyBorder="1" applyAlignment="1">
      <x:alignment horizontal="center" vertical="top" wrapText="1"/>
    </x:xf>
    <x:xf numFmtId="9" fontId="15" fillId="7" borderId="0" xfId="0" applyNumberFormat="1" applyFont="1" applyFill="1" applyBorder="1" applyAlignment="1">
      <x:alignment horizontal="center" vertical="center" wrapText="1"/>
    </x:xf>
    <x:xf numFmtId="9" fontId="11" fillId="0" borderId="0" xfId="0" applyNumberFormat="1" applyFont="1" applyFill="1" applyBorder="1" applyAlignment="1">
      <x:alignment vertical="top" wrapText="1"/>
    </x:xf>
    <x:xf numFmtId="0" fontId="10" fillId="21" borderId="0" xfId="0" applyNumberFormat="1" applyFont="1" applyFill="1" applyBorder="1"/>
    <x:xf numFmtId="0" fontId="21" fillId="21" borderId="0" xfId="0" applyNumberFormat="1" applyFont="1" applyFill="1" applyBorder="1" applyAlignment="1">
      <x:alignment vertical="center"/>
    </x:xf>
    <x:xf numFmtId="0" fontId="11" fillId="24" borderId="0" xfId="0" applyNumberFormat="1" applyFont="1" applyFill="1" applyBorder="1" applyAlignment="1">
      <x:alignment vertical="top" wrapText="1"/>
    </x:xf>
    <x:xf numFmtId="0" fontId="20" fillId="22" borderId="0" xfId="0" applyNumberFormat="1" applyFont="1" applyFill="1" applyBorder="1" applyAlignment="1">
      <x:alignment vertical="top" wrapText="1"/>
    </x:xf>
    <x:xf numFmtId="0" fontId="20" fillId="24" borderId="0" xfId="0" applyNumberFormat="1" applyFont="1" applyFill="1" applyBorder="1" applyAlignment="1">
      <x:alignment horizontal="center" vertical="top" wrapText="1"/>
    </x:xf>
    <x:xf numFmtId="0" fontId="11" fillId="24" borderId="0" xfId="0" applyNumberFormat="1" applyFont="1" applyFill="1" applyBorder="1" applyAlignment="1">
      <x:alignment horizontal="center" vertical="top" wrapText="1"/>
    </x:xf>
    <x:xf numFmtId="0" fontId="0" fillId="28" borderId="0" xfId="0" applyNumberFormat="1" applyFont="1" applyFill="1" applyBorder="1"/>
    <x:xf numFmtId="0" fontId="6" fillId="28" borderId="0" xfId="0" applyNumberFormat="1" applyFont="1" applyFill="1" applyBorder="1"/>
    <x:xf numFmtId="0" fontId="6" fillId="28" borderId="0" xfId="0" applyNumberFormat="1" applyFont="1" applyFill="1" applyBorder="1" applyAlignment="1">
      <x:alignment vertical="center"/>
    </x:xf>
    <x:xf numFmtId="0" fontId="0" fillId="29" borderId="0" xfId="0" applyNumberFormat="1" applyFont="1" applyFill="1" applyBorder="1"/>
    <x:xf numFmtId="0" fontId="3" fillId="29" borderId="0" xfId="0" applyNumberFormat="1" applyFont="1" applyFill="1" applyBorder="1"/>
    <x:xf numFmtId="0" fontId="3" fillId="29" borderId="0" xfId="0" applyNumberFormat="1" applyFont="1" applyFill="1" applyBorder="1" applyAlignment="1">
      <x:alignment horizontal="center"/>
    </x:xf>
    <x:xf numFmtId="0" fontId="3" fillId="29" borderId="0" xfId="0" applyNumberFormat="1" applyFont="1" applyFill="1" applyBorder="1" applyAlignment="1">
      <x:alignment horizontal="center" vertical="center"/>
    </x:xf>
    <x:xf numFmtId="0" fontId="3" fillId="29" borderId="0" xfId="0" applyNumberFormat="1" applyFont="1" applyFill="1" applyBorder="1" applyAlignment="1">
      <x:alignment horizontal="center" vertical="center" wrapText="1"/>
    </x:xf>
  </x:cellXfs>
  <x:cellStyles count="1">
    <x:cellStyle name="Normal" xfId="0"/>
  </x:cellStyles>
  <x:dxfs count="68">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patternType="solid">
          <x:bgColor rgb="FFDCFCE7"/>
        </x:patternFill>
      </x:fill>
    </x:dxf>
    <x:dxf>
      <x:fill>
        <x:patternFill patternType="solid">
          <x:bgColor rgb="FFEAF2F8"/>
        </x:patternFill>
      </x:fill>
    </x:dxf>
    <x:dxf>
      <x:fill>
        <x:patternFill patternType="solid">
          <x:bgColor rgb="FFFEE2E2"/>
        </x:patternFill>
      </x:fill>
    </x:dxf>
    <x:dxf>
      <x:fill>
        <x:patternFill patternType="solid">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313866ffce64bdf" /><Relationship Type="http://schemas.openxmlformats.org/officeDocument/2006/relationships/theme" Target="/xl/theme/theme1.xml" Id="R3821ba2c2164475b" /><Relationship Type="http://schemas.openxmlformats.org/officeDocument/2006/relationships/sharedStrings" Target="/xl/sharedStrings.xml" Id="R52ceafcf6a264b4f" /><Relationship Type="http://schemas.openxmlformats.org/officeDocument/2006/relationships/worksheet" Target="/xl/worksheets/sheet1.xml" Id="Rc89e181bc1d7450f" /><Relationship Type="http://schemas.openxmlformats.org/officeDocument/2006/relationships/worksheet" Target="/xl/worksheets/sheet2.xml" Id="R1d5b707374294a68" /><Relationship Type="http://schemas.openxmlformats.org/officeDocument/2006/relationships/worksheet" Target="/xl/worksheets/sheet3.xml" Id="Rf501fe87ab284676" /><Relationship Type="http://schemas.openxmlformats.org/officeDocument/2006/relationships/worksheet" Target="/xl/worksheets/sheet4.xml" Id="Re3fccccb66a54e07" /><Relationship Type="http://schemas.openxmlformats.org/officeDocument/2006/relationships/worksheet" Target="/xl/worksheets/sheet5.xml" Id="R10bb8d499bf44329" /><Relationship Type="http://schemas.openxmlformats.org/officeDocument/2006/relationships/worksheet" Target="/xl/worksheets/sheet6.xml" Id="Rcd820ec0a5b74726" /><Relationship Type="http://schemas.openxmlformats.org/officeDocument/2006/relationships/worksheet" Target="/xl/worksheets/sheet7.xml" Id="Rfbb0e2137eee46d6" /><Relationship Type="http://schemas.openxmlformats.org/officeDocument/2006/relationships/worksheet" Target="/xl/worksheets/sheet8.xml" Id="Re9eb6c1c97f144e9" /><Relationship Type="http://schemas.openxmlformats.org/officeDocument/2006/relationships/worksheet" Target="/xl/worksheets/sheet9.xml" Id="Rbea05e697cc1494e" /><Relationship Type="http://schemas.openxmlformats.org/officeDocument/2006/relationships/worksheet" Target="/xl/worksheets/sheet10.xml" Id="R5ec286cb827e4a58" /><Relationship Type="http://schemas.openxmlformats.org/officeDocument/2006/relationships/worksheet" Target="/xl/worksheets/sheet11.xml" Id="Refadf51adec54338" /><Relationship Type="http://schemas.openxmlformats.org/officeDocument/2006/relationships/worksheet" Target="/xl/worksheets/sheet12.xml" Id="Ra81823931b4f4be8" /><Relationship Type="http://schemas.openxmlformats.org/officeDocument/2006/relationships/worksheet" Target="/xl/worksheets/sheet13.xml" Id="Rfecf492d943b497d" /><Relationship Type="http://schemas.openxmlformats.org/officeDocument/2006/relationships/worksheet" Target="/xl/worksheets/sheet14.xml" Id="Rfb859520403e4d72" /><Relationship Type="http://schemas.openxmlformats.org/officeDocument/2006/relationships/worksheet" Target="/xl/worksheets/sheet15.xml" Id="R4e084d8df95342b3" /><Relationship Type="http://schemas.openxmlformats.org/officeDocument/2006/relationships/worksheet" Target="/xl/worksheets/sheet16.xml" Id="Raecae531c45447f9" /><Relationship Type="http://schemas.openxmlformats.org/officeDocument/2006/relationships/worksheet" Target="/xl/worksheets/sheet17.xml" Id="R8eaae6bab12c4cfe" /><Relationship Type="http://schemas.openxmlformats.org/officeDocument/2006/relationships/worksheet" Target="/xl/worksheets/sheet18.xml" Id="Rd50fdaf9e7d2447c" /><Relationship Type="http://schemas.openxmlformats.org/officeDocument/2006/relationships/worksheet" Target="/xl/worksheets/sheet19.xml" Id="R801e798796c94f39" /><Relationship Type="http://schemas.openxmlformats.org/officeDocument/2006/relationships/worksheet" Target="/xl/worksheets/sheet20.xml" Id="Rabe7ad0715f24dc2" /><Relationship Type="http://schemas.openxmlformats.org/officeDocument/2006/relationships/worksheet" Target="/xl/worksheets/sheet21.xml" Id="Ra1562044580942ec" /><Relationship Type="http://schemas.openxmlformats.org/officeDocument/2006/relationships/worksheet" Target="/xl/worksheets/sheet22.xml" Id="R3d452e7b18bc448d" /><Relationship Type="http://schemas.openxmlformats.org/officeDocument/2006/relationships/worksheet" Target="/xl/worksheets/sheet23.xml" Id="Ra8b5ac2de60048a2" /><Relationship Type="http://schemas.openxmlformats.org/officeDocument/2006/relationships/worksheet" Target="/xl/worksheets/sheet24.xml" Id="Rb7b51bb02e284c3f" /><Relationship Type="http://schemas.openxmlformats.org/officeDocument/2006/relationships/worksheet" Target="/xl/worksheets/sheet25.xml" Id="Rb6001f0605f04506" /><Relationship Type="http://schemas.openxmlformats.org/officeDocument/2006/relationships/worksheet" Target="/xl/worksheets/sheet26.xml" Id="R6c1b59bfbbc847ab" /><Relationship Type="http://schemas.openxmlformats.org/officeDocument/2006/relationships/worksheet" Target="/xl/worksheets/sheet27.xml" Id="Rb585ee378637432f" /><Relationship Type="http://schemas.openxmlformats.org/officeDocument/2006/relationships/worksheet" Target="/xl/worksheets/sheet28.xml" Id="Rc0a6ff88dbba46e8" /><Relationship Type="http://schemas.openxmlformats.org/officeDocument/2006/relationships/worksheet" Target="/xl/worksheets/sheet29.xml" Id="R80cb438fe8364f86" /><Relationship Type="http://schemas.openxmlformats.org/officeDocument/2006/relationships/worksheet" Target="/xl/worksheets/sheet30.xml" Id="R7fba835aeaa74c56" /><Relationship Type="http://schemas.openxmlformats.org/officeDocument/2006/relationships/worksheet" Target="/xl/worksheets/sheet31.xml" Id="R1911982507864ea8" /><Relationship Type="http://schemas.openxmlformats.org/officeDocument/2006/relationships/worksheet" Target="/xl/worksheets/sheet32.xml" Id="Rff14e885220342d5" /><Relationship Type="http://schemas.openxmlformats.org/officeDocument/2006/relationships/worksheet" Target="/xl/worksheets/sheet33.xml" Id="R3b3a5f74cf8f46b1" /><Relationship Type="http://schemas.openxmlformats.org/officeDocument/2006/relationships/worksheet" Target="/xl/worksheets/sheet34.xml" Id="Rd96f941de0f740c9" /><Relationship Type="http://schemas.openxmlformats.org/officeDocument/2006/relationships/worksheet" Target="/xl/worksheets/sheet35.xml" Id="Ra63d18db2baf47dc" /><Relationship Type="http://schemas.openxmlformats.org/officeDocument/2006/relationships/worksheet" Target="/xl/worksheets/sheet36.xml" Id="Rf4bf37fcf3b74f53" /><Relationship Type="http://schemas.openxmlformats.org/officeDocument/2006/relationships/worksheet" Target="/xl/worksheets/sheet37.xml" Id="R7edbbdfe1169433d" /><Relationship Type="http://schemas.openxmlformats.org/officeDocument/2006/relationships/worksheet" Target="/xl/worksheets/sheet38.xml" Id="R7c0521412e884421" /><Relationship Type="http://schemas.openxmlformats.org/officeDocument/2006/relationships/worksheet" Target="/xl/worksheets/sheet39.xml" Id="Rb8a74f6f4ea8456d" /><Relationship Type="http://schemas.openxmlformats.org/officeDocument/2006/relationships/worksheet" Target="/xl/worksheets/sheet40.xml" Id="R7dd541f5b46a436d" /><Relationship Type="http://schemas.openxmlformats.org/officeDocument/2006/relationships/worksheet" Target="/xl/worksheets/sheet41.xml" Id="Rcbfc880c97194a7c" /><Relationship Type="http://schemas.openxmlformats.org/officeDocument/2006/relationships/worksheet" Target="/xl/worksheets/sheet42.xml" Id="Rb051828427d14a38" /><Relationship Type="http://schemas.openxmlformats.org/officeDocument/2006/relationships/worksheet" Target="/xl/worksheets/sheet43.xml" Id="Rd0050fe5854941d6" /><Relationship Type="http://schemas.openxmlformats.org/officeDocument/2006/relationships/worksheet" Target="/xl/worksheets/sheet44.xml" Id="R89223841668c4395" /><Relationship Type="http://schemas.openxmlformats.org/officeDocument/2006/relationships/worksheet" Target="/xl/worksheets/sheet45.xml" Id="R8225c68c922445a8" /><Relationship Type="http://schemas.openxmlformats.org/officeDocument/2006/relationships/worksheet" Target="/xl/worksheets/sheet46.xml" Id="R5f5630f4a6a34b91" /><Relationship Type="http://schemas.openxmlformats.org/officeDocument/2006/relationships/worksheet" Target="/xl/worksheets/sheet47.xml" Id="R19d0615da1dd4d37" /><Relationship Type="http://schemas.openxmlformats.org/officeDocument/2006/relationships/worksheet" Target="/xl/worksheets/sheet48.xml" Id="R4c2a31b22d6f4728" /><Relationship Type="http://schemas.openxmlformats.org/officeDocument/2006/relationships/worksheet" Target="/xl/worksheets/sheet49.xml" Id="R609cde5107014bb7" /><Relationship Type="http://schemas.openxmlformats.org/officeDocument/2006/relationships/worksheet" Target="/xl/worksheets/sheet50.xml" Id="Rbd57b09447ca43ca" /><Relationship Type="http://schemas.openxmlformats.org/officeDocument/2006/relationships/worksheet" Target="/xl/worksheets/sheet51.xml" Id="R3ff4fdccbd5348d7" /><Relationship Type="http://schemas.openxmlformats.org/officeDocument/2006/relationships/worksheet" Target="/xl/worksheets/sheet52.xml" Id="Rf75ad148f32a4b1e" /><Relationship Type="http://schemas.openxmlformats.org/officeDocument/2006/relationships/worksheet" Target="/xl/worksheets/sheet53.xml" Id="R146e9bb8ec134f7f" /><Relationship Type="http://schemas.openxmlformats.org/officeDocument/2006/relationships/worksheet" Target="/xl/worksheets/sheet54.xml" Id="Rd41509cb9da7463b" /><Relationship Type="http://schemas.openxmlformats.org/officeDocument/2006/relationships/worksheet" Target="/xl/worksheets/sheet55.xml" Id="Reab0905e89314d2c" /><Relationship Type="http://schemas.openxmlformats.org/officeDocument/2006/relationships/worksheet" Target="/xl/worksheets/sheet56.xml" Id="R229c7c6e51cc4c37" /><Relationship Type="http://schemas.openxmlformats.org/officeDocument/2006/relationships/worksheet" Target="/xl/worksheets/sheet57.xml" Id="R815d2d82482444c8" /><Relationship Type="http://schemas.openxmlformats.org/officeDocument/2006/relationships/worksheet" Target="/xl/worksheets/sheet58.xml" Id="R09dd12016b2244c9" /><Relationship Type="http://schemas.openxmlformats.org/officeDocument/2006/relationships/worksheet" Target="/xl/worksheets/sheet59.xml" Id="Rc073347b1d0e4f19" /><Relationship Type="http://schemas.openxmlformats.org/officeDocument/2006/relationships/worksheet" Target="/xl/worksheets/sheet60.xml" Id="Rbe8e31c8e8b94e3f" /><Relationship Type="http://schemas.openxmlformats.org/officeDocument/2006/relationships/worksheet" Target="/xl/worksheets/sheet61.xml" Id="Rfa7deee8cc7f4254" /><Relationship Type="http://schemas.openxmlformats.org/officeDocument/2006/relationships/worksheet" Target="/xl/worksheets/sheet62.xml" Id="R04e985d434bf4dae" /></Relationships>
</file>

<file path=xl/drawings/_rels/drawing1.xml.rels>&#65279;<?xml version="1.0" encoding="utf-8"?><Relationships xmlns="http://schemas.openxmlformats.org/package/2006/relationships"><Relationship Type="http://schemas.openxmlformats.org/officeDocument/2006/relationships/chart" Target="/xl/drawings/charts/chart1.xml" Id="R5f202e4a25fb4db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Roadmap Items by Phase</a:t>
            </a:r>
          </a:p>
        </c:rich>
      </c:tx>
    </c:title>
    <c:plotArea>
      <c:barChart>
        <c:barDir val="col"/>
        <c:grouping val="clustered"/>
        <c:varyColors val="0"/>
        <c:ser>
          <c:idx val="0"/>
          <c:order val="0"/>
          <c:tx>
            <c:v>Total Items</c:v>
          </c:tx>
          <c:spPr>
            <a:ln xmlns:a="http://schemas.openxmlformats.org/drawingml/2006/main">
              <a:prstDash val="solid"/>
            </a:ln>
          </c:spPr>
          <c:cat>
            <c:strRef>
              <c:f>'Dashboard'!$A$5:$A$8</c:f>
              <c:strCache>
                <c:ptCount val="0"/>
              </c:strCache>
            </c:strRef>
          </c:cat>
          <c:val>
            <c:numRef>
              <c:f>'Dashboard'!$B$5:$B$8</c:f>
              <c:numCache>
                <c:formatCode>General</c:formatCode>
                <c:ptCount val="0"/>
              </c:numCache>
            </c:numRef>
          </c:val>
        </c:ser>
        <c:ser>
          <c:idx val="1"/>
          <c:order val="1"/>
          <c:tx>
            <c:v>Done</c:v>
          </c:tx>
          <c:spPr>
            <a:ln xmlns:a="http://schemas.openxmlformats.org/drawingml/2006/main">
              <a:prstDash val="solid"/>
            </a:ln>
          </c:spPr>
          <c:cat>
            <c:strRef>
              <c:f>'Dashboard'!$A$5:$A$8</c:f>
              <c:strCache>
                <c:ptCount val="0"/>
              </c:strCache>
            </c:strRef>
          </c:cat>
          <c:val>
            <c:numRef>
              <c:f>'Dashboard'!$C$5:$C$8</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10</xdr:row>
      <xdr:rowOff>0</xdr:rowOff>
    </xdr:from>
    <xdr:to>
      <xdr:col>10</xdr:col>
      <xdr:colOff>0</xdr:colOff>
      <xdr:row>26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202e4a25fb4dbe"/>
        </a:graphicData>
      </a:graphic>
    </xdr:graphicFrame>
    <xdr:clientData/>
  </xdr:twoCellAnchor>
</xdr:wsDr>
</file>

<file path=xl/tables/table1.xml><?xml version="1.0" encoding="utf-8"?>
<x:table xmlns:x="http://schemas.openxmlformats.org/spreadsheetml/2006/main" id="1" name="RoadmapTable" displayName="RoadmapTable" ref="A4:M295" headerRowCount="1" totalsRowCount="0" totalsRowShown="0">
  <x:tableColumns count="13">
    <x:tableColumn id="1" name="Phase"/>
    <x:tableColumn id="2" name="Primary Outcome"/>
    <x:tableColumn id="3" name="Mobile"/>
    <x:tableColumn id="4" name="Web/Admin"/>
    <x:tableColumn id="5" name="Backend/DB"/>
    <x:tableColumn id="6" name="Context/Memory"/>
    <x:tableColumn id="7" name="Runtime/Preview"/>
    <x:tableColumn id="8" name="Workflow/Agents"/>
    <x:tableColumn id="9" name="Git/Delivery"/>
    <x:tableColumn id="10" name="Security"/>
    <x:tableColumn id="11" name="Cost Focus"/>
    <x:tableColumn id="12" name="Enterprise"/>
    <x:tableColumn id="13" name="Ga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318b7b9871e40d3" /></Relationships>
</file>

<file path=xl/worksheets/_rels/sheet2.xml.rels>&#65279;<?xml version="1.0" encoding="utf-8"?><Relationships xmlns="http://schemas.openxmlformats.org/package/2006/relationships"><Relationship Type="http://schemas.openxmlformats.org/officeDocument/2006/relationships/table" Target="/xl/tables/table1.xml" Id="Rf2197a1005b24be1" /></Relationships>
</file>

<file path=xl/worksheets/sheet1.xml><?xml version="1.0" encoding="utf-8"?>
<x:worksheet xmlns:x="http://schemas.openxmlformats.org/spreadsheetml/2006/main">
  <x:sheetFormatPr baseColWidth="8" defaultRowHeight="15"/>
  <x:cols>
    <x:col min="1" max="1" width="27" style="40" customWidth="1"/>
    <x:col min="2" max="2" width="20" style="40" customWidth="1"/>
    <x:col min="3" max="3" width="16" style="40" customWidth="1"/>
    <x:col min="4" max="4" width="18" style="40" customWidth="1"/>
    <x:col min="5" max="5" width="24" style="40" customWidth="1"/>
    <x:col min="6" max="6" width="25" style="40" customWidth="1"/>
    <x:col min="7" max="7" width="34" style="40" customWidth="1"/>
  </x:cols>
  <x:sheetData>
    <x:row r="1" s="40" customFormat="1" ht="30" customHeight="1">
      <x:c r="A1" s="374" t="inlineStr">
        <x:is>
          <x:t xml:space="preserve">OmniStackAI - Execution Dashboard</x:t>
        </x:is>
      </x:c>
      <x:c r="B1" s="375" t="n"/>
      <x:c r="C1" s="375" t="n"/>
      <x:c r="D1" s="375" t="n"/>
      <x:c r="E1" s="375" t="n"/>
      <x:c r="F1" s="375" t="n"/>
      <x:c r="G1" s="375" t="n"/>
    </x:row>
    <x:row r="2" s="40" customFormat="1" ht="24" customHeight="1">
      <x:c r="A2" s="138" t="str">
        <x:v>V6</x:v>
      </x:c>
      <x:c r="B2" s="138" t="inlineStr">
        <x:is>
          <x:t xml:space="preserve">Cost-aware verification</x:t>
        </x:is>
      </x:c>
      <x:c r="C2" s="138" t="inlineStr">
        <x:is>
          <x:t xml:space="preserve">Project memory</x:t>
        </x:is>
      </x:c>
      <x:c r="D2" s="138" t="inlineStr">
        <x:is>
          <x:t xml:space="preserve">Temporal</x:t>
        </x:is>
      </x:c>
      <x:c r="E2" s="138" t="inlineStr">
        <x:is>
          <x:t xml:space="preserve">PostgreSQL</x:t>
        </x:is>
      </x:c>
      <x:c r="F2" s="138" t="inlineStr">
        <x:is>
          <x:t xml:space="preserve">Client ownership</x:t>
        </x:is>
      </x:c>
      <x:c r="G2" s="138" t="inlineStr">
        <x:is>
          <x:t xml:space="preserve">Production delivery</x:t>
        </x:is>
      </x:c>
    </x:row>
    <x:row r="3"/>
    <x:row r="4" s="40" customFormat="1" ht="28" customHeight="1">
      <x:c r="A4" s="20" t="inlineStr">
        <x:is>
          <x:t xml:space="preserve">Phase</x:t>
        </x:is>
      </x:c>
      <x:c r="B4" s="20" t="inlineStr">
        <x:is>
          <x:t xml:space="preserve">Total Items</x:t>
        </x:is>
      </x:c>
      <x:c r="C4" s="20" t="inlineStr">
        <x:is>
          <x:t xml:space="preserve">Done</x:t>
        </x:is>
      </x:c>
      <x:c r="D4" s="20" t="inlineStr">
        <x:is>
          <x:t xml:space="preserve">Completion %</x:t>
        </x:is>
      </x:c>
      <x:c r="F4" s="20" t="inlineStr">
        <x:is>
          <x:t xml:space="preserve">Status</x:t>
        </x:is>
      </x:c>
      <x:c r="G4" s="20" t="inlineStr">
        <x:is>
          <x:t xml:space="preserve">Count</x:t>
        </x:is>
      </x:c>
    </x:row>
    <x:row r="5">
      <x:c r="A5" s="32" t="inlineStr">
        <x:is>
          <x:t xml:space="preserve">MVP</x:t>
        </x:is>
      </x:c>
      <x:c r="B5" s="32" t="n">
        <x:f>COUNTIF(Phase_Roadmap!$B$4:$B$295,"MVP")</x:f>
        <x:v>181</x:v>
      </x:c>
      <x:c r="C5" s="32" t="n">
        <x:f>COUNTIFS(Phase_Roadmap!$B$4:$B$295,"MVP",Phase_Roadmap!$H$4:$H$295,"Done")</x:f>
        <x:v>75</x:v>
      </x:c>
      <x:c r="D5" s="376" t="n">
        <x:f>IF(B5=0,0,C5/B5)</x:f>
        <x:v>0.4143646408839779</x:v>
      </x:c>
      <x:c r="F5" s="32" t="inlineStr">
        <x:is>
          <x:t xml:space="preserve">Not Started</x:t>
        </x:is>
      </x:c>
      <x:c r="G5" s="32" t="n">
        <x:f>COUNTIF(Phase_Roadmap!$H$4:$H$295,F5)</x:f>
        <x:v>210</x:v>
      </x:c>
    </x:row>
    <x:row r="6">
      <x:c r="A6" s="32" t="inlineStr">
        <x:is>
          <x:t xml:space="preserve">MID</x:t>
        </x:is>
      </x:c>
      <x:c r="B6" s="32" t="n">
        <x:f>COUNTIF(Phase_Roadmap!$B$4:$B$295,"MID")</x:f>
        <x:v>47</x:v>
      </x:c>
      <x:c r="C6" s="32" t="n">
        <x:f>COUNTIFS(Phase_Roadmap!$B$4:$B$295,"MID",Phase_Roadmap!$H$4:$H$295,"Done")</x:f>
        <x:v>0</x:v>
      </x:c>
      <x:c r="D6" s="376" t="n">
        <x:f>IF(B6=0,0,C6/B6)</x:f>
        <x:v>0</x:v>
      </x:c>
      <x:c r="F6" s="32" t="inlineStr">
        <x:is>
          <x:t xml:space="preserve">In Progress</x:t>
        </x:is>
      </x:c>
      <x:c r="G6" s="32" t="n">
        <x:f>COUNTIF(Phase_Roadmap!$H$4:$H$295,F6)</x:f>
        <x:v>0</x:v>
      </x:c>
    </x:row>
    <x:row r="7">
      <x:c r="A7" s="32" t="inlineStr">
        <x:is>
          <x:t xml:space="preserve">ADVANCED</x:t>
        </x:is>
      </x:c>
      <x:c r="B7" s="32" t="n">
        <x:f>COUNTIF(Phase_Roadmap!$B$4:$B$295,"ADVANCED")</x:f>
        <x:v>29</x:v>
      </x:c>
      <x:c r="C7" s="32" t="n">
        <x:f>COUNTIFS(Phase_Roadmap!$B$4:$B$295,"ADVANCED",Phase_Roadmap!$H$4:$H$295,"Done")</x:f>
        <x:v>0</x:v>
      </x:c>
      <x:c r="D7" s="376" t="n">
        <x:f>IF(B7=0,0,C7/B7)</x:f>
        <x:v>0</x:v>
      </x:c>
      <x:c r="F7" s="32" t="inlineStr">
        <x:is>
          <x:t xml:space="preserve">Blocked</x:t>
        </x:is>
      </x:c>
      <x:c r="G7" s="32" t="n">
        <x:f>COUNTIF(Phase_Roadmap!$H$4:$H$295,F7)</x:f>
        <x:v>0</x:v>
      </x:c>
    </x:row>
    <x:row r="8">
      <x:c r="A8" s="32" t="inlineStr">
        <x:is>
          <x:t xml:space="preserve">PRODUCTION</x:t>
        </x:is>
      </x:c>
      <x:c r="B8" s="32" t="n">
        <x:f>COUNTIF(Phase_Roadmap!$B$4:$B$295,"PRODUCTION")</x:f>
        <x:v>29</x:v>
      </x:c>
      <x:c r="C8" s="32" t="n">
        <x:f>COUNTIFS(Phase_Roadmap!$B$4:$B$295,"PRODUCTION",Phase_Roadmap!$H$4:$H$295,"Done")</x:f>
        <x:v>0</x:v>
      </x:c>
      <x:c r="D8" s="376" t="n">
        <x:f>IF(B8=0,0,C8/B8)</x:f>
        <x:v>0</x:v>
      </x:c>
      <x:c r="F8" s="32" t="inlineStr">
        <x:is>
          <x:t xml:space="preserve">Done</x:t>
        </x:is>
      </x:c>
      <x:c r="G8" s="32" t="n">
        <x:f>COUNTIF(Phase_Roadmap!$H$4:$H$295,F8)</x:f>
        <x:v>75</x:v>
      </x:c>
    </x:row>
    <x:row r="9">
      <x:c r="F9" s="32" t="inlineStr">
        <x:is>
          <x:t xml:space="preserve">Deferred</x:t>
        </x:is>
      </x:c>
      <x:c r="G9" s="32" t="n">
        <x:f>COUNTIF(Phase_Roadmap!$H$4:$H$295,F9)</x:f>
        <x:v>1</x:v>
      </x:c>
    </x:row>
    <x:row r="10"/>
    <x:row r="11" s="40" customFormat="1" ht="28" customHeight="1">
      <x:c r="A11" s="141" t="inlineStr">
        <x:is>
          <x:t xml:space="preserve">Key Goal</x:t>
        </x:is>
      </x:c>
      <x:c r="B11" s="142" t="inlineStr">
        <x:is>
          <x:t xml:space="preserve">Target</x:t>
        </x:is>
      </x:c>
      <x:c r="C11" s="142" t="inlineStr">
        <x:is>
          <x:t xml:space="preserve">Current</x:t>
        </x:is>
      </x:c>
      <x:c r="D11" s="143" t="inlineStr">
        <x:is>
          <x:t xml:space="preserve">Notes</x:t>
        </x:is>
      </x:c>
    </x:row>
    <x:row r="12">
      <x:c r="A12" s="144" t="inlineStr">
        <x:is>
          <x:t xml:space="preserve">First-attempt build success</x:t>
        </x:is>
      </x:c>
      <x:c r="B12" s="145" t="inlineStr">
        <x:is>
          <x:t xml:space="preserve">&gt;=70% MVP; &gt;=85% at scale</x:t>
        </x:is>
      </x:c>
      <x:c r="C12" s="145" t="n"/>
      <x:c r="D12" s="146" t="inlineStr">
        <x:is>
          <x:t xml:space="preserve">Track by framework + template version</x:t>
        </x:is>
      </x:c>
    </x:row>
    <x:row r="13">
      <x:c r="A13" s="147" t="inlineStr">
        <x:is>
          <x:t xml:space="preserve">Final task success</x:t>
        </x:is>
      </x:c>
      <x:c r="B13" s="148" t="inlineStr">
        <x:is>
          <x:t xml:space="preserve">&gt;=95%</x:t>
        </x:is>
      </x:c>
      <x:c r="C13" s="148" t="n"/>
      <x:c r="D13" s="149" t="inlineStr">
        <x:is>
          <x:t xml:space="preserve">Within bounded retries; durable resume</x:t>
        </x:is>
      </x:c>
    </x:row>
    <x:row r="14">
      <x:c r="A14" s="147" t="inlineStr">
        <x:is>
          <x:t xml:space="preserve">Regression escape rate</x:t>
        </x:is>
      </x:c>
      <x:c r="B14" s="148" t="inlineStr">
        <x:is>
          <x:t xml:space="preserve">&lt;2% MVP; &lt;0.5% target</x:t>
        </x:is>
      </x:c>
      <x:c r="C14" s="148" t="n"/>
      <x:c r="D14" s="149" t="inlineStr">
        <x:is>
          <x:t xml:space="preserve">Accepted change later causing breakage</x:t>
        </x:is>
      </x:c>
    </x:row>
    <x:row r="15">
      <x:c r="A15" s="147" t="inlineStr">
        <x:is>
          <x:t xml:space="preserve">Deployment success</x:t>
        </x:is>
      </x:c>
      <x:c r="B15" s="148" t="inlineStr">
        <x:is>
          <x:t xml:space="preserve">&gt;=98%</x:t>
        </x:is>
      </x:c>
      <x:c r="C15" s="148" t="n"/>
      <x:c r="D15" s="149" t="inlineStr">
        <x:is>
          <x:t xml:space="preserve">No manual repair; immutable deployment runs</x:t>
        </x:is>
      </x:c>
    </x:row>
    <x:row r="16">
      <x:c r="A16" s="147" t="inlineStr">
        <x:is>
          <x:t xml:space="preserve">Critical security issues released</x:t>
        </x:is>
      </x:c>
      <x:c r="B16" s="148" t="inlineStr">
        <x:is>
          <x:t xml:space="preserve">0</x:t>
        </x:is>
      </x:c>
      <x:c r="C16" s="148" t="n"/>
      <x:c r="D16" s="149" t="inlineStr">
        <x:is>
          <x:t xml:space="preserve">Always blocking</x:t>
        </x:is>
      </x:c>
    </x:row>
    <x:row r="17">
      <x:c r="A17" s="147" t="inlineStr">
        <x:is>
          <x:t xml:space="preserve">Cloud Mac usage</x:t>
        </x:is>
      </x:c>
      <x:c r="B17" s="148" t="inlineStr">
        <x:is>
          <x:t xml:space="preserve">Minimize</x:t>
        </x:is>
      </x:c>
      <x:c r="C17" s="148" t="n"/>
      <x:c r="D17" s="149" t="inlineStr">
        <x:is>
          <x:t xml:space="preserve">Browser-first + physical-device + cached iOS builds</x:t>
        </x:is>
      </x:c>
    </x:row>
    <x:row r="18">
      <x:c r="A18" s="156" t="inlineStr">
        <x:is>
          <x:t xml:space="preserve">Cost per successful task</x:t>
        </x:is>
      </x:c>
      <x:c r="B18" s="157" t="inlineStr">
        <x:is>
          <x:t xml:space="preserve">Trend down by phase</x:t>
        </x:is>
      </x:c>
      <x:c r="C18" s="157" t="n"/>
      <x:c r="D18" s="158" t="inlineStr">
        <x:is>
          <x:t xml:space="preserve">Models + Linux + Mac + devices + third-party spend</x:t>
        </x:is>
      </x:c>
    </x:row>
    <x:row r="19">
      <x:c r="A19" s="377" t="inlineStr">
        <x:is>
          <x:t xml:space="preserve">Framework &amp; Repository Baseline</x:t>
        </x:is>
      </x:c>
      <x:c r="B19" s="375" t="n"/>
      <x:c r="C19" s="375" t="n"/>
      <x:c r="D19" s="375" t="n"/>
      <x:c r="E19" s="375" t="n"/>
      <x:c r="F19" s="375" t="n"/>
      <x:c r="G19" s="375" t="n"/>
    </x:row>
    <x:row r="20" s="40" customFormat="1" ht="28" customHeight="1">
      <x:c r="A20" s="141" t="inlineStr">
        <x:is>
          <x:t xml:space="preserve">Decision</x:t>
        </x:is>
      </x:c>
      <x:c r="B20" s="142" t="inlineStr">
        <x:is>
          <x:t xml:space="preserve">Default</x:t>
        </x:is>
      </x:c>
      <x:c r="C20" s="142" t="inlineStr">
        <x:is>
          <x:t xml:space="preserve">Alternative</x:t>
        </x:is>
      </x:c>
      <x:c r="D20" s="142" t="inlineStr">
        <x:is>
          <x:t xml:space="preserve">When alternative is preferred</x:t>
        </x:is>
      </x:c>
      <x:c r="E20" s="142" t="inlineStr">
        <x:is>
          <x:t xml:space="preserve">Repository</x:t>
        </x:is>
      </x:c>
      <x:c r="F20" s="142" t="inlineStr">
        <x:is>
          <x:t xml:space="preserve">Phase</x:t>
        </x:is>
      </x:c>
      <x:c r="G20" s="143" t="inlineStr">
        <x:is>
          <x:t xml:space="preserve">V5 note</x:t>
        </x:is>
      </x:c>
    </x:row>
    <x:row r="21">
      <x:c r="A21" s="144" t="inlineStr">
        <x:is>
          <x:t xml:space="preserve">Mobile strategy</x:t>
        </x:is>
      </x:c>
      <x:c r="B21" s="145" t="inlineStr">
        <x:is>
          <x:t xml:space="preserve">Auto / Recommended</x:t>
        </x:is>
      </x:c>
      <x:c r="C21" s="145" t="inlineStr">
        <x:is>
          <x:t xml:space="preserve">Flutter / Expo-RN / Native</x:t>
        </x:is>
      </x:c>
      <x:c r="D21" s="145" t="inlineStr">
        <x:is>
          <x:t xml:space="preserve">Requirements or user override</x:t>
        </x:is>
      </x:c>
      <x:c r="E21" s="145" t="inlineStr">
        <x:is>
          <x:t xml:space="preserve">One repo per project</x:t>
        </x:is>
      </x:c>
      <x:c r="F21" s="145" t="inlineStr">
        <x:is>
          <x:t xml:space="preserve">MVP</x:t>
        </x:is>
      </x:c>
      <x:c r="G21" s="146" t="inlineStr">
        <x:is>
          <x:t xml:space="preserve">Cross-platform when fit; native by measured need</x:t>
        </x:is>
      </x:c>
    </x:row>
    <x:row r="22">
      <x:c r="A22" s="147" t="inlineStr">
        <x:is>
          <x:t xml:space="preserve">Preview strategy</x:t>
        </x:is>
      </x:c>
      <x:c r="B22" s="148" t="inlineStr">
        <x:is>
          <x:t xml:space="preserve">Instant Browser Preview FIRST</x:t>
        </x:is>
      </x:c>
      <x:c r="C22" s="148" t="inlineStr">
        <x:is>
          <x:t xml:space="preserve">QR real-device / cloud device</x:t>
        </x:is>
      </x:c>
      <x:c r="D22" s="148" t="inlineStr">
        <x:is>
          <x:t xml:space="preserve">Stronger proof required</x:t>
        </x:is>
      </x:c>
      <x:c r="E22" s="148" t="inlineStr">
        <x:is>
          <x:t xml:space="preserve">Artifacts tied to task/commit</x:t>
        </x:is>
      </x:c>
      <x:c r="F22" s="148" t="inlineStr">
        <x:is>
          <x:t xml:space="preserve">MVP</x:t>
        </x:is>
      </x:c>
      <x:c r="G22" s="149" t="inlineStr">
        <x:is>
          <x:t xml:space="preserve">Cloud emulator/simulator is optional and metered</x:t>
        </x:is>
      </x:c>
    </x:row>
    <x:row r="23">
      <x:c r="A23" s="147" t="inlineStr">
        <x:is>
          <x:t xml:space="preserve">Web/Admin</x:t>
        </x:is>
      </x:c>
      <x:c r="B23" s="148" t="inlineStr">
        <x:is>
          <x:t xml:space="preserve">Next.js</x:t>
        </x:is>
      </x:c>
      <x:c r="C23" s="148" t="inlineStr">
        <x:is>
          <x:t xml:space="preserve">Flutter/RN Web only when suitable</x:t>
        </x:is>
      </x:c>
      <x:c r="D23" s="148" t="inlineStr">
        <x:is>
          <x:t xml:space="preserve">App-like UI/code sharing &gt; SEO/admin UX</x:t>
        </x:is>
      </x:c>
      <x:c r="E23" s="148" t="inlineStr">
        <x:is>
          <x:t xml:space="preserve">Same project repo</x:t>
        </x:is>
      </x:c>
      <x:c r="F23" s="148" t="inlineStr">
        <x:is>
          <x:t xml:space="preserve">MVP</x:t>
        </x:is>
      </x:c>
      <x:c r="G23" s="149" t="inlineStr">
        <x:is>
          <x:t xml:space="preserve">Do not force mobile framework onto web/admin</x:t>
        </x:is>
      </x:c>
    </x:row>
    <x:row r="24">
      <x:c r="A24" s="147" t="inlineStr">
        <x:is>
          <x:t xml:space="preserve">Backend</x:t>
        </x:is>
      </x:c>
      <x:c r="B24" s="148" t="inlineStr">
        <x:is>
          <x:t xml:space="preserve">Go or Python</x:t>
        </x:is>
      </x:c>
      <x:c r="C24" s="148" t="inlineStr">
        <x:is>
          <x:t xml:space="preserve">Node/NestJS / BaaS</x:t>
        </x:is>
      </x:c>
      <x:c r="D24" s="148" t="inlineStr">
        <x:is>
          <x:t xml:space="preserve">TS ecosystem or rapid profile</x:t>
        </x:is>
      </x:c>
      <x:c r="E24" s="148" t="inlineStr">
        <x:is>
          <x:t xml:space="preserve">services/ in project repo</x:t>
        </x:is>
      </x:c>
      <x:c r="F24" s="148" t="inlineStr">
        <x:is>
          <x:t xml:space="preserve">MVP/MID</x:t>
        </x:is>
      </x:c>
      <x:c r="G24" s="149" t="inlineStr">
        <x:is>
          <x:t xml:space="preserve">Contracts remain portable</x:t>
        </x:is>
      </x:c>
    </x:row>
    <x:row r="25">
      <x:c r="A25" s="147" t="inlineStr">
        <x:is>
          <x:t xml:space="preserve">Database</x:t>
        </x:is>
      </x:c>
      <x:c r="B25" s="148" t="inlineStr">
        <x:is>
          <x:t xml:space="preserve">Auto -&gt; PostgreSQL</x:t>
        </x:is>
      </x:c>
      <x:c r="C25" s="148" t="inlineStr">
        <x:is>
          <x:t xml:space="preserve">MongoDB / Supabase / Firebase / Existing</x:t>
        </x:is>
      </x:c>
      <x:c r="D25" s="148" t="inlineStr">
        <x:is>
          <x:t xml:space="preserve">Workload requirements justify it</x:t>
        </x:is>
      </x:c>
      <x:c r="E25" s="148" t="inlineStr">
        <x:is>
          <x:t xml:space="preserve">database/ + migrations</x:t>
        </x:is>
      </x:c>
      <x:c r="F25" s="148" t="inlineStr">
        <x:is>
          <x:t xml:space="preserve">MVP</x:t>
        </x:is>
      </x:c>
      <x:c r="G25" s="149" t="inlineStr">
        <x:is>
          <x:t xml:space="preserve">Platform control plane stays PostgreSQL</x:t>
        </x:is>
      </x:c>
    </x:row>
    <x:row r="26">
      <x:c r="A26" s="156" t="inlineStr">
        <x:is>
          <x:t xml:space="preserve">iOS runtime</x:t>
        </x:is>
      </x:c>
      <x:c r="B26" s="157" t="inlineStr">
        <x:is>
          <x:t xml:space="preserve">Build/TestFlight on demand</x:t>
        </x:is>
      </x:c>
      <x:c r="C26" s="157" t="inlineStr">
        <x:is>
          <x:t xml:space="preserve">Cloud Simulator / Local Mac</x:t>
        </x:is>
      </x:c>
      <x:c r="D26" s="157" t="inlineStr">
        <x:is>
          <x:t xml:space="preserve">Native OS debug or customer preference</x:t>
        </x:is>
      </x:c>
      <x:c r="E26" s="157" t="inlineStr">
        <x:is>
          <x:t xml:space="preserve">Build provenance in release</x:t>
        </x:is>
      </x:c>
      <x:c r="F26" s="157" t="inlineStr">
        <x:is>
          <x:t xml:space="preserve">MID</x:t>
        </x:is>
      </x:c>
      <x:c r="G26" s="158" t="inlineStr">
        <x:is>
          <x:t xml:space="preserve">Allocate Mac only when Apple tooling is required</x:t>
        </x:is>
      </x:c>
    </x:row>
    <x:row r="27">
      <x:c r="A27" s="378" t="inlineStr">
        <x:is>
          <x:t xml:space="preserve">Generated Project Architecture Baseline — see Repo_Architecture and Project_Structure</x:t>
        </x:is>
      </x:c>
      <x:c r="B27" s="375" t="n"/>
      <x:c r="C27" s="375" t="n"/>
      <x:c r="D27" s="375" t="n"/>
      <x:c r="E27" s="375" t="n"/>
      <x:c r="F27" s="375" t="n"/>
      <x:c r="G27" s="375" t="n"/>
    </x:row>
    <x:row r="28">
      <x:c r="A28" s="76" t="n"/>
      <x:c r="B28" s="76" t="n"/>
      <x:c r="C28" s="76" t="n"/>
      <x:c r="D28" s="76" t="n"/>
      <x:c r="E28" s="76" t="n"/>
      <x:c r="F28" s="76" t="n"/>
      <x:c r="G28" s="76" t="n"/>
    </x:row>
    <x:row r="29">
      <x:c r="A29" s="379" t="inlineStr">
        <x:is>
          <x:t xml:space="preserve">V5 Architecture Additions</x:t>
        </x:is>
      </x:c>
      <x:c r="B29" s="375" t="n"/>
      <x:c r="C29" s="375" t="n"/>
      <x:c r="D29" s="375" t="n"/>
      <x:c r="E29" s="375" t="n"/>
      <x:c r="F29" s="375" t="n"/>
      <x:c r="G29" s="375" t="n"/>
    </x:row>
    <x:row r="30" s="40" customFormat="1" ht="28" customHeight="1">
      <x:c r="A30" s="168" t="inlineStr">
        <x:is>
          <x:t xml:space="preserve">Module</x:t>
        </x:is>
      </x:c>
      <x:c r="B30" s="169" t="inlineStr">
        <x:is>
          <x:t xml:space="preserve">Phase</x:t>
        </x:is>
      </x:c>
      <x:c r="C30" s="169" t="inlineStr">
        <x:is>
          <x:t xml:space="preserve">Priority</x:t>
        </x:is>
      </x:c>
      <x:c r="D30" s="169" t="inlineStr">
        <x:is>
          <x:t xml:space="preserve">Status</x:t>
        </x:is>
      </x:c>
      <x:c r="E30" s="169" t="inlineStr">
        <x:is>
          <x:t xml:space="preserve">Primary KPI</x:t>
        </x:is>
      </x:c>
      <x:c r="F30" s="169" t="inlineStr">
        <x:is>
          <x:t xml:space="preserve">Cost lever</x:t>
        </x:is>
      </x:c>
      <x:c r="G30" s="170" t="inlineStr">
        <x:is>
          <x:t xml:space="preserve">Notes</x:t>
        </x:is>
      </x:c>
    </x:row>
    <x:row r="31">
      <x:c r="A31" s="343" t="inlineStr">
        <x:is>
          <x:t xml:space="preserve">Instant Browser Preview First</x:t>
        </x:is>
      </x:c>
      <x:c r="B31" s="344" t="inlineStr">
        <x:is>
          <x:t xml:space="preserve">MVP</x:t>
        </x:is>
      </x:c>
      <x:c r="C31" s="344" t="inlineStr">
        <x:is>
          <x:t xml:space="preserve">P0</x:t>
        </x:is>
      </x:c>
      <x:c r="D31" s="344" t="inlineStr">
        <x:is>
          <x:t xml:space="preserve">Not Started</x:t>
        </x:is>
      </x:c>
      <x:c r="E31" s="344" t="inlineStr">
        <x:is>
          <x:t xml:space="preserve">preview latency</x:t>
        </x:is>
      </x:c>
      <x:c r="F31" s="344" t="inlineStr">
        <x:is>
          <x:t xml:space="preserve">avoid native/cloud sessions</x:t>
        </x:is>
      </x:c>
      <x:c r="G31" s="345" t="inlineStr">
        <x:is>
          <x:t xml:space="preserve">Always visible before QR</x:t>
        </x:is>
      </x:c>
    </x:row>
    <x:row r="32">
      <x:c r="A32" s="354" t="inlineStr">
        <x:is>
          <x:t xml:space="preserve">QR / Physical Device Delivery</x:t>
        </x:is>
      </x:c>
      <x:c r="B32" s="355" t="inlineStr">
        <x:is>
          <x:t xml:space="preserve">MVP</x:t>
        </x:is>
      </x:c>
      <x:c r="C32" s="355" t="inlineStr">
        <x:is>
          <x:t xml:space="preserve">P0</x:t>
        </x:is>
      </x:c>
      <x:c r="D32" s="355" t="inlineStr">
        <x:is>
          <x:t xml:space="preserve">Not Started</x:t>
        </x:is>
      </x:c>
      <x:c r="E32" s="355" t="inlineStr">
        <x:is>
          <x:t xml:space="preserve">device preview success</x:t>
        </x:is>
      </x:c>
      <x:c r="F32" s="355" t="inlineStr">
        <x:is>
          <x:t xml:space="preserve">user device supplies compute</x:t>
        </x:is>
      </x:c>
      <x:c r="G32" s="356" t="inlineStr">
        <x:is>
          <x:t xml:space="preserve">Expo QR + APK QR + TestFlight</x:t>
        </x:is>
      </x:c>
    </x:row>
    <x:row r="33">
      <x:c r="A33" s="343" t="inlineStr">
        <x:is>
          <x:t xml:space="preserve">Context Engine</x:t>
        </x:is>
      </x:c>
      <x:c r="B33" s="344" t="inlineStr">
        <x:is>
          <x:t xml:space="preserve">MVP</x:t>
        </x:is>
      </x:c>
      <x:c r="C33" s="344" t="inlineStr">
        <x:is>
          <x:t xml:space="preserve">P0</x:t>
        </x:is>
      </x:c>
      <x:c r="D33" s="344" t="inlineStr">
        <x:is>
          <x:t xml:space="preserve">Not Started</x:t>
        </x:is>
      </x:c>
      <x:c r="E33" s="344" t="inlineStr">
        <x:is>
          <x:t xml:space="preserve">relevant-context hit rate</x:t>
        </x:is>
      </x:c>
      <x:c r="F33" s="344" t="inlineStr">
        <x:is>
          <x:t xml:space="preserve">reduce input tokens</x:t>
        </x:is>
      </x:c>
      <x:c r="G33" s="345" t="inlineStr">
        <x:is>
          <x:t xml:space="preserve">Progressive retrieval</x:t>
        </x:is>
      </x:c>
    </x:row>
    <x:row r="34">
      <x:c r="A34" s="354" t="inlineStr">
        <x:is>
          <x:t xml:space="preserve">Project Memory</x:t>
        </x:is>
      </x:c>
      <x:c r="B34" s="355" t="inlineStr">
        <x:is>
          <x:t xml:space="preserve">MVP/MID</x:t>
        </x:is>
      </x:c>
      <x:c r="C34" s="355" t="inlineStr">
        <x:is>
          <x:t xml:space="preserve">P0</x:t>
        </x:is>
      </x:c>
      <x:c r="D34" s="355" t="inlineStr">
        <x:is>
          <x:t xml:space="preserve">Not Started</x:t>
        </x:is>
      </x:c>
      <x:c r="E34" s="355" t="inlineStr">
        <x:is>
          <x:t xml:space="preserve">stale-memory rate</x:t>
        </x:is>
      </x:c>
      <x:c r="F34" s="355" t="inlineStr">
        <x:is>
          <x:t xml:space="preserve">avoid chat replay</x:t>
        </x:is>
      </x:c>
      <x:c r="G34" s="356" t="inlineStr">
        <x:is>
          <x:t xml:space="preserve">Evidence-backed</x:t>
        </x:is>
      </x:c>
    </x:row>
    <x:row r="35">
      <x:c r="A35" s="343" t="inlineStr">
        <x:is>
          <x:t xml:space="preserve">LLM Cost Controller</x:t>
        </x:is>
      </x:c>
      <x:c r="B35" s="344" t="inlineStr">
        <x:is>
          <x:t xml:space="preserve">MVP</x:t>
        </x:is>
      </x:c>
      <x:c r="C35" s="344" t="inlineStr">
        <x:is>
          <x:t xml:space="preserve">P0</x:t>
        </x:is>
      </x:c>
      <x:c r="D35" s="344" t="inlineStr">
        <x:is>
          <x:t xml:space="preserve">Not Started</x:t>
        </x:is>
      </x:c>
      <x:c r="E35" s="344" t="inlineStr">
        <x:is>
          <x:t xml:space="preserve">cost/successful task</x:t>
        </x:is>
      </x:c>
      <x:c r="F35" s="344" t="inlineStr">
        <x:is>
          <x:t xml:space="preserve">deterministic-first + model ladder</x:t>
        </x:is>
      </x:c>
      <x:c r="G35" s="345" t="inlineStr">
        <x:is>
          <x:t xml:space="preserve">Budget per run</x:t>
        </x:is>
      </x:c>
    </x:row>
    <x:row r="36">
      <x:c r="A36" s="354" t="inlineStr">
        <x:is>
          <x:t xml:space="preserve">Temporal Workflows</x:t>
        </x:is>
      </x:c>
      <x:c r="B36" s="355" t="inlineStr">
        <x:is>
          <x:t xml:space="preserve">MVP</x:t>
        </x:is>
      </x:c>
      <x:c r="C36" s="355" t="inlineStr">
        <x:is>
          <x:t xml:space="preserve">P0</x:t>
        </x:is>
      </x:c>
      <x:c r="D36" s="355" t="inlineStr">
        <x:is>
          <x:t xml:space="preserve">Not Started</x:t>
        </x:is>
      </x:c>
      <x:c r="E36" s="355" t="inlineStr">
        <x:is>
          <x:t xml:space="preserve">resume success</x:t>
        </x:is>
      </x:c>
      <x:c r="F36" s="355" t="inlineStr">
        <x:is>
          <x:t xml:space="preserve">avoid restart waste</x:t>
        </x:is>
      </x:c>
      <x:c r="G36" s="356" t="inlineStr">
        <x:is>
          <x:t xml:space="preserve">Durable execution</x:t>
        </x:is>
      </x:c>
    </x:row>
    <x:row r="37">
      <x:c r="A37" s="369" t="inlineStr">
        <x:is>
          <x:t xml:space="preserve">Database Recommender</x:t>
        </x:is>
      </x:c>
      <x:c r="B37" s="370" t="inlineStr">
        <x:is>
          <x:t xml:space="preserve">MVP</x:t>
        </x:is>
      </x:c>
      <x:c r="C37" s="370" t="inlineStr">
        <x:is>
          <x:t xml:space="preserve">P1</x:t>
        </x:is>
      </x:c>
      <x:c r="D37" s="370" t="inlineStr">
        <x:is>
          <x:t xml:space="preserve">Not Started</x:t>
        </x:is>
      </x:c>
      <x:c r="E37" s="370" t="inlineStr">
        <x:is>
          <x:t xml:space="preserve">recommendation override rate</x:t>
        </x:is>
      </x:c>
      <x:c r="F37" s="370" t="inlineStr">
        <x:is>
          <x:t xml:space="preserve">avoid unnecessary infra</x:t>
        </x:is>
      </x:c>
      <x:c r="G37" s="371" t="inlineStr">
        <x:is>
          <x:t xml:space="preserve">Postgres default</x:t>
        </x:is>
      </x:c>
    </x:row>
    <x:row r="38">
      <x:c r="A38" s="354" t="inlineStr">
        <x:is>
          <x:t xml:space="preserve">Remote Debug Bridge</x:t>
        </x:is>
      </x:c>
      <x:c r="B38" s="355" t="inlineStr">
        <x:is>
          <x:t xml:space="preserve">MID</x:t>
        </x:is>
      </x:c>
      <x:c r="C38" s="355" t="inlineStr">
        <x:is>
          <x:t xml:space="preserve">P1</x:t>
        </x:is>
      </x:c>
      <x:c r="D38" s="355" t="inlineStr">
        <x:is>
          <x:t xml:space="preserve">Not Started</x:t>
        </x:is>
      </x:c>
      <x:c r="E38" s="355" t="inlineStr">
        <x:is>
          <x:t xml:space="preserve">real-device bug closure</x:t>
        </x:is>
      </x:c>
      <x:c r="F38" s="355" t="inlineStr">
        <x:is>
          <x:t xml:space="preserve">reduce cloud device use</x:t>
        </x:is>
      </x:c>
      <x:c r="G38" s="356" t="inlineStr">
        <x:is>
          <x:t xml:space="preserve">Secure opt-in telemetry</x:t>
        </x:is>
      </x:c>
    </x:row>
    <x:row r="39">
      <x:c r="A39" s="343" t="inlineStr">
        <x:is>
          <x:t xml:space="preserve">Client Handover</x:t>
        </x:is>
      </x:c>
      <x:c r="B39" s="344" t="inlineStr">
        <x:is>
          <x:t xml:space="preserve">MID</x:t>
        </x:is>
      </x:c>
      <x:c r="C39" s="344" t="inlineStr">
        <x:is>
          <x:t xml:space="preserve">P1</x:t>
        </x:is>
      </x:c>
      <x:c r="D39" s="344" t="inlineStr">
        <x:is>
          <x:t xml:space="preserve">Not Started</x:t>
        </x:is>
      </x:c>
      <x:c r="E39" s="344" t="inlineStr">
        <x:is>
          <x:t xml:space="preserve">handover completeness</x:t>
        </x:is>
      </x:c>
      <x:c r="F39" s="344" t="inlineStr">
        <x:is>
          <x:t xml:space="preserve">reduce support lock-in</x:t>
        </x:is>
      </x:c>
      <x:c r="G39" s="345" t="inlineStr">
        <x:is>
          <x:t xml:space="preserve">Source + IR + docs</x:t>
        </x:is>
      </x:c>
    </x:row>
    <x:row r="40">
      <x:c r="A40" s="354" t="inlineStr">
        <x:is>
          <x:t xml:space="preserve">Supply-chain Provenance</x:t>
        </x:is>
      </x:c>
      <x:c r="B40" s="355" t="inlineStr">
        <x:is>
          <x:t xml:space="preserve">MVP/MID</x:t>
        </x:is>
      </x:c>
      <x:c r="C40" s="355" t="inlineStr">
        <x:is>
          <x:t xml:space="preserve">P0</x:t>
        </x:is>
      </x:c>
      <x:c r="D40" s="355" t="inlineStr">
        <x:is>
          <x:t xml:space="preserve">Not Started</x:t>
        </x:is>
      </x:c>
      <x:c r="E40" s="355" t="inlineStr">
        <x:is>
          <x:t xml:space="preserve">signed artifact coverage</x:t>
        </x:is>
      </x:c>
      <x:c r="F40" s="355" t="inlineStr">
        <x:is>
          <x:t xml:space="preserve">reduce release risk</x:t>
        </x:is>
      </x:c>
      <x:c r="G40" s="356" t="inlineStr">
        <x:is>
          <x:t xml:space="preserve">SBOM + digest + signer</x:t>
        </x:is>
      </x:c>
    </x:row>
    <x:row r="41">
      <x:c r="A41" s="343" t="inlineStr">
        <x:is>
          <x:t xml:space="preserve">Store Publishing</x:t>
        </x:is>
      </x:c>
      <x:c r="B41" s="344" t="inlineStr">
        <x:is>
          <x:t xml:space="preserve">MID</x:t>
        </x:is>
      </x:c>
      <x:c r="C41" s="344" t="inlineStr">
        <x:is>
          <x:t xml:space="preserve">P1</x:t>
        </x:is>
      </x:c>
      <x:c r="D41" s="344" t="inlineStr">
        <x:is>
          <x:t xml:space="preserve">Not Started</x:t>
        </x:is>
      </x:c>
      <x:c r="E41" s="344" t="inlineStr">
        <x:is>
          <x:t xml:space="preserve">store submission success</x:t>
        </x:is>
      </x:c>
      <x:c r="F41" s="344" t="inlineStr">
        <x:is>
          <x:t xml:space="preserve">automate repeat work</x:t>
        </x:is>
      </x:c>
      <x:c r="G41" s="345" t="inlineStr">
        <x:is>
          <x:t xml:space="preserve">Play/TestFlight/App Store</x:t>
        </x:is>
      </x:c>
    </x:row>
    <x:row r="42">
      <x:c r="A42" s="354" t="inlineStr">
        <x:is>
          <x:t xml:space="preserve">Provider Interfaces</x:t>
        </x:is>
      </x:c>
      <x:c r="B42" s="355" t="inlineStr">
        <x:is>
          <x:t xml:space="preserve">MVP</x:t>
        </x:is>
      </x:c>
      <x:c r="C42" s="355" t="inlineStr">
        <x:is>
          <x:t xml:space="preserve">P0</x:t>
        </x:is>
      </x:c>
      <x:c r="D42" s="355" t="inlineStr">
        <x:is>
          <x:t xml:space="preserve">Not Started</x:t>
        </x:is>
      </x:c>
      <x:c r="E42" s="355" t="inlineStr">
        <x:is>
          <x:t xml:space="preserve">vendor switch effort</x:t>
        </x:is>
      </x:c>
      <x:c r="F42" s="355" t="inlineStr">
        <x:is>
          <x:t xml:space="preserve">avoid lock-in</x:t>
        </x:is>
      </x:c>
      <x:c r="G42" s="356" t="inlineStr">
        <x:is>
          <x:t xml:space="preserve">Model/Runtime/Build/Git/etc.</x:t>
        </x:is>
      </x:c>
    </x:row>
    <x:row r="43">
      <x:c r="A43" s="127" t="n"/>
      <x:c r="B43" s="127" t="n"/>
      <x:c r="C43" s="127" t="n"/>
      <x:c r="D43" s="127" t="n"/>
      <x:c r="E43" s="127" t="n"/>
      <x:c r="F43" s="127" t="n"/>
      <x:c r="G43" s="127" t="n"/>
    </x:row>
    <x:row r="44">
      <x:c r="A44" s="540" t="str">
        <x:v>V6 Execution Additions</x:v>
      </x:c>
      <x:c r="B44" s="540"/>
      <x:c r="C44" s="540"/>
      <x:c r="D44" s="540"/>
      <x:c r="E44" s="540"/>
      <x:c r="F44" s="540"/>
      <x:c r="G44" s="540"/>
    </x:row>
    <x:row r="45">
      <x:c r="A45" s="545" t="str">
        <x:v>Module</x:v>
      </x:c>
      <x:c r="B45" s="545" t="str">
        <x:v>Phase</x:v>
      </x:c>
      <x:c r="C45" s="545" t="str">
        <x:v>Priority</x:v>
      </x:c>
      <x:c r="D45" s="545" t="str">
        <x:v>Status</x:v>
      </x:c>
      <x:c r="E45" s="545" t="str">
        <x:v>Primary KPI</x:v>
      </x:c>
      <x:c r="F45" s="545" t="str">
        <x:v>Cost / Risk Lever</x:v>
      </x:c>
      <x:c r="G45" s="545" t="str">
        <x:v>V6 Note</x:v>
      </x:c>
    </x:row>
    <x:row r="46">
      <x:c r="A46" s="421" t="str">
        <x:v>Portable AI/Developer Contract</x:v>
      </x:c>
      <x:c r="B46" s="421" t="str">
        <x:v>PHASE 0</x:v>
      </x:c>
      <x:c r="C46" s="421" t="str">
        <x:v>P0</x:v>
      </x:c>
      <x:c r="D46" s="421" t="str">
        <x:v>Not Started</x:v>
      </x:c>
      <x:c r="E46" s="421" t="str">
        <x:v>fresh-session start success</x:v>
      </x:c>
      <x:c r="F46" s="421" t="str">
        <x:v>reduce onboarding/context waste</x:v>
      </x:c>
      <x:c r="G46" s="421" t="str">
        <x:v>AGENTS.md + START_HERE + durable state</x:v>
      </x:c>
    </x:row>
    <x:row r="47">
      <x:c r="A47" s="421" t="str">
        <x:v>Ollama / Local Model Provider</x:v>
      </x:c>
      <x:c r="B47" s="421" t="str">
        <x:v>MVP</x:v>
      </x:c>
      <x:c r="C47" s="421" t="str">
        <x:v>P0</x:v>
      </x:c>
      <x:c r="D47" s="421" t="str">
        <x:v>Not Started</x:v>
      </x:c>
      <x:c r="E47" s="421" t="str">
        <x:v>local task acceptance rate</x:v>
      </x:c>
      <x:c r="F47" s="421" t="str">
        <x:v>reduce provider spend / improve privacy</x:v>
      </x:c>
      <x:c r="G47" s="421" t="str">
        <x:v>Same ModelProvider boundary as cloud APIs</x:v>
      </x:c>
    </x:row>
    <x:row r="48">
      <x:c r="A48" s="421" t="str">
        <x:v>Model Capability Registry</x:v>
      </x:c>
      <x:c r="B48" s="421" t="str">
        <x:v>MVP</x:v>
      </x:c>
      <x:c r="C48" s="421" t="str">
        <x:v>P0</x:v>
      </x:c>
      <x:c r="D48" s="421" t="str">
        <x:v>Not Started</x:v>
      </x:c>
      <x:c r="E48" s="421" t="str">
        <x:v>routing correctness</x:v>
      </x:c>
      <x:c r="F48" s="421" t="str">
        <x:v>avoid weak/oversized model calls</x:v>
      </x:c>
      <x:c r="G48" s="421" t="str">
        <x:v>Context/tools/JSON/evals per exact model config</x:v>
      </x:c>
    </x:row>
    <x:row r="49">
      <x:c r="A49" s="421" t="str">
        <x:v>AI Handoff / Resume Protocol</x:v>
      </x:c>
      <x:c r="B49" s="421" t="str">
        <x:v>PHASE 0</x:v>
      </x:c>
      <x:c r="C49" s="421" t="str">
        <x:v>P0</x:v>
      </x:c>
      <x:c r="D49" s="421" t="str">
        <x:v>Not Started</x:v>
      </x:c>
      <x:c r="E49" s="421" t="str">
        <x:v>resume success</x:v>
      </x:c>
      <x:c r="F49" s="421" t="str">
        <x:v>avoid rework after interruption</x:v>
      </x:c>
      <x:c r="G49" s="421" t="str">
        <x:v>CURRENT_TASK + HANDOFF + exact next command</x:v>
      </x:c>
    </x:row>
    <x:row r="50">
      <x:c r="A50" s="421" t="str">
        <x:v>Environment Contract</x:v>
      </x:c>
      <x:c r="B50" s="421" t="str">
        <x:v>PHASE 0</x:v>
      </x:c>
      <x:c r="C50" s="421" t="str">
        <x:v>P0</x:v>
      </x:c>
      <x:c r="D50" s="421" t="str">
        <x:v>Not Started</x:v>
      </x:c>
      <x:c r="E50" s="421" t="str">
        <x:v>bootstrap success</x:v>
      </x:c>
      <x:c r="F50" s="421" t="str">
        <x:v>avoid config/prod incidents</x:v>
      </x:c>
      <x:c r="G50" s="421" t="str">
        <x:v>typed config + .env.example + secret exclusions</x:v>
      </x:c>
    </x:row>
    <x:row r="51">
      <x:c r="A51" s="421" t="str">
        <x:v>Model Provider Evals</x:v>
      </x:c>
      <x:c r="B51" s="421" t="str">
        <x:v>MVP</x:v>
      </x:c>
      <x:c r="C51" s="421" t="str">
        <x:v>P0</x:v>
      </x:c>
      <x:c r="D51" s="421" t="str">
        <x:v>Not Started</x:v>
      </x:c>
      <x:c r="E51" s="421" t="str">
        <x:v>tool/patch quality</x:v>
      </x:c>
      <x:c r="F51" s="421" t="str">
        <x:v>use local/cheap model safely</x:v>
      </x:c>
      <x:c r="G51" s="421" t="str">
        <x:v>task-class conformance and quality thresholds</x:v>
      </x:c>
    </x:row>
    <x:row r="52">
      <x:c r="A52" s="421" t="str">
        <x:v>Progressive DB/Release Safety</x:v>
      </x:c>
      <x:c r="B52" s="421" t="str">
        <x:v>MVP/MID</x:v>
      </x:c>
      <x:c r="C52" s="421" t="str">
        <x:v>P0</x:v>
      </x:c>
      <x:c r="D52" s="421" t="str">
        <x:v>Not Started</x:v>
      </x:c>
      <x:c r="E52" s="421" t="str">
        <x:v>rollback/roll-forward success</x:v>
      </x:c>
      <x:c r="F52" s="421" t="str">
        <x:v>reduce production outage risk</x:v>
      </x:c>
      <x:c r="G52" s="421" t="str">
        <x:v>expand/migrate/contract + immutable promotion</x:v>
      </x:c>
    </x:row>
  </x:sheetData>
  <x:mergeCells>
    <x:mergeCell ref="A27:G27"/>
    <x:mergeCell ref="A19:G19"/>
    <x:mergeCell ref="A1:G1"/>
    <x:mergeCell ref="A29:G29"/>
    <x:mergeCell ref="A44:G44"/>
  </x:mergeCells>
  <x:dataValidations count="1">
    <x:dataValidation type="list" sqref="D46:D52">
      <x:formula1>"Not Started,In Progress,Blocked,Done,Deferred"</x:formula1>
    </x:dataValidation>
  </x:dataValidations>
  <x:pageMargins left="0.7" right="0.7" top="0.75" bottom="0.75" header="0.3" footer="0.3"/>
  <x:drawing xmlns:r="http://schemas.openxmlformats.org/officeDocument/2006/relationships" r:id="R7318b7b9871e40d3"/>
</x:worksheet>
</file>

<file path=xl/worksheets/sheet2.xml><?xml version="1.0" encoding="utf-8"?>
<x:worksheet xmlns:x="http://schemas.openxmlformats.org/spreadsheetml/2006/main">
  <x:sheetFormatPr baseColWidth="8" defaultRowHeight="15"/>
  <x:cols>
    <x:col min="1" max="1" width="16" style="40" customWidth="1"/>
    <x:col min="2" max="2" width="28" style="40" customWidth="1"/>
    <x:col min="3" max="3" width="26" style="40" customWidth="1"/>
    <x:col min="4" max="4" width="20" style="40" customWidth="1"/>
    <x:col min="5" max="5" width="31" style="40" customWidth="1"/>
    <x:col min="6" max="6" width="32" style="40" customWidth="1"/>
    <x:col min="7" max="7" width="33" style="40" customWidth="1"/>
    <x:col min="8" max="8" width="31" style="40" customWidth="1"/>
    <x:col min="9" max="9" width="28" style="40" customWidth="1"/>
    <x:col min="10" max="10" width="29" style="40" customWidth="1"/>
    <x:col min="11" max="11" width="28" style="40" customWidth="1"/>
    <x:col min="12" max="12" width="25" style="40" customWidth="1"/>
    <x:col min="13" max="13" width="28" style="40" customWidth="1"/>
  </x:cols>
  <x:sheetData>
    <x:row r="1" s="40" customFormat="1" ht="30" customHeight="1">
      <x:c r="A1" s="380" t="inlineStr">
        <x:is>
          <x:t xml:space="preserve">OmniStackAI V5 — Phase Roadmap</x:t>
        </x:is>
      </x:c>
      <x:c r="B1" s="375" t="n"/>
      <x:c r="C1" s="375" t="n"/>
      <x:c r="D1" s="375" t="n"/>
      <x:c r="E1" s="375" t="n"/>
      <x:c r="F1" s="375" t="n"/>
      <x:c r="G1" s="375" t="n"/>
      <x:c r="H1" s="375" t="n"/>
      <x:c r="I1" s="375" t="n"/>
      <x:c r="J1" s="375" t="n"/>
      <x:c r="K1" s="375" t="n"/>
      <x:c r="L1" s="375" t="n"/>
      <x:c r="M1" s="375" t="n"/>
    </x:row>
    <x:row r="2" s="40" customFormat="1" ht="34" customHeight="1">
      <x:c r="A2" s="381" t="inlineStr">
        <x:is>
          <x:t xml:space="preserve">Build the durable/cost-aware core first; real cloud devices and enterprise flexibility arrive only after the basic factory is reliable.</x:t>
        </x:is>
      </x:c>
      <x:c r="B2" s="375" t="n"/>
      <x:c r="C2" s="375" t="n"/>
      <x:c r="D2" s="375" t="n"/>
      <x:c r="E2" s="375" t="n"/>
      <x:c r="F2" s="375" t="n"/>
      <x:c r="G2" s="375" t="n"/>
      <x:c r="H2" s="375" t="n"/>
      <x:c r="I2" s="375" t="n"/>
      <x:c r="J2" s="375" t="n"/>
      <x:c r="K2" s="375" t="n"/>
      <x:c r="L2" s="375" t="n"/>
      <x:c r="M2" s="375" t="n"/>
    </x:row>
    <x:row r="3" s="40" customFormat="1" ht="28" customHeight="1">
      <x:c r="A3" s="20" t="n"/>
      <x:c r="B3" s="20" t="n"/>
      <x:c r="C3" s="20" t="n"/>
      <x:c r="D3" s="20" t="n"/>
      <x:c r="E3" s="20" t="n"/>
      <x:c r="F3" s="20" t="n"/>
      <x:c r="G3" s="20" t="n"/>
      <x:c r="H3" s="20" t="n"/>
      <x:c r="I3" s="20" t="n"/>
      <x:c r="J3" s="20" t="n"/>
      <x:c r="K3" s="20" t="n"/>
      <x:c r="L3" s="20" t="n"/>
      <x:c r="M3" s="20" t="n"/>
    </x:row>
    <x:row r="4" s="40" customFormat="1" ht="28" customHeight="1">
      <x:c r="A4" s="141" t="inlineStr">
        <x:is>
          <x:t xml:space="preserve">Phase</x:t>
        </x:is>
      </x:c>
      <x:c r="B4" s="142" t="inlineStr">
        <x:is>
          <x:t xml:space="preserve">Primary Outcome</x:t>
        </x:is>
      </x:c>
      <x:c r="C4" s="142" t="inlineStr">
        <x:is>
          <x:t xml:space="preserve">Mobile</x:t>
        </x:is>
      </x:c>
      <x:c r="D4" s="142" t="inlineStr">
        <x:is>
          <x:t xml:space="preserve">Web/Admin</x:t>
        </x:is>
      </x:c>
      <x:c r="E4" s="142" t="inlineStr">
        <x:is>
          <x:t xml:space="preserve">Backend/DB</x:t>
        </x:is>
      </x:c>
      <x:c r="F4" s="142" t="inlineStr">
        <x:is>
          <x:t xml:space="preserve">Context/Memory</x:t>
        </x:is>
      </x:c>
      <x:c r="G4" s="142" t="inlineStr">
        <x:is>
          <x:t xml:space="preserve">Runtime/Preview</x:t>
        </x:is>
      </x:c>
      <x:c r="H4" s="142" t="inlineStr">
        <x:is>
          <x:t xml:space="preserve">Workflow/Agents</x:t>
        </x:is>
      </x:c>
      <x:c r="I4" s="382" t="inlineStr">
        <x:is>
          <x:t xml:space="preserve">Git/Delivery</x:t>
        </x:is>
      </x:c>
      <x:c r="J4" s="142" t="inlineStr">
        <x:is>
          <x:t xml:space="preserve">Security</x:t>
        </x:is>
      </x:c>
      <x:c r="K4" s="142" t="inlineStr">
        <x:is>
          <x:t xml:space="preserve">Cost Focus</x:t>
        </x:is>
      </x:c>
      <x:c r="L4" s="142" t="inlineStr">
        <x:is>
          <x:t xml:space="preserve">Enterprise</x:t>
        </x:is>
      </x:c>
      <x:c r="M4" s="143" t="inlineStr">
        <x:is>
          <x:t xml:space="preserve">Gate</x:t>
        </x:is>
      </x:c>
    </x:row>
    <x:row r="5" s="40" customFormat="1" ht="34" customHeight="1">
      <x:c r="A5" s="144" t="inlineStr">
        <x:is>
          <x:t xml:space="preserve">BASIC / MVP</x:t>
        </x:is>
      </x:c>
      <x:c r="B5" s="145" t="inlineStr">
        <x:is>
          <x:t xml:space="preserve">Reliable software factory</x:t>
        </x:is>
      </x:c>
      <x:c r="C5" s="145" t="inlineStr">
        <x:is>
          <x:t xml:space="preserve">Flutter + Expo/RN; native beta</x:t>
        </x:is>
      </x:c>
      <x:c r="D5" s="145" t="inlineStr">
        <x:is>
          <x:t xml:space="preserve">Next.js</x:t>
        </x:is>
      </x:c>
      <x:c r="E5" s="145" t="inlineStr">
        <x:is>
          <x:t xml:space="preserve">Go/Python; Postgres default + DB recommender</x:t>
        </x:is>
      </x:c>
      <x:c r="F5" s="145" t="inlineStr">
        <x:is>
          <x:t xml:space="preserve">IR v4 + Context Engine v1</x:t>
        </x:is>
      </x:c>
      <x:c r="G5" s="145" t="inlineStr">
        <x:is>
          <x:t xml:space="preserve">Browser first + QR paths; Linux; iOS build</x:t>
        </x:is>
      </x:c>
      <x:c r="H5" s="145" t="inlineStr">
        <x:is>
          <x:t xml:space="preserve">Temporal + model gateway</x:t>
        </x:is>
      </x:c>
      <x:c r="I5" s="383" t="inlineStr">
        <x:is>
          <x:t xml:space="preserve">task worktrees/PR</x:t>
        </x:is>
      </x:c>
      <x:c r="J5" s="145" t="inlineStr">
        <x:is>
          <x:t xml:space="preserve">isolation + secret broker + scans</x:t>
        </x:is>
      </x:c>
      <x:c r="K5" s="145" t="inlineStr">
        <x:is>
          <x:t xml:space="preserve">cost/successful task</x:t>
        </x:is>
      </x:c>
      <x:c r="L5" s="145" t="inlineStr">
        <x:is>
          <x:t xml:space="preserve">foundations only</x:t>
        </x:is>
      </x:c>
      <x:c r="M5" s="146" t="inlineStr">
        <x:is>
          <x:t xml:space="preserve">build/test/deploy evidence</x:t>
        </x:is>
      </x:c>
    </x:row>
    <x:row r="6" s="40" customFormat="1" ht="34" customHeight="1">
      <x:c r="A6" s="147" t="inlineStr">
        <x:is>
          <x:t xml:space="preserve">MID</x:t>
        </x:is>
      </x:c>
      <x:c r="B6" s="148" t="inlineStr">
        <x:is>
          <x:t xml:space="preserve">Professional developer/agency</x:t>
        </x:is>
      </x:c>
      <x:c r="C6" s="148" t="inlineStr">
        <x:is>
          <x:t xml:space="preserve">Native GA</x:t>
        </x:is>
      </x:c>
      <x:c r="D6" s="148" t="inlineStr">
        <x:is>
          <x:t xml:space="preserve">enhanced</x:t>
        </x:is>
      </x:c>
      <x:c r="E6" s="148" t="inlineStr">
        <x:is>
          <x:t xml:space="preserve">store APIs + more DB profiles</x:t>
        </x:is>
      </x:c>
      <x:c r="F6" s="148" t="inlineStr">
        <x:is>
          <x:t xml:space="preserve">evidence-backed memory + richer graph</x:t>
        </x:is>
      </x:c>
      <x:c r="G6" s="148" t="inlineStr">
        <x:is>
          <x:t xml:space="preserve">streamed emulators/simulators + Local Agent</x:t>
        </x:is>
      </x:c>
      <x:c r="H6" s="148" t="inlineStr">
        <x:is>
          <x:t xml:space="preserve">Remote Debug + BYOK</x:t>
        </x:is>
      </x:c>
      <x:c r="I6" s="384" t="inlineStr">
        <x:is>
          <x:t xml:space="preserve">existing repo + handover</x:t>
        </x:is>
      </x:c>
      <x:c r="J6" s="148" t="inlineStr">
        <x:is>
          <x:t xml:space="preserve">visual/DAST/SBOM</x:t>
        </x:is>
      </x:c>
      <x:c r="K6" s="148" t="inlineStr">
        <x:is>
          <x:t xml:space="preserve">native rebuild avoidance</x:t>
        </x:is>
      </x:c>
      <x:c r="L6" s="148" t="inlineStr">
        <x:is>
          <x:t xml:space="preserve">RBAC/SSO-ready</x:t>
        </x:is>
      </x:c>
      <x:c r="M6" s="149" t="inlineStr">
        <x:is>
          <x:t xml:space="preserve">quality + supportability</x:t>
        </x:is>
      </x:c>
    </x:row>
    <x:row r="7" s="40" customFormat="1" ht="34" customHeight="1">
      <x:c r="A7" s="147" t="inlineStr">
        <x:is>
          <x:t xml:space="preserve">ADVANCED</x:t>
        </x:is>
      </x:c>
      <x:c r="B7" s="148" t="inlineStr">
        <x:is>
          <x:t xml:space="preserve">Enterprise flexibility</x:t>
        </x:is>
      </x:c>
      <x:c r="C7" s="148" t="inlineStr">
        <x:is>
          <x:t xml:space="preserve">device cloud + migration</x:t>
        </x:is>
      </x:c>
      <x:c r="D7" s="148" t="inlineStr">
        <x:is>
          <x:t xml:space="preserve">enterprise profiles</x:t>
        </x:is>
      </x:c>
      <x:c r="E7" s="148" t="inlineStr">
        <x:is>
          <x:t xml:space="preserve">BYOC/private data</x:t>
        </x:is>
      </x:c>
      <x:c r="F7" s="148" t="inlineStr">
        <x:is>
          <x:t xml:space="preserve">cross-repo/multi-region memory</x:t>
        </x:is>
      </x:c>
      <x:c r="G7" s="148" t="inlineStr">
        <x:is>
          <x:t xml:space="preserve">microVM/BYOC/private runners</x:t>
        </x:is>
      </x:c>
      <x:c r="H7" s="148" t="inlineStr">
        <x:is>
          <x:t xml:space="preserve">private models/policy-as-code</x:t>
        </x:is>
      </x:c>
      <x:c r="I7" s="384" t="inlineStr">
        <x:is>
          <x:t xml:space="preserve">multi-repo enterprise</x:t>
        </x:is>
      </x:c>
      <x:c r="J7" s="148" t="inlineStr">
        <x:is>
          <x:t xml:space="preserve">data residency/two-person critical</x:t>
        </x:is>
      </x:c>
      <x:c r="K7" s="148" t="inlineStr">
        <x:is>
          <x:t xml:space="preserve">predictive scheduling</x:t>
        </x:is>
      </x:c>
      <x:c r="L7" s="148" t="inlineStr">
        <x:is>
          <x:t xml:space="preserve">full private modes</x:t>
        </x:is>
      </x:c>
      <x:c r="M7" s="149" t="inlineStr">
        <x:is>
          <x:t xml:space="preserve">scale/isolation evidence</x:t>
        </x:is>
      </x:c>
    </x:row>
    <x:row r="8" s="40" customFormat="1" ht="34" customHeight="1">
      <x:c r="A8" s="156" t="inlineStr">
        <x:is>
          <x:t xml:space="preserve">PRODUCTION</x:t>
        </x:is>
      </x:c>
      <x:c r="B8" s="157" t="inlineStr">
        <x:is>
          <x:t xml:space="preserve">Operational trust</x:t>
        </x:is>
      </x:c>
      <x:c r="C8" s="157" t="inlineStr">
        <x:is>
          <x:t xml:space="preserve">release matrix</x:t>
        </x:is>
      </x:c>
      <x:c r="D8" s="157" t="inlineStr">
        <x:is>
          <x:t xml:space="preserve">HA hosting</x:t>
        </x:is>
      </x:c>
      <x:c r="E8" s="157" t="inlineStr">
        <x:is>
          <x:t xml:space="preserve">HA/DR data</x:t>
        </x:is>
      </x:c>
      <x:c r="F8" s="157" t="inlineStr">
        <x:is>
          <x:t xml:space="preserve">restore/reindex drills</x:t>
        </x:is>
      </x:c>
      <x:c r="G8" s="157" t="inlineStr">
        <x:is>
          <x:t xml:space="preserve">multi-region as sold</x:t>
        </x:is>
      </x:c>
      <x:c r="H8" s="157" t="inlineStr">
        <x:is>
          <x:t xml:space="preserve">workflow failover</x:t>
        </x:is>
      </x:c>
      <x:c r="I8" s="385" t="inlineStr">
        <x:is>
          <x:t xml:space="preserve">release qualification</x:t>
        </x:is>
      </x:c>
      <x:c r="J8" s="157" t="inlineStr">
        <x:is>
          <x:t xml:space="preserve">pen test/SOC2-ready controls</x:t>
        </x:is>
      </x:c>
      <x:c r="K8" s="157" t="inlineStr">
        <x:is>
          <x:t xml:space="preserve">positive unit economics</x:t>
        </x:is>
      </x:c>
      <x:c r="L8" s="157" t="inlineStr">
        <x:is>
          <x:t xml:space="preserve">SLA/process</x:t>
        </x:is>
      </x:c>
      <x:c r="M8" s="158" t="inlineStr">
        <x:is>
          <x:t xml:space="preserve">measured outcomes</x:t>
        </x:is>
      </x:c>
    </x:row>
    <x:row r="9" s="40" customFormat="1" ht="34" customHeight="1">
      <x:c r="A9" s="32" t="str">
        <x:v>R-287</x:v>
      </x:c>
      <x:c r="B9" s="32" t="str">
        <x:v>MVP</x:v>
      </x:c>
      <x:c r="C9" s="32" t="str">
        <x:v>Builder</x:v>
      </x:c>
      <x:c r="D9" s="32" t="str">
        <x:v>Race-Safe Generated Detail Refetches in Generated Next.js Web App</x:v>
      </x:c>
      <x:c r="E9" s="32" t="str">
        <x:v>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x:v>
      </x:c>
      <x:c r="F9" s="32" t="str">
        <x:v>P1</x:v>
      </x:c>
      <x:c r="G9" s="32" t="str">
        <x:v>Claude (Opus 4.8)</x:v>
      </x:c>
      <x:c r="H9" s="32" t="str">
        <x:v>Done</x:v>
      </x:c>
      <x:c r="I9" s="376" t="n">
        <x:v>1</x:v>
      </x:c>
      <x:c r="J9" s="32" t="str">
        <x:v>R-286</x:v>
      </x:c>
      <x:c r="K9" s="32" t="str">
        <x:v>Founder Stage 0</x:v>
      </x:c>
      <x:c r="L9" s="32" t="str">
        <x:v>task verify 823 tests (13 new in test_detail_request_cancellation.py); task lint + security:quick + env:check pass; builder:demo minimal-blog + rideshare-favourites pass; generated useArticle detail hook inspected; impl 793804e; offline/deterministic, 0 model calls.</x:v>
      </x:c>
      <x:c r="M9" s="32" t="str">
        <x:v>Recommended offline R-287 candidate from the R-286 handoff; reconstructed from Brief Sections 26, 27, 74, 77, 92.</x:v>
      </x:c>
    </x:row>
    <x:row r="10" s="40" customFormat="1" ht="34" customHeight="1">
      <x:c r="A10" s="32" t="str">
        <x:v>R-286</x:v>
      </x:c>
      <x:c r="B10" s="32" t="str">
        <x:v>MVP</x:v>
      </x:c>
      <x:c r="C10" s="32" t="str">
        <x:v>Builder</x:v>
      </x:c>
      <x:c r="D10" s="32" t="str">
        <x:v>Race-Safe Generated Subcollection Refetches</x:v>
      </x:c>
      <x:c r="E10" s="32" t="str">
        <x:v>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x:v>
      </x:c>
      <x:c r="F10" s="32" t="str">
        <x:v>P1</x:v>
      </x:c>
      <x:c r="G10" s="32" t="str">
        <x:v>Codex (GPT-5)</x:v>
      </x:c>
      <x:c r="H10" s="32" t="str">
        <x:v>Done</x:v>
      </x:c>
      <x:c r="I10" s="376" t="n">
        <x:v>1</x:v>
      </x:c>
      <x:c r="J10" s="32" t="str">
        <x:v>R-285</x:v>
      </x:c>
      <x:c r="K10" s="32" t="str">
        <x:v>Founder Stage 0</x:v>
      </x:c>
      <x:c r="L10" s="32" t="str">
        <x:v>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x:v>
      </x:c>
      <x:c r="M10" s="32" t="str">
        <x:v>Founder explicitly requested continuation with R-286. Reconstructed from Brief Sections 25-27, 74, 77, 83-84, 91, and 92.</x:v>
      </x:c>
    </x:row>
    <x:row r="11" s="40" customFormat="1" ht="34" customHeight="1">
      <x:c r="A11" s="32" t="str">
        <x:v>R-285</x:v>
      </x:c>
      <x:c r="B11" s="32" t="str">
        <x:v>MVP</x:v>
      </x:c>
      <x:c r="C11" s="32" t="str">
        <x:v>Builder</x:v>
      </x:c>
      <x:c r="D11" s="32" t="str">
        <x:v>Server-Side Subcollection Filter Wiring in Generated Next.js Screens</x:v>
      </x:c>
      <x:c r="E11" s="32" t="str">
        <x:v>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x:v>
      </x:c>
      <x:c r="F11" s="32" t="str">
        <x:v>P1</x:v>
      </x:c>
      <x:c r="G11" s="32" t="str">
        <x:v>Codex (GPT-5)</x:v>
      </x:c>
      <x:c r="H11" s="32" t="str">
        <x:v>Done</x:v>
      </x:c>
      <x:c r="I11" s="376" t="n">
        <x:v>1</x:v>
      </x:c>
      <x:c r="J11" s="32" t="str">
        <x:v>R-284</x:v>
      </x:c>
      <x:c r="K11" s="32" t="str">
        <x:v>Founder Stage 0</x:v>
      </x:c>
      <x:c r="L11" s="32" t="str">
        <x:v>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x:v>
      </x:c>
      <x:c r="M11" s="32" t="str">
        <x:v>Founder explicitly requested continuation with R-285. Reconstructed from Brief Sections 25-27, 74, 77, 83-84, and 92.</x:v>
      </x:c>
    </x:row>
    <x:row r="12" s="40" customFormat="1" ht="34" customHeight="1">
      <x:c r="A12" s="32" t="str">
        <x:v>R-284</x:v>
      </x:c>
      <x:c r="B12" s="32" t="str">
        <x:v>MVP</x:v>
      </x:c>
      <x:c r="C12" s="32" t="str">
        <x:v>Builder</x:v>
      </x:c>
      <x:c r="D12" s="32" t="str">
        <x:v>Server-Side Boolean/Enum Field Filters on FK-Scoped LIST_BY Endpoints</x:v>
      </x:c>
      <x:c r="E12" s="32" t="str">
        <x:v>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x:v>
      </x:c>
      <x:c r="F12" s="32" t="str">
        <x:v>P1</x:v>
      </x:c>
      <x:c r="G12" s="32" t="str">
        <x:v>Codex (GPT-5)</x:v>
      </x:c>
      <x:c r="H12" s="32" t="str">
        <x:v>Done</x:v>
      </x:c>
      <x:c r="I12" s="376" t="n">
        <x:v>1</x:v>
      </x:c>
      <x:c r="J12" s="32" t="str">
        <x:v>R-283</x:v>
      </x:c>
      <x:c r="K12" s="32" t="str">
        <x:v>Founder Stage 0</x:v>
      </x:c>
      <x:c r="L12" s="32" t="str">
        <x:v>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x:v>
      </x:c>
      <x:c r="M12" s="32" t="str">
        <x:v>Founder said to continue to the next task and update completed/remaining state. Reconstructed from Brief Sections 25-27, 74, 77, 83-84, and 92.</x:v>
      </x:c>
    </x:row>
    <x:row r="13" s="40" customFormat="1" ht="34" customHeight="1">
      <x:c r="A13" s="32" t="str">
        <x:v>R-283</x:v>
      </x:c>
      <x:c r="B13" s="32" t="str">
        <x:v>MVP</x:v>
      </x:c>
      <x:c r="C13" s="32" t="str">
        <x:v>Builder</x:v>
      </x:c>
      <x:c r="D13" s="32" t="str">
        <x:v>Wire Generated Next.js Collection Filters to Server-Side Query Parameters</x:v>
      </x:c>
      <x:c r="E13" s="32" t="str">
        <x:v>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x:v>
      </x:c>
      <x:c r="F13" s="32" t="str">
        <x:v>P1</x:v>
      </x:c>
      <x:c r="G13" s="32" t="str">
        <x:v>Codex (GPT-5)</x:v>
      </x:c>
      <x:c r="H13" s="32" t="str">
        <x:v>Done</x:v>
      </x:c>
      <x:c r="I13" s="376" t="n">
        <x:v>1</x:v>
      </x:c>
      <x:c r="J13" s="32" t="str">
        <x:v>R-282</x:v>
      </x:c>
      <x:c r="K13" s="32" t="str">
        <x:v>Founder Stage 0</x:v>
      </x:c>
      <x:c r="L13" s="32" t="str">
        <x:v>task verify 789 tests (3 new focused filter-wiring tests); task lint + security:quick pass; builder:demo minimal-blog + rideshare-favourites pass; generated post_list/page.tsx, lib/hooks.ts, and lib/api.ts inspected; impl d0c9e84; offline/deterministic, 0 local / 0 cloud model calls.</x:v>
      </x:c>
      <x:c r="M13" s="32" t="str">
        <x:v>Founder supplied the exact R-283 continuation and selected recommended option 1. Reconstructed from Brief Sections 9, 25-27, 74-75, 77, 83-85, 91, and 92.</x:v>
      </x:c>
    </x:row>
    <x:row r="14" s="40" customFormat="1" ht="34" customHeight="1">
      <x:c r="A14" s="32" t="str">
        <x:v>R-282</x:v>
      </x:c>
      <x:c r="B14" s="32" t="str">
        <x:v>MVP</x:v>
      </x:c>
      <x:c r="C14" s="32" t="str">
        <x:v>Builder</x:v>
      </x:c>
      <x:c r="D14" s="32" t="str">
        <x:v>Server-Side Boolean/Enum Field Filters on Top-Level LIST Endpoints (Go + FastAPI + OpenAPI)</x:v>
      </x:c>
      <x:c r="E14" s="32" t="str">
        <x:v>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x:v>
      </x:c>
      <x:c r="F14" s="32" t="str">
        <x:v>P1</x:v>
      </x:c>
      <x:c r="G14" s="32" t="str">
        <x:v>Claude (Opus 4.8)</x:v>
      </x:c>
      <x:c r="H14" s="32" t="str">
        <x:v>Done</x:v>
      </x:c>
      <x:c r="I14" s="376" t="n">
        <x:v>1</x:v>
      </x:c>
      <x:c r="J14" s="32" t="str">
        <x:v>R-281</x:v>
      </x:c>
      <x:c r="K14" s="32" t="str">
        <x:v>Founder Stage 0</x:v>
      </x:c>
      <x:c r="L14" s="32" t="str">
        <x:v>task verify 786 tests (12 new in test_field_filters_backend.py; existing search/sort/pagination assertions updated for the now-filterable minimal-blog Post); task lint + security:quick pass; builder:demo minimal-blog + rideshare-favourites pass; impl 198e23e; offline/deterministic, 0 cloud calls.</x:v>
      </x:c>
      <x:c r="M14" s="32" t="str">
        <x:v>Founder said 'continue for the next task' and chose the offline candidate; the available Groq key was kept for a later live model-fabric verification. Reconstructed from Brief Sections 9, 26, 27, 74, 77, 92.</x:v>
      </x:c>
    </x:row>
    <x:row r="15" s="40" customFormat="1" ht="34" customHeight="1">
      <x:c r="A15" s="32" t="str">
        <x:v>R-281</x:v>
      </x:c>
      <x:c r="B15" s="32" t="str">
        <x:v>MVP</x:v>
      </x:c>
      <x:c r="C15" s="32" t="str">
        <x:v>Builder</x:v>
      </x:c>
      <x:c r="D15" s="32" t="str">
        <x:v>Pagination, Sort &amp; Search Controls on Subcollection Master-Detail Lists in Generated Next.js Web App</x:v>
      </x:c>
      <x:c r="E15" s="32" t="str">
        <x:v>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x:v>
      </x:c>
      <x:c r="F15" s="32" t="str">
        <x:v>P1</x:v>
      </x:c>
      <x:c r="G15" s="32" t="str">
        <x:v>Claude (Opus 4.8)</x:v>
      </x:c>
      <x:c r="H15" s="32" t="str">
        <x:v>Done</x:v>
      </x:c>
      <x:c r="I15" s="376" t="n">
        <x:v>1</x:v>
      </x:c>
      <x:c r="J15" s="32" t="str">
        <x:v>R-280</x:v>
      </x:c>
      <x:c r="K15" s="32" t="str">
        <x:v>Founder Stage 0</x:v>
      </x:c>
      <x:c r="L15" s="32" t="str">
        <x:v>task verify 774 tests (6 new in test_subcollection_list_controls.py); task lint + security:quick pass; builder:demo minimal-blog + rideshare-favourites pass; impl ad94a72; offline/deterministic, 0 cloud calls.</x:v>
      </x:c>
      <x:c r="M15" s="32" t="str">
        <x:v>Founder chose 'R-281 offline only' (subcollection list controls) over enabling the available Groq key this session. Reconstructed from Brief Sections 9, 26, 27, 74, 77, 92.</x:v>
      </x:c>
    </x:row>
    <x:row r="16" s="40" customFormat="1" ht="34" customHeight="1">
      <x:c r="A16" s="32" t="str">
        <x:v>R-280</x:v>
      </x:c>
      <x:c r="B16" s="32" t="str">
        <x:v>MVP</x:v>
      </x:c>
      <x:c r="C16" s="32" t="str">
        <x:v>Builder</x:v>
      </x:c>
      <x:c r="D16" s="32" t="str">
        <x:v>Deep-Linked Collection List State + Debounced, Race-Safe Search in Generated Next.js Web App</x:v>
      </x:c>
      <x:c r="E16" s="32" t="str">
        <x:v>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x:v>
      </x:c>
      <x:c r="F16" s="32" t="str">
        <x:v>P1</x:v>
      </x:c>
      <x:c r="G16" s="32" t="str">
        <x:v>Claude (Opus 4.8)</x:v>
      </x:c>
      <x:c r="H16" s="32" t="str">
        <x:v>Done</x:v>
      </x:c>
      <x:c r="I16" s="376" t="n">
        <x:v>1</x:v>
      </x:c>
      <x:c r="J16" s="32" t="str">
        <x:v>R-279</x:v>
      </x:c>
      <x:c r="K16" s="32" t="str">
        <x:v>Founder Stage 0</x:v>
      </x:c>
      <x:c r="L16" s="32" t="str">
        <x:v>task verify 768 tests (12 new in test_collection_deeplink_state.py); task lint + security:quick pass; builder:demo minimal-blog + rideshare-favourites pass; impl 7a6b9b5; offline/deterministic, 0 cloud calls.</x:v>
      </x:c>
      <x:c r="M16" s="32" t="str">
        <x:v>Founder delegated the choice ('best, optimised, futuristic; combine two if best'): deep-link + debounced/race-safe search. Reconstructed from Brief Sections 9, 26, 27, 74, 77, 92.</x:v>
      </x:c>
    </x:row>
    <x:row r="17" s="40" customFormat="1" ht="34" customHeight="1">
      <x:c r="A17" s="32" t="str">
        <x:v>R-279</x:v>
      </x:c>
      <x:c r="B17" s="32" t="str">
        <x:v>MVP</x:v>
      </x:c>
      <x:c r="C17" s="32" t="str">
        <x:v>Builder</x:v>
      </x:c>
      <x:c r="D17" s="32" t="str">
        <x:v>Global Notification Toast System &amp; Action Feedback in Generated Next.js Web App</x:v>
      </x:c>
      <x:c r="E17" s="32" t="str">
        <x:v>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x:v>
      </x:c>
      <x:c r="F17" s="32" t="str">
        <x:v>P1</x:v>
      </x:c>
      <x:c r="G17" s="32" t="str">
        <x:v>Claude (Opus 4.8)</x:v>
      </x:c>
      <x:c r="H17" s="32" t="str">
        <x:v>Done</x:v>
      </x:c>
      <x:c r="I17" s="376" t="n">
        <x:v>1</x:v>
      </x:c>
      <x:c r="J17" s="32" t="str">
        <x:v>R-278</x:v>
      </x:c>
      <x:c r="K17" s="32" t="str">
        <x:v>Founder Stage 0</x:v>
      </x:c>
      <x:c r="L17" s="32" t="str">
        <x:v>task verify 756 tests; impl d28fc1a; offline/deterministic, 0 cloud calls.</x:v>
      </x:c>
      <x:c r="M17" s="32" t="str">
        <x:v>Backfilled to reconcile the execution tracker with shipped, committed work (R-253..R-279).</x:v>
      </x:c>
    </x:row>
    <x:row r="18" s="40" customFormat="1" ht="34" customHeight="1">
      <x:c r="A18" s="32" t="str">
        <x:v>R-278</x:v>
      </x:c>
      <x:c r="B18" s="32" t="str">
        <x:v>MVP</x:v>
      </x:c>
      <x:c r="C18" s="32" t="str">
        <x:v>Builder</x:v>
      </x:c>
      <x:c r="D18" s="32" t="str">
        <x:v>Collection Screen Boolean &amp; Enum Field Filtering, Segmented Pill Controls &amp; Filter Empty States in Generated Next.js Web App</x:v>
      </x:c>
      <x:c r="E18" s="32" t="str">
        <x:v>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x:v>
      </x:c>
      <x:c r="F18" s="32" t="str">
        <x:v>P1</x:v>
      </x:c>
      <x:c r="G18" s="32" t="str">
        <x:v>Claude (Opus 4.8)</x:v>
      </x:c>
      <x:c r="H18" s="32" t="str">
        <x:v>Done</x:v>
      </x:c>
      <x:c r="I18" s="376" t="n">
        <x:v>1</x:v>
      </x:c>
      <x:c r="J18" s="32" t="str">
        <x:v>R-277</x:v>
      </x:c>
      <x:c r="K18" s="32" t="str">
        <x:v>Founder Stage 0</x:v>
      </x:c>
      <x:c r="L18" s="32" t="str">
        <x:v>task verify 742 tests; impl 599df7d; offline/deterministic, 0 cloud calls.</x:v>
      </x:c>
      <x:c r="M18" s="32" t="str">
        <x:v>Backfilled to reconcile the execution tracker with shipped, committed work (R-253..R-279).</x:v>
      </x:c>
    </x:row>
    <x:row r="19" s="40" customFormat="1" ht="34" customHeight="1">
      <x:c r="A19" s="32" t="str">
        <x:v>R-277</x:v>
      </x:c>
      <x:c r="B19" s="32" t="str">
        <x:v>MVP</x:v>
      </x:c>
      <x:c r="C19" s="32" t="str">
        <x:v>Builder</x:v>
      </x:c>
      <x:c r="D19" s="32" t="str">
        <x:v>Form Screen Dirty State Tracking, Unsaved Changes Guard &amp; Reset Confirmation in Generated Next.js Forms</x:v>
      </x:c>
      <x:c r="E19" s="32" t="str">
        <x:v>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x:v>
      </x:c>
      <x:c r="F19" s="32" t="str">
        <x:v>P1</x:v>
      </x:c>
      <x:c r="G19" s="32" t="str">
        <x:v>Claude (Opus 4.8)</x:v>
      </x:c>
      <x:c r="H19" s="32" t="str">
        <x:v>Done</x:v>
      </x:c>
      <x:c r="I19" s="376" t="n">
        <x:v>1</x:v>
      </x:c>
      <x:c r="J19" s="32" t="str">
        <x:v>R-276</x:v>
      </x:c>
      <x:c r="K19" s="32" t="str">
        <x:v>Founder Stage 0</x:v>
      </x:c>
      <x:c r="L19" s="32" t="str">
        <x:v>task verify 727 tests; impl 62c2283; offline/deterministic, 0 cloud calls.</x:v>
      </x:c>
      <x:c r="M19" s="32" t="str">
        <x:v>Backfilled to reconcile the execution tracker with shipped, committed work (R-253..R-279).</x:v>
      </x:c>
    </x:row>
    <x:row r="20" s="40" customFormat="1" ht="34" customHeight="1">
      <x:c r="A20" s="32" t="str">
        <x:v>R-276</x:v>
      </x:c>
      <x:c r="B20" s="32" t="str">
        <x:v>MVP</x:v>
      </x:c>
      <x:c r="C20" s="32" t="str">
        <x:v>Builder</x:v>
      </x:c>
      <x:c r="D20" s="32" t="str">
        <x:v>Record Selector Dropdown, Prev/Next Record Navigation &amp; Deep-Link Sync in Generated Next.js Detail Screens</x:v>
      </x:c>
      <x:c r="E20" s="32" t="str">
        <x:v>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x:v>
      </x:c>
      <x:c r="F20" s="32" t="str">
        <x:v>P1</x:v>
      </x:c>
      <x:c r="G20" s="32" t="str">
        <x:v>Claude (Opus 4.8)</x:v>
      </x:c>
      <x:c r="H20" s="32" t="str">
        <x:v>Done</x:v>
      </x:c>
      <x:c r="I20" s="376" t="n">
        <x:v>1</x:v>
      </x:c>
      <x:c r="J20" s="32" t="str">
        <x:v>R-275</x:v>
      </x:c>
      <x:c r="K20" s="32" t="str">
        <x:v>Founder Stage 0</x:v>
      </x:c>
      <x:c r="L20" s="32" t="str">
        <x:v>task verify pass; impl 9dd61fa; offline/deterministic, 0 cloud calls.</x:v>
      </x:c>
      <x:c r="M20" s="32" t="str">
        <x:v>Backfilled to reconcile the execution tracker with shipped, committed work (R-253..R-279).</x:v>
      </x:c>
    </x:row>
    <x:row r="21" s="40" customFormat="1" ht="34" customHeight="1">
      <x:c r="A21" s="32" t="str">
        <x:v>R-275</x:v>
      </x:c>
      <x:c r="B21" s="32" t="str">
        <x:v>MVP</x:v>
      </x:c>
      <x:c r="C21" s="32" t="str">
        <x:v>Builder</x:v>
      </x:c>
      <x:c r="D21" s="32" t="str">
        <x:v>Rich App Dashboard Overview Page in Generated Next.js Web App</x:v>
      </x:c>
      <x:c r="E21" s="32" t="str">
        <x:v>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x:v>
      </x:c>
      <x:c r="F21" s="32" t="str">
        <x:v>P1</x:v>
      </x:c>
      <x:c r="G21" s="32" t="str">
        <x:v>Claude (Opus 4.8)</x:v>
      </x:c>
      <x:c r="H21" s="32" t="str">
        <x:v>Done</x:v>
      </x:c>
      <x:c r="I21" s="376" t="n">
        <x:v>1</x:v>
      </x:c>
      <x:c r="J21" s="32" t="str">
        <x:v>R-274</x:v>
      </x:c>
      <x:c r="K21" s="32" t="str">
        <x:v>Founder Stage 0</x:v>
      </x:c>
      <x:c r="L21" s="32" t="str">
        <x:v>task verify pass; impl 95e9587; offline/deterministic, 0 cloud calls.</x:v>
      </x:c>
      <x:c r="M21" s="32" t="str">
        <x:v>Backfilled to reconcile the execution tracker with shipped, committed work (R-253..R-279).</x:v>
      </x:c>
    </x:row>
    <x:row r="22" s="40" customFormat="1" ht="34" customHeight="1">
      <x:c r="A22" s="32" t="str">
        <x:v>R-274</x:v>
      </x:c>
      <x:c r="B22" s="32" t="str">
        <x:v>MVP</x:v>
      </x:c>
      <x:c r="C22" s="32" t="str">
        <x:v>Builder</x:v>
      </x:c>
      <x:c r="D22" s="32" t="str">
        <x:v>Form Screen Post-Submit Contextual CTAs, Record Navigation &amp; Cancel Actions</x:v>
      </x:c>
      <x:c r="E22" s="32" t="str">
        <x:v>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x:v>
      </x:c>
      <x:c r="F22" s="32" t="str">
        <x:v>P1</x:v>
      </x:c>
      <x:c r="G22" s="32" t="str">
        <x:v>Claude (Opus 4.8)</x:v>
      </x:c>
      <x:c r="H22" s="32" t="str">
        <x:v>Done</x:v>
      </x:c>
      <x:c r="I22" s="376" t="n">
        <x:v>1</x:v>
      </x:c>
      <x:c r="J22" s="32" t="str">
        <x:v>R-273</x:v>
      </x:c>
      <x:c r="K22" s="32" t="str">
        <x:v>Founder Stage 0</x:v>
      </x:c>
      <x:c r="L22" s="32" t="str">
        <x:v>task verify pass; impl 2269834; offline/deterministic, 0 cloud calls.</x:v>
      </x:c>
      <x:c r="M22" s="32" t="str">
        <x:v>Backfilled to reconcile the execution tracker with shipped, committed work (R-253..R-279).</x:v>
      </x:c>
    </x:row>
    <x:row r="23" s="40" customFormat="1" ht="34" customHeight="1">
      <x:c r="A23" s="32" t="str">
        <x:v>R-273</x:v>
      </x:c>
      <x:c r="B23" s="32" t="str">
        <x:v>MVP</x:v>
      </x:c>
      <x:c r="C23" s="32" t="str">
        <x:v>Builder</x:v>
      </x:c>
      <x:c r="D23" s="32" t="str">
        <x:v>Global Responsive Navigation Shell &amp; Header Navbar in Generated Next.js Web App</x:v>
      </x:c>
      <x:c r="E23" s="32" t="str">
        <x:v>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x:v>
      </x:c>
      <x:c r="F23" s="32" t="str">
        <x:v>P1</x:v>
      </x:c>
      <x:c r="G23" s="32" t="str">
        <x:v>Claude (Opus 4.8)</x:v>
      </x:c>
      <x:c r="H23" s="32" t="str">
        <x:v>Done</x:v>
      </x:c>
      <x:c r="I23" s="376" t="n">
        <x:v>1</x:v>
      </x:c>
      <x:c r="J23" s="32" t="str">
        <x:v>R-272</x:v>
      </x:c>
      <x:c r="K23" s="32" t="str">
        <x:v>Founder Stage 0</x:v>
      </x:c>
      <x:c r="L23" s="32" t="str">
        <x:v>task verify pass; impl 82c8c7b; offline/deterministic, 0 cloud calls.</x:v>
      </x:c>
      <x:c r="M23" s="32" t="str">
        <x:v>Backfilled to reconcile the execution tracker with shipped, committed work (R-253..R-279).</x:v>
      </x:c>
    </x:row>
    <x:row r="24" s="40" customFormat="1" ht="34" customHeight="1">
      <x:c r="A24" s="32" t="str">
        <x:v>R-272</x:v>
      </x:c>
      <x:c r="B24" s="32" t="str">
        <x:v>MVP</x:v>
      </x:c>
      <x:c r="C24" s="32" t="str">
        <x:v>Builder</x:v>
      </x:c>
      <x:c r="D24" s="32" t="str">
        <x:v>Deep-Linking &amp; Entity Lifecycle in Next.js Detail Screens</x:v>
      </x:c>
      <x:c r="E24" s="32" t="str">
        <x:v>Deep-Linking &amp; Entity Lifecycle in Next.js Detail Screens</x:v>
      </x:c>
      <x:c r="F24" s="32" t="str">
        <x:v>P1</x:v>
      </x:c>
      <x:c r="G24" s="32" t="str">
        <x:v>Claude (Opus 4.8)</x:v>
      </x:c>
      <x:c r="H24" s="32" t="str">
        <x:v>Done</x:v>
      </x:c>
      <x:c r="I24" s="376" t="n">
        <x:v>1</x:v>
      </x:c>
      <x:c r="J24" s="32" t="str">
        <x:v>R-271</x:v>
      </x:c>
      <x:c r="K24" s="32" t="str">
        <x:v>Founder Stage 0</x:v>
      </x:c>
      <x:c r="L24" s="32" t="str">
        <x:v>task verify 646 tests; impl f055958; offline/deterministic, 0 cloud calls.</x:v>
      </x:c>
      <x:c r="M24" s="32" t="str">
        <x:v>Backfilled to reconcile the execution tracker with shipped, committed work (R-253..R-279).</x:v>
      </x:c>
    </x:row>
    <x:row r="25" s="40" customFormat="1" ht="34" customHeight="1">
      <x:c r="A25" s="32" t="str">
        <x:v>R-271</x:v>
      </x:c>
      <x:c r="B25" s="32" t="str">
        <x:v>MVP</x:v>
      </x:c>
      <x:c r="C25" s="32" t="str">
        <x:v>Builder</x:v>
      </x:c>
      <x:c r="D25" s="32" t="str">
        <x:v>CSV Data Export &amp; Bulk Export in Generated Next.js Collection Screens</x:v>
      </x:c>
      <x:c r="E25" s="32" t="str">
        <x:v>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x:v>
      </x:c>
      <x:c r="F25" s="32" t="str">
        <x:v>P1</x:v>
      </x:c>
      <x:c r="G25" s="32" t="str">
        <x:v>Claude (Opus 4.8)</x:v>
      </x:c>
      <x:c r="H25" s="32" t="str">
        <x:v>Done</x:v>
      </x:c>
      <x:c r="I25" s="376" t="n">
        <x:v>1</x:v>
      </x:c>
      <x:c r="J25" s="32" t="str">
        <x:v>R-270</x:v>
      </x:c>
      <x:c r="K25" s="32" t="str">
        <x:v>Founder Stage 0</x:v>
      </x:c>
      <x:c r="L25" s="32" t="str">
        <x:v>task verify 630 tests; impl 5d34220; offline/deterministic, 0 cloud calls.</x:v>
      </x:c>
      <x:c r="M25" s="32" t="str">
        <x:v>Backfilled to reconcile the execution tracker with shipped, committed work (R-253..R-279).</x:v>
      </x:c>
    </x:row>
    <x:row r="26" s="40" customFormat="1" ht="34" customHeight="1">
      <x:c r="A26" s="32" t="str">
        <x:v>R-270</x:v>
      </x:c>
      <x:c r="B26" s="32" t="str">
        <x:v>MVP</x:v>
      </x:c>
      <x:c r="C26" s="32" t="str">
        <x:v>Builder</x:v>
      </x:c>
      <x:c r="D26" s="32" t="str">
        <x:v>Bulk Selection &amp; Batch Deletion in Generated Next.js Collection Screens</x:v>
      </x:c>
      <x:c r="E26" s="32" t="str">
        <x:v>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x:v>
      </x:c>
      <x:c r="F26" s="32" t="str">
        <x:v>P1</x:v>
      </x:c>
      <x:c r="G26" s="32" t="str">
        <x:v>Claude (Opus 4.8)</x:v>
      </x:c>
      <x:c r="H26" s="32" t="str">
        <x:v>Done</x:v>
      </x:c>
      <x:c r="I26" s="376" t="n">
        <x:v>1</x:v>
      </x:c>
      <x:c r="J26" s="32" t="str">
        <x:v>R-269</x:v>
      </x:c>
      <x:c r="K26" s="32" t="str">
        <x:v>Founder Stage 0</x:v>
      </x:c>
      <x:c r="L26" s="32" t="str">
        <x:v>task verify 614 tests; impl e0857c5; offline/deterministic, 0 cloud calls.</x:v>
      </x:c>
      <x:c r="M26" s="32" t="str">
        <x:v>Backfilled to reconcile the execution tracker with shipped, committed work (R-253..R-279).</x:v>
      </x:c>
    </x:row>
    <x:row r="27" s="40" customFormat="1" ht="34" customHeight="1">
      <x:c r="A27" s="32" t="str">
        <x:v>R-269</x:v>
      </x:c>
      <x:c r="B27" s="32" t="str">
        <x:v>MVP</x:v>
      </x:c>
      <x:c r="C27" s="32" t="str">
        <x:v>Builder</x:v>
      </x:c>
      <x:c r="D27" s="32" t="str">
        <x:v>Page Size Selector &amp; Contextual Empty State CTAs in Generated Next.js Screens</x:v>
      </x:c>
      <x:c r="E27" s="32" t="str">
        <x:v>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x:v>
      </x:c>
      <x:c r="F27" s="32" t="str">
        <x:v>P1</x:v>
      </x:c>
      <x:c r="G27" s="32" t="str">
        <x:v>Claude (Opus 4.8)</x:v>
      </x:c>
      <x:c r="H27" s="32" t="str">
        <x:v>Done</x:v>
      </x:c>
      <x:c r="I27" s="376" t="n">
        <x:v>1</x:v>
      </x:c>
      <x:c r="J27" s="32" t="str">
        <x:v>R-268</x:v>
      </x:c>
      <x:c r="K27" s="32" t="str">
        <x:v>Founder Stage 0</x:v>
      </x:c>
      <x:c r="L27" s="32" t="str">
        <x:v>task verify 598 tests; impl a34dfc8; offline/deterministic, 0 cloud calls.</x:v>
      </x:c>
      <x:c r="M27" s="32" t="str">
        <x:v>Backfilled to reconcile the execution tracker with shipped, committed work (R-253..R-279).</x:v>
      </x:c>
    </x:row>
    <x:row r="28" s="40" customFormat="1" ht="34" customHeight="1">
      <x:c r="A28" s="32" t="str">
        <x:v>R-268</x:v>
      </x:c>
      <x:c r="B28" s="32" t="str">
        <x:v>MVP</x:v>
      </x:c>
      <x:c r="C28" s="32" t="str">
        <x:v>Builder</x:v>
      </x:c>
      <x:c r="D28" s="32" t="str">
        <x:v>Subcollection Child Item Deletion &amp; Mutation Feedback in Master-Detail Views</x:v>
      </x:c>
      <x:c r="E28" s="32" t="str">
        <x:v>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x:v>
      </x:c>
      <x:c r="F28" s="32" t="str">
        <x:v>P1</x:v>
      </x:c>
      <x:c r="G28" s="32" t="str">
        <x:v>Claude (Opus 4.8)</x:v>
      </x:c>
      <x:c r="H28" s="32" t="str">
        <x:v>Done</x:v>
      </x:c>
      <x:c r="I28" s="376" t="n">
        <x:v>1</x:v>
      </x:c>
      <x:c r="J28" s="32" t="str">
        <x:v>R-267</x:v>
      </x:c>
      <x:c r="K28" s="32" t="str">
        <x:v>Founder Stage 0</x:v>
      </x:c>
      <x:c r="L28" s="32" t="str">
        <x:v>task verify pass; impl 3ae89bb; offline/deterministic, 0 cloud calls.</x:v>
      </x:c>
      <x:c r="M28" s="32" t="str">
        <x:v>Backfilled to reconcile the execution tracker with shipped, committed work (R-253..R-279).</x:v>
      </x:c>
    </x:row>
    <x:row r="29" s="40" customFormat="1" ht="34" customHeight="1">
      <x:c r="A29" s="32" t="str">
        <x:v>R-267</x:v>
      </x:c>
      <x:c r="B29" s="32" t="str">
        <x:v>MVP</x:v>
      </x:c>
      <x:c r="C29" s="32" t="str">
        <x:v>Builder</x:v>
      </x:c>
      <x:c r="D29" s="32" t="str">
        <x:v>Foreign-Key Relation Selectors &amp; Parent Auto-Population in Generated Next.js Forms</x:v>
      </x:c>
      <x:c r="E29" s="32" t="str">
        <x:v>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x:v>
      </x:c>
      <x:c r="F29" s="32" t="str">
        <x:v>P1</x:v>
      </x:c>
      <x:c r="G29" s="32" t="str">
        <x:v>Claude (Opus 4.8)</x:v>
      </x:c>
      <x:c r="H29" s="32" t="str">
        <x:v>Done</x:v>
      </x:c>
      <x:c r="I29" s="376" t="n">
        <x:v>1</x:v>
      </x:c>
      <x:c r="J29" s="32" t="str">
        <x:v>R-266</x:v>
      </x:c>
      <x:c r="K29" s="32" t="str">
        <x:v>Founder Stage 0</x:v>
      </x:c>
      <x:c r="L29" s="32" t="str">
        <x:v>task verify pass; impl 667c30a; offline/deterministic, 0 cloud calls.</x:v>
      </x:c>
      <x:c r="M29" s="32" t="str">
        <x:v>Backfilled to reconcile the execution tracker with shipped, committed work (R-253..R-279).</x:v>
      </x:c>
    </x:row>
    <x:row r="30" s="40" customFormat="1" ht="34" customHeight="1">
      <x:c r="A30" s="32" t="str">
        <x:v>R-266</x:v>
      </x:c>
      <x:c r="B30" s="32" t="str">
        <x:v>MVP</x:v>
      </x:c>
      <x:c r="C30" s="32" t="str">
        <x:v>Builder</x:v>
      </x:c>
      <x:c r="D30" s="32" t="str">
        <x:v>Update/Edit Mode in Generated Next.js Forms &amp; Collection Screen Edit Actions</x:v>
      </x:c>
      <x:c r="E30" s="32" t="str">
        <x:v>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x:v>
      </x:c>
      <x:c r="F30" s="32" t="str">
        <x:v>P1</x:v>
      </x:c>
      <x:c r="G30" s="32" t="str">
        <x:v>Claude (Opus 4.8)</x:v>
      </x:c>
      <x:c r="H30" s="32" t="str">
        <x:v>Done</x:v>
      </x:c>
      <x:c r="I30" s="376" t="n">
        <x:v>1</x:v>
      </x:c>
      <x:c r="J30" s="32" t="str">
        <x:v>R-265</x:v>
      </x:c>
      <x:c r="K30" s="32" t="str">
        <x:v>Founder Stage 0</x:v>
      </x:c>
      <x:c r="L30" s="32" t="str">
        <x:v>task verify pass; impl 9dd0095; offline/deterministic, 0 cloud calls.</x:v>
      </x:c>
      <x:c r="M30" s="32" t="str">
        <x:v>Backfilled to reconcile the execution tracker with shipped, committed work (R-253..R-279).</x:v>
      </x:c>
    </x:row>
    <x:row r="31" s="40" customFormat="1" ht="34" customHeight="1">
      <x:c r="A31" s="32" t="str">
        <x:v>R-265</x:v>
      </x:c>
      <x:c r="B31" s="32" t="str">
        <x:v>MVP</x:v>
      </x:c>
      <x:c r="C31" s="32" t="str">
        <x:v>Builder</x:v>
      </x:c>
      <x:c r="D31" s="32" t="str">
        <x:v>Subcollection Navigation &amp; Master-Detail Views in Generated Screens</x:v>
      </x:c>
      <x:c r="E31" s="32" t="str">
        <x:v>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x:v>
      </x:c>
      <x:c r="F31" s="32" t="str">
        <x:v>P1</x:v>
      </x:c>
      <x:c r="G31" s="32" t="str">
        <x:v>Claude (Opus 4.8)</x:v>
      </x:c>
      <x:c r="H31" s="32" t="str">
        <x:v>Done</x:v>
      </x:c>
      <x:c r="I31" s="376" t="n">
        <x:v>1</x:v>
      </x:c>
      <x:c r="J31" s="32" t="str">
        <x:v>R-264</x:v>
      </x:c>
      <x:c r="K31" s="32" t="str">
        <x:v>Founder Stage 0</x:v>
      </x:c>
      <x:c r="L31" s="32" t="str">
        <x:v>task verify pass; impl 0926d6e; offline/deterministic, 0 cloud calls.</x:v>
      </x:c>
      <x:c r="M31" s="32" t="str">
        <x:v>Backfilled to reconcile the execution tracker with shipped, committed work (R-253..R-279).</x:v>
      </x:c>
    </x:row>
    <x:row r="32" s="40" customFormat="1" ht="34" customHeight="1">
      <x:c r="A32" s="32" t="str">
        <x:v>R-264</x:v>
      </x:c>
      <x:c r="B32" s="32" t="str">
        <x:v>MVP</x:v>
      </x:c>
      <x:c r="C32" s="32" t="str">
        <x:v>Builder</x:v>
      </x:c>
      <x:c r="D32" s="32" t="str">
        <x:v>Field-Level Validation &amp; Error Feedback in Generated Next.js Forms</x:v>
      </x:c>
      <x:c r="E32" s="32" t="str">
        <x:v>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x:v>
      </x:c>
      <x:c r="F32" s="32" t="str">
        <x:v>P1</x:v>
      </x:c>
      <x:c r="G32" s="32" t="str">
        <x:v>Claude (Opus 4.8)</x:v>
      </x:c>
      <x:c r="H32" s="32" t="str">
        <x:v>Done</x:v>
      </x:c>
      <x:c r="I32" s="376" t="n">
        <x:v>1</x:v>
      </x:c>
      <x:c r="J32" s="32" t="str">
        <x:v>R-263</x:v>
      </x:c>
      <x:c r="K32" s="32" t="str">
        <x:v>Founder Stage 0</x:v>
      </x:c>
      <x:c r="L32" s="32" t="str">
        <x:v>task verify pass; impl 558a75a; offline/deterministic, 0 cloud calls.</x:v>
      </x:c>
      <x:c r="M32" s="32" t="str">
        <x:v>Backfilled to reconcile the execution tracker with shipped, committed work (R-253..R-279).</x:v>
      </x:c>
    </x:row>
    <x:row r="33" s="40" customFormat="1" ht="34" customHeight="1">
      <x:c r="A33" s="32" t="str">
        <x:v>R-263</x:v>
      </x:c>
      <x:c r="B33" s="32" t="str">
        <x:v>MVP</x:v>
      </x:c>
      <x:c r="C33" s="32" t="str">
        <x:v>Builder</x:v>
      </x:c>
      <x:c r="D33" s="32" t="str">
        <x:v>Interactive Screen Component Generator with Real Data Binding (apps/web/app/&lt;screen&gt;/page.tsx)</x:v>
      </x:c>
      <x:c r="E33" s="32" t="str">
        <x:v>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x:v>
      </x:c>
      <x:c r="F33" s="32" t="str">
        <x:v>P1</x:v>
      </x:c>
      <x:c r="G33" s="32" t="str">
        <x:v>Claude (Opus 4.8)</x:v>
      </x:c>
      <x:c r="H33" s="32" t="str">
        <x:v>Done</x:v>
      </x:c>
      <x:c r="I33" s="376" t="n">
        <x:v>1</x:v>
      </x:c>
      <x:c r="J33" s="32" t="str">
        <x:v>R-262</x:v>
      </x:c>
      <x:c r="K33" s="32" t="str">
        <x:v>Founder Stage 0</x:v>
      </x:c>
      <x:c r="L33" s="32" t="str">
        <x:v>task verify pass; impl da914ba; offline/deterministic, 0 cloud calls.</x:v>
      </x:c>
      <x:c r="M33" s="32" t="str">
        <x:v>Backfilled to reconcile the execution tracker with shipped, committed work (R-253..R-279).</x:v>
      </x:c>
    </x:row>
    <x:row r="34" s="40" customFormat="1" ht="34" customHeight="1">
      <x:c r="A34" s="32" t="str">
        <x:v>R-262</x:v>
      </x:c>
      <x:c r="B34" s="32" t="str">
        <x:v>MVP</x:v>
      </x:c>
      <x:c r="C34" s="32" t="str">
        <x:v>Builder</x:v>
      </x:c>
      <x:c r="D34" s="32" t="str">
        <x:v>React Data-Fetching &amp; Mutation Hooks Generator (apps/web/lib/hooks.ts)</x:v>
      </x:c>
      <x:c r="E34" s="32" t="str">
        <x:v>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x:v>
      </x:c>
      <x:c r="F34" s="32" t="str">
        <x:v>P1</x:v>
      </x:c>
      <x:c r="G34" s="32" t="str">
        <x:v>Claude (Opus 4.8)</x:v>
      </x:c>
      <x:c r="H34" s="32" t="str">
        <x:v>Done</x:v>
      </x:c>
      <x:c r="I34" s="376" t="n">
        <x:v>1</x:v>
      </x:c>
      <x:c r="J34" s="32" t="str">
        <x:v>R-261</x:v>
      </x:c>
      <x:c r="K34" s="32" t="str">
        <x:v>Founder Stage 0</x:v>
      </x:c>
      <x:c r="L34" s="32" t="str">
        <x:v>task verify pass; impl f16f64c (bundled commit R-260..R-262); offline/deterministic, 0 cloud calls.</x:v>
      </x:c>
      <x:c r="M34" s="32" t="str">
        <x:v>Backfilled to reconcile the execution tracker with shipped, committed work (R-253..R-279).</x:v>
      </x:c>
    </x:row>
    <x:row r="35" s="40" customFormat="1" ht="34" customHeight="1">
      <x:c r="A35" s="32" t="str">
        <x:v>R-261</x:v>
      </x:c>
      <x:c r="B35" s="32" t="str">
        <x:v>MVP</x:v>
      </x:c>
      <x:c r="C35" s="32" t="str">
        <x:v>Builder</x:v>
      </x:c>
      <x:c r="D35" s="32" t="str">
        <x:v>Full-Text / Keyword Search Filtering on LIST Endpoints</x:v>
      </x:c>
      <x:c r="E35" s="32" t="str">
        <x:v>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x:v>
      </x:c>
      <x:c r="F35" s="32" t="str">
        <x:v>P1</x:v>
      </x:c>
      <x:c r="G35" s="32" t="str">
        <x:v>Claude (Opus 4.8)</x:v>
      </x:c>
      <x:c r="H35" s="32" t="str">
        <x:v>Done</x:v>
      </x:c>
      <x:c r="I35" s="376" t="n">
        <x:v>1</x:v>
      </x:c>
      <x:c r="J35" s="32" t="str">
        <x:v>R-260</x:v>
      </x:c>
      <x:c r="K35" s="32" t="str">
        <x:v>Founder Stage 0</x:v>
      </x:c>
      <x:c r="L35" s="32" t="str">
        <x:v>task verify 491 tests; impl f16f64c (bundled commit R-260..R-262); offline/deterministic, 0 cloud calls.</x:v>
      </x:c>
      <x:c r="M35" s="32" t="str">
        <x:v>Backfilled to reconcile the execution tracker with shipped, committed work (R-253..R-279).</x:v>
      </x:c>
    </x:row>
    <x:row r="36" s="40" customFormat="1" ht="34" customHeight="1">
      <x:c r="A36" s="32" t="str">
        <x:v>R-260</x:v>
      </x:c>
      <x:c r="B36" s="32" t="str">
        <x:v>MVP</x:v>
      </x:c>
      <x:c r="C36" s="32" t="str">
        <x:v>Builder</x:v>
      </x:c>
      <x:c r="D36" s="32" t="str">
        <x:v>OpenAPI 3.1 Specification Generation from Application IR</x:v>
      </x:c>
      <x:c r="E36" s="32" t="str">
        <x:v>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x:v>
      </x:c>
      <x:c r="F36" s="32" t="str">
        <x:v>P1</x:v>
      </x:c>
      <x:c r="G36" s="32" t="str">
        <x:v>Claude (Opus 4.8)</x:v>
      </x:c>
      <x:c r="H36" s="32" t="str">
        <x:v>Done</x:v>
      </x:c>
      <x:c r="I36" s="376" t="n">
        <x:v>1</x:v>
      </x:c>
      <x:c r="J36" s="32" t="str">
        <x:v>R-259</x:v>
      </x:c>
      <x:c r="K36" s="32" t="str">
        <x:v>Founder Stage 0</x:v>
      </x:c>
      <x:c r="L36" s="32" t="str">
        <x:v>task verify 475 tests; impl f16f64c (bundled commit R-260..R-262); offline/deterministic, 0 cloud calls.</x:v>
      </x:c>
      <x:c r="M36" s="32" t="str">
        <x:v>Backfilled to reconcile the execution tracker with shipped, committed work (R-253..R-279).</x:v>
      </x:c>
    </x:row>
    <x:row r="37" s="40" customFormat="1" ht="34" customHeight="1">
      <x:c r="A37" s="32" t="str">
        <x:v>R-259</x:v>
      </x:c>
      <x:c r="B37" s="32" t="str">
        <x:v>MVP</x:v>
      </x:c>
      <x:c r="C37" s="32" t="str">
        <x:v>Builder</x:v>
      </x:c>
      <x:c r="D37" s="32" t="str">
        <x:v>Total Count Queries &amp; `X-Total-Count` Header on LIST Endpoints</x:v>
      </x:c>
      <x:c r="E37" s="32" t="str">
        <x:v>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x:v>
      </x:c>
      <x:c r="F37" s="32" t="str">
        <x:v>P1</x:v>
      </x:c>
      <x:c r="G37" s="32" t="str">
        <x:v>Claude (Opus 4.8)</x:v>
      </x:c>
      <x:c r="H37" s="32" t="str">
        <x:v>Done</x:v>
      </x:c>
      <x:c r="I37" s="376" t="n">
        <x:v>1</x:v>
      </x:c>
      <x:c r="J37" s="32" t="str">
        <x:v>R-258</x:v>
      </x:c>
      <x:c r="K37" s="32" t="str">
        <x:v>Founder Stage 0</x:v>
      </x:c>
      <x:c r="L37" s="32" t="str">
        <x:v>task verify 461 tests; impl f55550a; offline/deterministic, 0 cloud calls.</x:v>
      </x:c>
      <x:c r="M37" s="32" t="str">
        <x:v>Backfilled to reconcile the execution tracker with shipped, committed work (R-253..R-279).</x:v>
      </x:c>
    </x:row>
    <x:row r="38" s="40" customFormat="1" ht="34" customHeight="1">
      <x:c r="A38" s="32" t="str">
        <x:v>R-258</x:v>
      </x:c>
      <x:c r="B38" s="32" t="str">
        <x:v>MVP</x:v>
      </x:c>
      <x:c r="C38" s="32" t="str">
        <x:v>Builder</x:v>
      </x:c>
      <x:c r="D38" s="32" t="str">
        <x:v>Query Parameter Sorting (`sort` &amp; `order=asc|desc`) on LIST Endpoints with SQL Injection Whitelist Protection</x:v>
      </x:c>
      <x:c r="E38" s="32" t="str">
        <x:v>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x:v>
      </x:c>
      <x:c r="F38" s="32" t="str">
        <x:v>P1</x:v>
      </x:c>
      <x:c r="G38" s="32" t="str">
        <x:v>Claude (Opus 4.8)</x:v>
      </x:c>
      <x:c r="H38" s="32" t="str">
        <x:v>Done</x:v>
      </x:c>
      <x:c r="I38" s="376" t="n">
        <x:v>1</x:v>
      </x:c>
      <x:c r="J38" s="32" t="str">
        <x:v>R-257</x:v>
      </x:c>
      <x:c r="K38" s="32" t="str">
        <x:v>Founder Stage 0</x:v>
      </x:c>
      <x:c r="L38" s="32" t="str">
        <x:v>task verify 446 tests; impl 34b6d44 (bundled commit R-254..R-258); offline/deterministic, 0 cloud calls.</x:v>
      </x:c>
      <x:c r="M38" s="32" t="str">
        <x:v>Backfilled to reconcile the execution tracker with shipped, committed work (R-253..R-279).</x:v>
      </x:c>
    </x:row>
    <x:row r="39" s="40" customFormat="1" ht="34" customHeight="1">
      <x:c r="A39" s="32" t="str">
        <x:v>R-257</x:v>
      </x:c>
      <x:c r="B39" s="32" t="str">
        <x:v>MVP</x:v>
      </x:c>
      <x:c r="C39" s="32" t="str">
        <x:v>Builder</x:v>
      </x:c>
      <x:c r="D39" s="32" t="str">
        <x:v>Full-Stack Connectivity: Next.js Typed API Client (`lib/api.ts`) &amp; Backend CORS Middleware</x:v>
      </x:c>
      <x:c r="E39" s="32" t="str">
        <x:v>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x:v>
      </x:c>
      <x:c r="F39" s="32" t="str">
        <x:v>P1</x:v>
      </x:c>
      <x:c r="G39" s="32" t="str">
        <x:v>Claude (Opus 4.8)</x:v>
      </x:c>
      <x:c r="H39" s="32" t="str">
        <x:v>Done</x:v>
      </x:c>
      <x:c r="I39" s="376" t="n">
        <x:v>1</x:v>
      </x:c>
      <x:c r="J39" s="32" t="str">
        <x:v>R-256</x:v>
      </x:c>
      <x:c r="K39" s="32" t="str">
        <x:v>Founder Stage 0</x:v>
      </x:c>
      <x:c r="L39" s="32" t="str">
        <x:v>task verify pass; impl 34b6d44 (bundled commit R-254..R-258); offline/deterministic, 0 cloud calls.</x:v>
      </x:c>
      <x:c r="M39" s="32" t="str">
        <x:v>Backfilled to reconcile the execution tracker with shipped, committed work (R-253..R-279).</x:v>
      </x:c>
    </x:row>
    <x:row r="40" s="40" customFormat="1" ht="34" customHeight="1">
      <x:c r="A40" s="32" t="str">
        <x:v>R-256</x:v>
      </x:c>
      <x:c r="B40" s="32" t="str">
        <x:v>MVP</x:v>
      </x:c>
      <x:c r="C40" s="32" t="str">
        <x:v>Builder</x:v>
      </x:c>
      <x:c r="D40" s="32" t="str">
        <x:v>Wire PUT handlers (full-replace update) with validation in Go and FastAPI backends</x:v>
      </x:c>
      <x:c r="E40" s="32" t="str">
        <x:v>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x:v>
      </x:c>
      <x:c r="F40" s="32" t="str">
        <x:v>P1</x:v>
      </x:c>
      <x:c r="G40" s="32" t="str">
        <x:v>Claude (Opus 4.8)</x:v>
      </x:c>
      <x:c r="H40" s="32" t="str">
        <x:v>Done</x:v>
      </x:c>
      <x:c r="I40" s="376" t="n">
        <x:v>1</x:v>
      </x:c>
      <x:c r="J40" s="32" t="str">
        <x:v>R-255</x:v>
      </x:c>
      <x:c r="K40" s="32" t="str">
        <x:v>Founder Stage 0</x:v>
      </x:c>
      <x:c r="L40" s="32" t="str">
        <x:v>task verify 420 tests; impl 34b6d44 (bundled commit R-254..R-258); offline/deterministic, 0 cloud calls.</x:v>
      </x:c>
      <x:c r="M40" s="32" t="str">
        <x:v>Backfilled to reconcile the execution tracker with shipped, committed work (R-253..R-279).</x:v>
      </x:c>
    </x:row>
    <x:row r="41" s="40" customFormat="1" ht="34" customHeight="1">
      <x:c r="A41" s="32" t="str">
        <x:v>R-255</x:v>
      </x:c>
      <x:c r="B41" s="32" t="str">
        <x:v>MVP</x:v>
      </x:c>
      <x:c r="C41" s="32" t="str">
        <x:v>Builder</x:v>
      </x:c>
      <x:c r="D41" s="32" t="str">
        <x:v>Query parameter pagination (limit &amp; offset) for LIST and LIST_BY in Go and FastAPI backends</x:v>
      </x:c>
      <x:c r="E41" s="32" t="str">
        <x:v>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x:v>
      </x:c>
      <x:c r="F41" s="32" t="str">
        <x:v>P1</x:v>
      </x:c>
      <x:c r="G41" s="32" t="str">
        <x:v>Claude (Opus 4.8)</x:v>
      </x:c>
      <x:c r="H41" s="32" t="str">
        <x:v>Done</x:v>
      </x:c>
      <x:c r="I41" s="376" t="n">
        <x:v>1</x:v>
      </x:c>
      <x:c r="J41" s="32" t="str">
        <x:v>R-254</x:v>
      </x:c>
      <x:c r="K41" s="32" t="str">
        <x:v>Founder Stage 0</x:v>
      </x:c>
      <x:c r="L41" s="32" t="str">
        <x:v>task verify pass; impl 34b6d44 (bundled commit R-254..R-258); offline/deterministic, 0 cloud calls.</x:v>
      </x:c>
      <x:c r="M41" s="32" t="str">
        <x:v>Backfilled to reconcile the execution tracker with shipped, committed work (R-253..R-279).</x:v>
      </x:c>
    </x:row>
    <x:row r="42" s="40" customFormat="1" ht="34" customHeight="1">
      <x:c r="A42" s="32" t="str">
        <x:v>R-254</x:v>
      </x:c>
      <x:c r="B42" s="32" t="str">
        <x:v>MVP</x:v>
      </x:c>
      <x:c r="C42" s="32" t="str">
        <x:v>Builder</x:v>
      </x:c>
      <x:c r="D42" s="32" t="str">
        <x:v>Field-level validation error bodies (structured JSON errors instead of flat string)</x:v>
      </x:c>
      <x:c r="E42" s="32" t="str">
        <x:v>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x:v>
      </x:c>
      <x:c r="F42" s="32" t="str">
        <x:v>P1</x:v>
      </x:c>
      <x:c r="G42" s="32" t="str">
        <x:v>Claude (Opus 4.8)</x:v>
      </x:c>
      <x:c r="H42" s="32" t="str">
        <x:v>Done</x:v>
      </x:c>
      <x:c r="I42" s="376" t="n">
        <x:v>1</x:v>
      </x:c>
      <x:c r="J42" s="32" t="str">
        <x:v>R-253</x:v>
      </x:c>
      <x:c r="K42" s="32" t="str">
        <x:v>Founder Stage 0</x:v>
      </x:c>
      <x:c r="L42" s="32" t="str">
        <x:v>task verify 398 tests; impl 34b6d44 (bundled commit R-254..R-258); offline/deterministic, 0 cloud calls.</x:v>
      </x:c>
      <x:c r="M42" s="32" t="str">
        <x:v>Backfilled to reconcile the execution tracker with shipped, committed work (R-253..R-279).</x:v>
      </x:c>
    </x:row>
    <x:row r="43" s="40" customFormat="1" ht="34" customHeight="1">
      <x:c r="A43" s="32" t="str">
        <x:v>R-253</x:v>
      </x:c>
      <x:c r="B43" s="32" t="str">
        <x:v>MVP</x:v>
      </x:c>
      <x:c r="C43" s="32" t="str">
        <x:v>Builder</x:v>
      </x:c>
      <x:c r="D43" s="32" t="str">
        <x:v>Wire PATCH/update handlers with validation in Go and FastAPI backends</x:v>
      </x:c>
      <x:c r="E43" s="32" t="str">
        <x:v>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x:v>
      </x:c>
      <x:c r="F43" s="32" t="str">
        <x:v>P1</x:v>
      </x:c>
      <x:c r="G43" s="32" t="str">
        <x:v>Claude (Opus 4.8)</x:v>
      </x:c>
      <x:c r="H43" s="32" t="str">
        <x:v>Done</x:v>
      </x:c>
      <x:c r="I43" s="376" t="n">
        <x:v>1</x:v>
      </x:c>
      <x:c r="J43" s="32" t="str">
        <x:v>R-252</x:v>
      </x:c>
      <x:c r="K43" s="32" t="str">
        <x:v>Founder Stage 0</x:v>
      </x:c>
      <x:c r="L43" s="32" t="str">
        <x:v>task verify 360 tests; impl 5b2e1c1; offline/deterministic, 0 cloud calls.</x:v>
      </x:c>
      <x:c r="M43" s="32" t="str">
        <x:v>Backfilled to reconcile the execution tracker with shipped, committed work (R-253..R-279).</x:v>
      </x:c>
    </x:row>
    <x:row r="44" s="40" customFormat="1" ht="34" customHeight="1">
      <x:c r="A44" s="32" t="str">
        <x:v>R-252</x:v>
      </x:c>
      <x:c r="B44" s="32" t="str">
        <x:v>MVP</x:v>
      </x:c>
      <x:c r="C44" s="32" t="str">
        <x:v>Builder</x:v>
      </x:c>
      <x:c r="D44" s="32" t="str">
        <x:v>Enforce go-playground validation in the generated Go create handlers</x:v>
      </x:c>
      <x:c r="E44" s="32" t="str">
        <x:v>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x:v>
      </x:c>
      <x:c r="F44" s="32" t="str">
        <x:v>P1</x:v>
      </x:c>
      <x:c r="G44" s="32" t="str">
        <x:v>Claude (Opus 4.8)</x:v>
      </x:c>
      <x:c r="H44" s="32" t="str">
        <x:v>Done</x:v>
      </x:c>
      <x:c r="I44" s="376" t="n">
        <x:v>1</x:v>
      </x:c>
      <x:c r="J44" s="32" t="str">
        <x:v>R-251</x:v>
      </x:c>
      <x:c r="K44" s="32" t="str">
        <x:v>Founder Stage 0</x:v>
      </x:c>
      <x:c r="L44" s="32" t="str">
        <x:v>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x:v>
      </x:c>
      <x:c r="M44" s="32" t="str">
        <x:v>Founder chose option 1 after R-251 (wire enforcement, not static/seed rendering). Reconstructed with founder approval from Brief Sections 9, 26, 27, 34, 42, 74, 77, and 92.</x:v>
      </x:c>
    </x:row>
    <x:row r="45" s="40" customFormat="1" ht="34" customHeight="1">
      <x:c r="A45" s="32" t="str">
        <x:v>R-251</x:v>
      </x:c>
      <x:c r="B45" s="32" t="str">
        <x:v>MVP</x:v>
      </x:c>
      <x:c r="C45" s="32" t="str">
        <x:v>Builder</x:v>
      </x:c>
      <x:c r="D45" s="32" t="str">
        <x:v>Field validation for Go + numeric min/max (all schema/model targets)</x:v>
      </x:c>
      <x:c r="E45" s="32" t="str">
        <x:v>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x:v>
      </x:c>
      <x:c r="F45" s="32" t="str">
        <x:v>P1</x:v>
      </x:c>
      <x:c r="G45" s="32" t="str">
        <x:v>Claude (Opus 4.8)</x:v>
      </x:c>
      <x:c r="H45" s="32" t="str">
        <x:v>Done</x:v>
      </x:c>
      <x:c r="I45" s="376" t="n">
        <x:v>1</x:v>
      </x:c>
      <x:c r="J45" s="32" t="str">
        <x:v>R-250</x:v>
      </x:c>
      <x:c r="K45" s="32" t="str">
        <x:v>Founder Stage 0</x:v>
      </x:c>
      <x:c r="L45" s="32" t="str">
        <x:v>Done 2060a21 — 345 tests (8 new); task verify + security:quick + env:check pass; numeric CHECK + Pydantic ge/le + Go validate tags across all targets; rule-free fields unchanged; no go.mod dep, no DB connection.</x:v>
      </x:c>
      <x:c r="M45" s="32" t="str">
        <x:v>Reconstructed with founder approval (extend field validation to Go + numeric bounds) from Brief Sections 9, 26, 27, 34, 42, 74, 77, and 92.</x:v>
      </x:c>
    </x:row>
    <x:row r="46" s="40" customFormat="1" ht="34" customHeight="1">
      <x:c r="A46" s="32" t="str">
        <x:v>R-250</x:v>
      </x:c>
      <x:c r="B46" s="32" t="str">
        <x:v>MVP</x:v>
      </x:c>
      <x:c r="C46" s="32" t="str">
        <x:v>Builder</x:v>
      </x:c>
      <x:c r="D46" s="32" t="str">
        <x:v>Richer field validation (max_length + enum) into schema + FastAPI models</x:v>
      </x:c>
      <x:c r="E46" s="32" t="str">
        <x:v>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x:v>
      </x:c>
      <x:c r="F46" s="32" t="str">
        <x:v>P1</x:v>
      </x:c>
      <x:c r="G46" s="32" t="str">
        <x:v>Claude (Opus 4.8)</x:v>
      </x:c>
      <x:c r="H46" s="32" t="str">
        <x:v>Done</x:v>
      </x:c>
      <x:c r="I46" s="376" t="n">
        <x:v>1</x:v>
      </x:c>
      <x:c r="J46" s="32" t="str">
        <x:v>R-249</x:v>
      </x:c>
      <x:c r="K46" s="32" t="str">
        <x:v>Founder Stage 0</x:v>
      </x:c>
      <x:c r="L46" s="32" t="str">
        <x:v>Done 1eed171 — 337 tests (10 new); task verify + security:quick + env:check pass; STRING max_length -&gt; VARCHAR(n), enum -&gt; CHECK, Pydantic Field(max_length)/Literal; unknown rules ignored; examples unchanged; no DB connection.</x:v>
      </x:c>
      <x:c r="M46" s="32" t="str">
        <x:v>Reconstructed with founder approval (richer field validation into models + schema) from Brief Sections 9, 26, 27, 34, 42, 74, 77, and 92.</x:v>
      </x:c>
    </x:row>
    <x:row r="47" s="40" customFormat="1" ht="34" customHeight="1">
      <x:c r="A47" s="32" t="str">
        <x:v>R-249</x:v>
      </x:c>
      <x:c r="B47" s="32" t="str">
        <x:v>MVP</x:v>
      </x:c>
      <x:c r="C47" s="32" t="str">
        <x:v>Builder</x:v>
      </x:c>
      <x:c r="D47" s="32" t="str">
        <x:v>IR indexes + unique constraints in the generated PostgreSQL schema</x:v>
      </x:c>
      <x:c r="E47" s="32" t="str">
        <x:v>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x:v>
      </x:c>
      <x:c r="F47" s="32" t="str">
        <x:v>P1</x:v>
      </x:c>
      <x:c r="G47" s="32" t="str">
        <x:v>Claude (Opus 4.8)</x:v>
      </x:c>
      <x:c r="H47" s="32" t="str">
        <x:v>Done</x:v>
      </x:c>
      <x:c r="I47" s="376" t="n">
        <x:v>1</x:v>
      </x:c>
      <x:c r="J47" s="32" t="str">
        <x:v>R-248</x:v>
      </x:c>
      <x:c r="K47" s="32" t="str">
        <x:v>Founder Stage 0</x:v>
      </x:c>
      <x:c r="L47" s="32" t="str">
        <x:v>Done 28e7cd5 — 327 tests (11 new); task verify + security:quick + env:check pass; UNIQUE columns + CREATE [UNIQUE] INDEX rendered, id never unique, bad index field is a construction error, IR round-trips; no DB connection.</x:v>
      </x:c>
      <x:c r="M47" s="32" t="str">
        <x:v>Reconstructed with founder approval (deeper IR/adapter coverage: indexes + unique constraints) from Brief Sections 9, 34, 35, 42, 74, 77, and 92.</x:v>
      </x:c>
    </x:row>
    <x:row r="48" s="40" customFormat="1" ht="34" customHeight="1">
      <x:c r="A48" s="32" t="str">
        <x:v>R-248</x:v>
      </x:c>
      <x:c r="B48" s="32" t="str">
        <x:v>MVP</x:v>
      </x:c>
      <x:c r="C48" s="32" t="str">
        <x:v>Builder</x:v>
      </x:c>
      <x:c r="D48" s="32" t="str">
        <x:v>Application IR fixtures + honest migrations/0002_seed.sql</x:v>
      </x:c>
      <x:c r="E48" s="32" t="str">
        <x:v>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x:v>
      </x:c>
      <x:c r="F48" s="32" t="str">
        <x:v>P1</x:v>
      </x:c>
      <x:c r="G48" s="32" t="str">
        <x:v>Claude (Opus 4.8)</x:v>
      </x:c>
      <x:c r="H48" s="32" t="str">
        <x:v>Done</x:v>
      </x:c>
      <x:c r="I48" s="376" t="n">
        <x:v>1</x:v>
      </x:c>
      <x:c r="J48" s="32" t="str">
        <x:v>R-247</x:v>
      </x:c>
      <x:c r="K48" s="32" t="str">
        <x:v>Founder Stage 0</x:v>
      </x:c>
      <x:c r="L48" s="32" t="str">
        <x:v>Done 9d34720 — 316 tests (14 new); task verify + security:quick + env:check pass; render_postgres_seed emits authored INSERTs (quoted/escaped), both backends emit 0002_seed.sql for minimal-blog, none for fixture-free/non-postgres; no DB connection, no fabricated value.</x:v>
      </x:c>
      <x:c r="M48" s="32" t="str">
        <x:v>Reconstructed with founder approval (honest seed data from explicit IR fixtures) from Brief Sections 9, 26, 27, 34, 35, 42, 74, 77, and 92.</x:v>
      </x:c>
    </x:row>
    <x:row r="49" s="40" customFormat="1" ht="34" customHeight="1">
      <x:c r="A49" s="32" t="str">
        <x:v>R-247</x:v>
      </x:c>
      <x:c r="B49" s="32" t="str">
        <x:v>MVP</x:v>
      </x:c>
      <x:c r="C49" s="32" t="str">
        <x:v>Console</x:v>
      </x:c>
      <x:c r="D49" s="32" t="str">
        <x:v>Render the project plan and unified edit patch in the static console</x:v>
      </x:c>
      <x:c r="E49" s="32" t="str">
        <x:v>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x:v>
      </x:c>
      <x:c r="F49" s="32" t="str">
        <x:v>P1</x:v>
      </x:c>
      <x:c r="G49" s="32" t="str">
        <x:v>Codex (GPT-5)</x:v>
      </x:c>
      <x:c r="H49" s="32" t="str">
        <x:v>Done</x:v>
      </x:c>
      <x:c r="I49" s="376" t="n">
        <x:v>1</x:v>
      </x:c>
      <x:c r="J49" s="32" t="str">
        <x:v>R-246</x:v>
      </x:c>
      <x:c r="K49" s="32" t="str">
        <x:v>Founder Stage 0</x:v>
      </x:c>
      <x:c r="L49" s="32" t="str">
        <x:v>Done 6a82056 — 302 tests (5 new); task verify + security:quick + env:check pass; deterministic snapshot; node --check; live local visual review shows 2-app plan + 5-file hunk patch; 1 local / 0 cloud model calls.</x:v>
      </x:c>
      <x:c r="M49" s="32" t="str">
        <x:v>Founder instructed continuation from R-247; selected the smallest visible offline console slice from the approved options. Brief Sections 6, 9, 15, 25-27, 34, 51, 74, 77, 83-85, and 92.</x:v>
      </x:c>
    </x:row>
    <x:row r="50" s="40" customFormat="1" ht="34" customHeight="1">
      <x:c r="A50" s="32" t="str">
        <x:v>R-246</x:v>
      </x:c>
      <x:c r="B50" s="32" t="str">
        <x:v>MVP</x:v>
      </x:c>
      <x:c r="C50" s="32" t="str">
        <x:v>Builder</x:v>
      </x:c>
      <x:c r="D50" s="32" t="str">
        <x:v>Richer edit-loop diffs (hunk-level + rename detection)</x:v>
      </x:c>
      <x:c r="E50" s="32" t="str">
        <x:v>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x:v>
      </x:c>
      <x:c r="F50" s="32" t="str">
        <x:v>P2</x:v>
      </x:c>
      <x:c r="G50" s="32" t="str">
        <x:v>Claude (Opus 4.8)</x:v>
      </x:c>
      <x:c r="H50" s="32" t="str">
        <x:v>Done</x:v>
      </x:c>
      <x:c r="I50" s="376" t="n">
        <x:v>1</x:v>
      </x:c>
      <x:c r="J50" s="32" t="str">
        <x:v>R-237</x:v>
      </x:c>
      <x:c r="K50" s="32" t="str">
        <x:v>Founder Stage 0</x:v>
      </x:c>
      <x:c r="L50" s="32" t="str">
        <x:v>Done eebab68 — 297 tests (6 new); task verify + security:quick + env:check pass; diff_report gives hunk diffs + rename detection; unified_patch byte-stable; additive, nothing run.</x:v>
      </x:c>
      <x:c r="M50" s="32" t="str">
        <x:v>Reconstructed with founder approval (edits read as focused patches) from Brief Sections 6, 9, 27, 34, 74, 77, and 92.</x:v>
      </x:c>
    </x:row>
    <x:row r="51" s="40" customFormat="1" ht="34" customHeight="1">
      <x:c r="A51" s="32" t="str">
        <x:v>R-245</x:v>
      </x:c>
      <x:c r="B51" s="32" t="str">
        <x:v>MVP</x:v>
      </x:c>
      <x:c r="C51" s="32" t="str">
        <x:v>Runtime</x:v>
      </x:c>
      <x:c r="D51" s="32" t="str">
        <x:v>Combined project-plan surface (preview + verify + deploy per app)</x:v>
      </x:c>
      <x:c r="E51" s="32" t="str">
        <x:v>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x:v>
      </x:c>
      <x:c r="F51" s="32" t="str">
        <x:v>P1</x:v>
      </x:c>
      <x:c r="G51" s="32" t="str">
        <x:v>Claude (Opus 4.8)</x:v>
      </x:c>
      <x:c r="H51" s="32" t="str">
        <x:v>Done</x:v>
      </x:c>
      <x:c r="I51" s="376" t="n">
        <x:v>1</x:v>
      </x:c>
      <x:c r="J51" s="32" t="str">
        <x:v>R-235</x:v>
      </x:c>
      <x:c r="K51" s="32" t="str">
        <x:v>Founder Stage 0</x:v>
      </x:c>
      <x:c r="L51" s="32" t="str">
        <x:v>Done 891144d — 291 tests (6 new); task verify + security:quick + env:check pass; task plan:show renders preview+verify per app; deploy opt-in; JSON secret-free; nothing run.</x:v>
      </x:c>
      <x:c r="M51" s="32" t="str">
        <x:v>Reconstructed with founder approval (one plan surface tying runtime + verify + deploy) from Brief Sections 15, 26, 27, 51, 74, 75, 77, and 92.</x:v>
      </x:c>
    </x:row>
    <x:row r="52" s="40" customFormat="1" ht="34" customHeight="1">
      <x:c r="A52" s="32" t="str">
        <x:v>R-244</x:v>
      </x:c>
      <x:c r="B52" s="32" t="str">
        <x:v>MVP</x:v>
      </x:c>
      <x:c r="C52" s="32" t="str">
        <x:v>Builder</x:v>
      </x:c>
      <x:c r="D52" s="32" t="str">
        <x:v>Sub-collection route wiring (parent-scoped lists)</x:v>
      </x:c>
      <x:c r="E52" s="32" t="str">
        <x:v>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x:v>
      </x:c>
      <x:c r="F52" s="32" t="str">
        <x:v>P0</x:v>
      </x:c>
      <x:c r="G52" s="32" t="str">
        <x:v>Claude (Opus 4.8)</x:v>
      </x:c>
      <x:c r="H52" s="32" t="str">
        <x:v>Done</x:v>
      </x:c>
      <x:c r="I52" s="376" t="n">
        <x:v>1</x:v>
      </x:c>
      <x:c r="J52" s="32" t="str">
        <x:v>R-243</x:v>
      </x:c>
      <x:c r="K52" s="32" t="str">
        <x:v>Founder Stage 0</x:v>
      </x:c>
      <x:c r="L52" s="32" t="str">
        <x:v>Done b886d72 — 285 tests (11 new); task verify + security:quick + env:check pass; GET /posts/{postId}/comments wired to list_comment_by_post (Py) / ListCommentByPost (Go); ambiguous routes stay 501; nothing run.</x:v>
      </x:c>
      <x:c r="M52" s="32" t="str">
        <x:v>Reconstructed with founder approval (finish the CRUD story via sub-collection lists) from Brief Sections 9, 27, 34, 35, 42, 74, 77, and 92.</x:v>
      </x:c>
    </x:row>
    <x:row r="53" s="40" customFormat="1" ht="34" customHeight="1">
      <x:c r="A53" s="32" t="str">
        <x:v>R-243</x:v>
      </x:c>
      <x:c r="B53" s="32" t="str">
        <x:v>MVP</x:v>
      </x:c>
      <x:c r="C53" s="32" t="str">
        <x:v>Builder</x:v>
      </x:c>
      <x:c r="D53" s="32" t="str">
        <x:v>Per-endpoint role enforcement (IR required_roles -&gt; 403)</x:v>
      </x:c>
      <x:c r="E53" s="32" t="str">
        <x:v>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x:v>
      </x:c>
      <x:c r="F53" s="32" t="str">
        <x:v>P0</x:v>
      </x:c>
      <x:c r="G53" s="32" t="str">
        <x:v>Claude (Opus 4.8)</x:v>
      </x:c>
      <x:c r="H53" s="32" t="str">
        <x:v>Done</x:v>
      </x:c>
      <x:c r="I53" s="376" t="n">
        <x:v>1</x:v>
      </x:c>
      <x:c r="J53" s="32" t="str">
        <x:v>R-242</x:v>
      </x:c>
      <x:c r="K53" s="32" t="str">
        <x:v>Founder Stage 0</x:v>
      </x:c>
      <x:c r="L53" s="32" t="str">
        <x:v>Done 1faea2c — 274 tests (6 new); task verify + security:quick + env:check pass; IR required_roles validated+serialized, Python require_roles + Go RequireRoles -&gt; 403; validate_ir errors on unknown role; nothing run.</x:v>
      </x:c>
      <x:c r="M53" s="32" t="str">
        <x:v>Reconstructed with founder approval (per-endpoint roles after JWT verification) from Brief Sections 9, 27, 34, 55, 64, 74, 77, and 92.</x:v>
      </x:c>
    </x:row>
    <x:row r="54" s="40" customFormat="1" ht="34" customHeight="1">
      <x:c r="A54" s="32" t="str">
        <x:v>R-242</x:v>
      </x:c>
      <x:c r="B54" s="32" t="str">
        <x:v>MVP</x:v>
      </x:c>
      <x:c r="C54" s="32" t="str">
        <x:v>Builder</x:v>
      </x:c>
      <x:c r="D54" s="32" t="str">
        <x:v>Real JWT verification in the generated auth guard (HS256)</x:v>
      </x:c>
      <x:c r="E54" s="32" t="str">
        <x:v>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x:v>
      </x:c>
      <x:c r="F54" s="32" t="str">
        <x:v>P0</x:v>
      </x:c>
      <x:c r="G54" s="32" t="str">
        <x:v>Claude (Opus 4.8)</x:v>
      </x:c>
      <x:c r="H54" s="32" t="str">
        <x:v>Done</x:v>
      </x:c>
      <x:c r="I54" s="376" t="n">
        <x:v>1</x:v>
      </x:c>
      <x:c r="J54" s="32" t="str">
        <x:v>R-241</x:v>
      </x:c>
      <x:c r="K54" s="32" t="str">
        <x:v>Founder Stage 0</x:v>
      </x:c>
      <x:c r="L54" s="32" t="str">
        <x:v>Done e0d8af3 — 268 tests (3 new); task verify + security:quick + env:check pass; Python require_auth uses PyJWT HS256, Go RequireAuth uses golang-jwt; JWT_SECRET from env only; nothing run.</x:v>
      </x:c>
      <x:c r="M54" s="32" t="str">
        <x:v>Reconstructed with founder approval (real token verification after the R-241 auth guard) from Brief Sections 9, 27, 34, 55, 64, 74, 77, 90, and 92.</x:v>
      </x:c>
    </x:row>
    <x:row r="55" s="40" customFormat="1" ht="34" customHeight="1">
      <x:c r="A55" s="32" t="str">
        <x:v>R-241</x:v>
      </x:c>
      <x:c r="B55" s="32" t="str">
        <x:v>MVP</x:v>
      </x:c>
      <x:c r="C55" s="32" t="str">
        <x:v>Builder</x:v>
      </x:c>
      <x:c r="D55" s="32" t="str">
        <x:v>Authentication guards from the IR (enforce endpoint auth flag)</x:v>
      </x:c>
      <x:c r="E55" s="32" t="str">
        <x:v>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x:v>
      </x:c>
      <x:c r="F55" s="32" t="str">
        <x:v>P0</x:v>
      </x:c>
      <x:c r="G55" s="32" t="str">
        <x:v>Claude (Opus 4.8)</x:v>
      </x:c>
      <x:c r="H55" s="32" t="str">
        <x:v>Done</x:v>
      </x:c>
      <x:c r="I55" s="376" t="n">
        <x:v>1</x:v>
      </x:c>
      <x:c r="J55" s="32" t="str">
        <x:v>R-240</x:v>
      </x:c>
      <x:c r="K55" s="32" t="str">
        <x:v>Founder Stage 0</x:v>
      </x:c>
      <x:c r="L55" s="32" t="str">
        <x:v>Done 4db716b — 265 tests (9 new); task verify + security:quick + env:check pass; auth=true routes guarded (Python Depends, Go RequireAuth), public routes untouched; token verification is a documented TODO.</x:v>
      </x:c>
      <x:c r="M55" s="32" t="str">
        <x:v>Reconstructed with founder approval (enforce the IR auth flag; a core real-app feature) from Brief Sections 9, 27, 34, 35, 55, 64, 74, 77, and 92.</x:v>
      </x:c>
    </x:row>
    <x:row r="56" s="40" customFormat="1" ht="34" customHeight="1">
      <x:c r="A56" s="32" t="str">
        <x:v>R-240</x:v>
      </x:c>
      <x:c r="B56" s="32" t="str">
        <x:v>MVP</x:v>
      </x:c>
      <x:c r="C56" s="32" t="str">
        <x:v>Builder</x:v>
      </x:c>
      <x:c r="D56" s="32" t="str">
        <x:v>Route wiring: handlers call the repositories (real CRUD)</x:v>
      </x:c>
      <x:c r="E56" s="32" t="str">
        <x:v>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x:v>
      </x:c>
      <x:c r="F56" s="32" t="str">
        <x:v>P0</x:v>
      </x:c>
      <x:c r="G56" s="32" t="str">
        <x:v>Claude (Opus 4.8)</x:v>
      </x:c>
      <x:c r="H56" s="32" t="str">
        <x:v>Done</x:v>
      </x:c>
      <x:c r="I56" s="376" t="n">
        <x:v>1</x:v>
      </x:c>
      <x:c r="J56" s="32" t="str">
        <x:v>R-239</x:v>
      </x:c>
      <x:c r="K56" s="32" t="str">
        <x:v>Founder Stage 0</x:v>
      </x:c>
      <x:c r="L56" s="32" t="str">
        <x:v>Done 013dfc4 — 256 tests (12 new); task verify + security:quick + env:check pass; Python routers call repositories, Go main opens store.Open()+handlers.New(db); ambiguous routes stay 501; nothing run.</x:v>
      </x:c>
      <x:c r="M56" s="32" t="str">
        <x:v>Reconstructed with founder approval (turn the 501 stubs into real CRUD over the data-access layer) from Brief Sections 9, 27, 34, 35, 42, 74, 77, and 92.</x:v>
      </x:c>
    </x:row>
    <x:row r="57" s="40" customFormat="1" ht="34" customHeight="1">
      <x:c r="A57" s="32" t="str">
        <x:v>R-239</x:v>
      </x:c>
      <x:c r="B57" s="32" t="str">
        <x:v>MVP</x:v>
      </x:c>
      <x:c r="C57" s="32" t="str">
        <x:v>Builder</x:v>
      </x:c>
      <x:c r="D57" s="32" t="str">
        <x:v>Data-access/repository layer for the generated backends</x:v>
      </x:c>
      <x:c r="E57" s="32" t="str">
        <x:v>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x:v>
      </x:c>
      <x:c r="F57" s="32" t="str">
        <x:v>P0</x:v>
      </x:c>
      <x:c r="G57" s="32" t="str">
        <x:v>Claude (Opus 4.8)</x:v>
      </x:c>
      <x:c r="H57" s="32" t="str">
        <x:v>Done</x:v>
      </x:c>
      <x:c r="I57" s="376" t="n">
        <x:v>1</x:v>
      </x:c>
      <x:c r="J57" s="32" t="str">
        <x:v>R-238</x:v>
      </x:c>
      <x:c r="K57" s="32" t="str">
        <x:v>Founder Stage 0</x:v>
      </x:c>
      <x:c r="L57" s="32" t="str">
        <x:v>Done f6792fa — 244 tests (7 new); task verify + security:quick + env:check pass; python repos parse + go store scans model structs; parameterized SQL; no DB connection.</x:v>
      </x:c>
      <x:c r="M57" s="32" t="str">
        <x:v>Reconstructed with founder approval (make the generated backend use the schema) from Brief Sections 9, 34, 35, 42, 74, 77, 90, and 92.</x:v>
      </x:c>
    </x:row>
    <x:row r="58" s="40" customFormat="1" ht="34" customHeight="1">
      <x:c r="A58" s="32" t="str">
        <x:v>R-238</x:v>
      </x:c>
      <x:c r="B58" s="32" t="str">
        <x:v>MVP</x:v>
      </x:c>
      <x:c r="C58" s="32" t="str">
        <x:v>Builder</x:v>
      </x:c>
      <x:c r="D58" s="32" t="str">
        <x:v>PostgreSQL schema/migration generation from the Application IR</x:v>
      </x:c>
      <x:c r="E58" s="32" t="str">
        <x:v>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x:v>
      </x:c>
      <x:c r="F58" s="32" t="str">
        <x:v>P0</x:v>
      </x:c>
      <x:c r="G58" s="32" t="str">
        <x:v>Claude (Opus 4.8)</x:v>
      </x:c>
      <x:c r="H58" s="32" t="str">
        <x:v>Done</x:v>
      </x:c>
      <x:c r="I58" s="376" t="n">
        <x:v>1</x:v>
      </x:c>
      <x:c r="J58" s="32" t="str">
        <x:v>R-232</x:v>
      </x:c>
      <x:c r="K58" s="32" t="str">
        <x:v>Founder Stage 0</x:v>
      </x:c>
      <x:c r="L58" s="32" t="str">
        <x:v>Done c6a4c6e — 237 tests (11 new); task verify + security:quick + env:check pass; schema demoed for rideshare (driver + favourite_driver FK); no DB connection/run.</x:v>
      </x:c>
      <x:c r="M58" s="32" t="str">
        <x:v>Reconstructed with founder approval (real persistence layer for the generated backend) from Brief Sections 9, 34, 35, 42, 74, 77, and 92.</x:v>
      </x:c>
    </x:row>
    <x:row r="59" s="40" customFormat="1" ht="34" customHeight="1">
      <x:c r="A59" s="32" t="str">
        <x:v>R-237</x:v>
      </x:c>
      <x:c r="B59" s="32" t="str">
        <x:v>MVP</x:v>
      </x:c>
      <x:c r="C59" s="32" t="str">
        <x:v>Builder</x:v>
      </x:c>
      <x:c r="D59" s="32" t="str">
        <x:v>IR-diff -&gt; patch-apply edit loop (edit an existing app)</x:v>
      </x:c>
      <x:c r="E59" s="32" t="str">
        <x:v>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x:v>
      </x:c>
      <x:c r="F59" s="32" t="str">
        <x:v>P0</x:v>
      </x:c>
      <x:c r="G59" s="32" t="str">
        <x:v>Claude (Opus 4.8)</x:v>
      </x:c>
      <x:c r="H59" s="32" t="str">
        <x:v>Done</x:v>
      </x:c>
      <x:c r="I59" s="376" t="n">
        <x:v>1</x:v>
      </x:c>
      <x:c r="J59" s="32" t="str">
        <x:v>R-232</x:v>
      </x:c>
      <x:c r="K59" s="32" t="str">
        <x:v>Founder Stage 0</x:v>
      </x:c>
      <x:c r="L59" s="32" t="str">
        <x:v>Done a0a494a — 226 tests (9 new); task verify + security:quick + env:check pass; apply round-trip + commit_edit history proven; no network/exec, no write outside target.</x:v>
      </x:c>
      <x:c r="M59" s="32" t="str">
        <x:v>Reconstructed with founder approval (edit-an-app motion after generate + verify) from Brief Sections 6, 9, 27, 34, 35, 74, 77, and 92.</x:v>
      </x:c>
    </x:row>
    <x:row r="60" s="40" customFormat="1" ht="34" customHeight="1">
      <x:c r="A60" s="32" t="str">
        <x:v>R-236</x:v>
      </x:c>
      <x:c r="B60" s="32" t="str">
        <x:v>MVP</x:v>
      </x:c>
      <x:c r="C60" s="32" t="str">
        <x:v>Model Fabric</x:v>
      </x:c>
      <x:c r="D60" s="32" t="str">
        <x:v>Expand model-provider catalog + custom OpenAI-compatible providers</x:v>
      </x:c>
      <x:c r="E60" s="32" t="str">
        <x:v>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x:v>
      </x:c>
      <x:c r="F60" s="32" t="str">
        <x:v>P0</x:v>
      </x:c>
      <x:c r="G60" s="32" t="str">
        <x:v>Claude (Opus 4.8)</x:v>
      </x:c>
      <x:c r="H60" s="32" t="str">
        <x:v>Done</x:v>
      </x:c>
      <x:c r="I60" s="376" t="n">
        <x:v>1</x:v>
      </x:c>
      <x:c r="J60" s="32" t="str">
        <x:v>R-223</x:v>
      </x:c>
      <x:c r="K60" s="32" t="str">
        <x:v>Founder Stage 0</x:v>
      </x:c>
      <x:c r="L60" s="32" t="str">
        <x:v>Done e6326bf — 217 tests (14 new); task verify + security:quick + env:check pass; overview demoed 12-provider catalog incl. custom myco; no key value shown.</x:v>
      </x:c>
      <x:c r="M60" s="32" t="str">
        <x:v>Reconstructed with founder approval (add DeepSeek/Grok/etc. + custom/local providers, done the platform's way) from Brief Sections 10, 11, 12, 13, 55, 64, 69, 70, 74, 77, 90, and 92.</x:v>
      </x:c>
    </x:row>
    <x:row r="61" s="40" customFormat="1" ht="34" customHeight="1">
      <x:c r="A61" s="32" t="str">
        <x:v>R-235</x:v>
      </x:c>
      <x:c r="B61" s="32" t="str">
        <x:v>MVP</x:v>
      </x:c>
      <x:c r="C61" s="32" t="str">
        <x:v>Verify</x:v>
      </x:c>
      <x:c r="D61" s="32" t="str">
        <x:v>Verifiable-engineering verify plans (per-target gate ladders)</x:v>
      </x:c>
      <x:c r="E61" s="32" t="str">
        <x:v>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x:v>
      </x:c>
      <x:c r="F61" s="32" t="str">
        <x:v>P0</x:v>
      </x:c>
      <x:c r="G61" s="32" t="str">
        <x:v>Claude (Opus 4.8)</x:v>
      </x:c>
      <x:c r="H61" s="32" t="str">
        <x:v>Done</x:v>
      </x:c>
      <x:c r="I61" s="376" t="n">
        <x:v>1</x:v>
      </x:c>
      <x:c r="J61" s="32" t="str">
        <x:v>R-232</x:v>
      </x:c>
      <x:c r="K61" s="32" t="str">
        <x:v>Founder Stage 0</x:v>
      </x:c>
      <x:c r="L61" s="32" t="str">
        <x:v>Done cb74d0c — 203 tests (9 new); task verify + security:quick + env:check pass; verify-plan demoed for backend-go/nextjs-web; nothing installed/built/run.</x:v>
      </x:c>
      <x:c r="M61" s="32" t="str">
        <x:v>Reconstructed with founder approval (verifiable engineering backbone) from Brief Sections 26, 27, 42, 44, 74, 77, 83, 84, 85, and 92.</x:v>
      </x:c>
    </x:row>
    <x:row r="62" s="40" customFormat="1" ht="34" customHeight="1">
      <x:c r="A62" s="32" t="str">
        <x:v>R-234</x:v>
      </x:c>
      <x:c r="B62" s="32" t="str">
        <x:v>MVP</x:v>
      </x:c>
      <x:c r="C62" s="32" t="str">
        <x:v>Runtime</x:v>
      </x:c>
      <x:c r="D62" s="32" t="str">
        <x:v>Tier switch + cloud provider drivers</x:v>
      </x:c>
      <x:c r="E62" s="32" t="str">
        <x:v>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x:v>
      </x:c>
      <x:c r="F62" s="32" t="str">
        <x:v>P0</x:v>
      </x:c>
      <x:c r="G62" s="32" t="str">
        <x:v>Claude (Opus 4.8)</x:v>
      </x:c>
      <x:c r="H62" s="32" t="str">
        <x:v>Done</x:v>
      </x:c>
      <x:c r="I62" s="376" t="n">
        <x:v>1</x:v>
      </x:c>
      <x:c r="J62" s="32" t="str">
        <x:v>R-233</x:v>
      </x:c>
      <x:c r="K62" s="32" t="str">
        <x:v>Founder Stage 0</x:v>
      </x:c>
      <x:c r="L62" s="32" t="str">
        <x:v>Done dcb7d2d — 194 tests (13 new); task verify + security:quick + env:check pass; platform:status demoed tier 0 and tier 2.</x:v>
      </x:c>
      <x:c r="M62" s="32" t="str">
        <x:v>Reconstructed with founder approval (one knob to switch tiers; all cloud providers get drivers) from Brief Sections 15, 51, 55, 64, 75, 91, and 92.</x:v>
      </x:c>
    </x:row>
    <x:row r="63" s="40" customFormat="1" ht="34" customHeight="1">
      <x:c r="A63" s="32" t="str">
        <x:v>R-233</x:v>
      </x:c>
      <x:c r="B63" s="32" t="str">
        <x:v>MVP</x:v>
      </x:c>
      <x:c r="C63" s="32" t="str">
        <x:v>Runtime</x:v>
      </x:c>
      <x:c r="D63" s="32" t="str">
        <x:v>Runtime &amp; deploy provider layer (Tier 0-3)</x:v>
      </x:c>
      <x:c r="E63" s="32" t="str">
        <x:v>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x:v>
      </x:c>
      <x:c r="F63" s="32" t="str">
        <x:v>P0</x:v>
      </x:c>
      <x:c r="G63" s="32" t="str">
        <x:v>Claude (Opus 4.8)</x:v>
      </x:c>
      <x:c r="H63" s="32" t="str">
        <x:v>Done</x:v>
      </x:c>
      <x:c r="I63" s="376" t="n">
        <x:v>1</x:v>
      </x:c>
      <x:c r="J63" s="32" t="str">
        <x:v>R-232</x:v>
      </x:c>
      <x:c r="K63" s="32" t="str">
        <x:v>Founder Stage 0</x:v>
      </x:c>
      <x:c r="L63" s="32" t="str">
        <x:v>Implementation ae11bac55fb9d865dbc6281c26f7df260edc3477; task verify passed with 181 agent-engine tests (12 new); local runtime works (Tier 0/1), cloud sandbox/deploy providers activate by key (Tier 2/3); no run/deploy, no secret leak; cloud_calls=0.</x:v>
      </x:c>
      <x:c r="M63" s="32" t="str">
        <x:v>Reconstructed with founder approval (wire Tier 0-3, keys plug in) from Brief Sections 15, 51, 55, 64, 75, 91, and 92.</x:v>
      </x:c>
    </x:row>
    <x:row r="64" s="40" customFormat="1" ht="34" customHeight="1">
      <x:c r="A64" s="32" t="str">
        <x:v>R-232</x:v>
      </x:c>
      <x:c r="B64" s="32" t="str">
        <x:v>MVP</x:v>
      </x:c>
      <x:c r="C64" s="32" t="str">
        <x:v>Product</x:v>
      </x:c>
      <x:c r="D64" s="32" t="str">
        <x:v>Customer project assembler (IR -&gt; monorepo)</x:v>
      </x:c>
      <x:c r="E64" s="32" t="str">
        <x:v>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x:v>
      </x:c>
      <x:c r="F64" s="32" t="str">
        <x:v>P0</x:v>
      </x:c>
      <x:c r="G64" s="32" t="str">
        <x:v>Claude (Opus 4.8)</x:v>
      </x:c>
      <x:c r="H64" s="32" t="str">
        <x:v>Done</x:v>
      </x:c>
      <x:c r="I64" s="376" t="n">
        <x:v>1</x:v>
      </x:c>
      <x:c r="J64" s="32" t="str">
        <x:v>R-228</x:v>
      </x:c>
      <x:c r="K64" s="32" t="str">
        <x:v>Founder Stage 0</x:v>
      </x:c>
      <x:c r="L64" s="32" t="str">
        <x:v>Implementation cf28cb0f46ae1f66b9f87b59232eceb2a113b508; task verify passed with 169 agent-engine tests (6 new); one IR -&gt; 24-file customer monorepo (apps/web + services/api) -&gt; owned Git repo in one commit; no install/build/disk; cloud_calls=0.</x:v>
      </x:c>
      <x:c r="M64" s="32" t="str">
        <x:v>Reconstructed with founder approval from Brief Sections 6, 34, 35, 46, 74, 91, and 92.</x:v>
      </x:c>
    </x:row>
    <x:row r="65" s="40" customFormat="1" ht="34" customHeight="1">
      <x:c r="A65" s="32" t="str">
        <x:v>R-231</x:v>
      </x:c>
      <x:c r="B65" s="32" t="str">
        <x:v>MVP</x:v>
      </x:c>
      <x:c r="C65" s="32" t="str">
        <x:v>Product</x:v>
      </x:c>
      <x:c r="D65" s="32" t="str">
        <x:v>IR validator/normalizer + example fixtures</x:v>
      </x:c>
      <x:c r="E65" s="32" t="str">
        <x:v>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x:v>
      </x:c>
      <x:c r="F65" s="32" t="str">
        <x:v>P1</x:v>
      </x:c>
      <x:c r="G65" s="32" t="str">
        <x:v>Claude (Opus 4.8)</x:v>
      </x:c>
      <x:c r="H65" s="32" t="str">
        <x:v>Done</x:v>
      </x:c>
      <x:c r="I65" s="376" t="n">
        <x:v>1</x:v>
      </x:c>
      <x:c r="J65" s="32" t="str">
        <x:v>R-225</x:v>
      </x:c>
      <x:c r="K65" s="32" t="str">
        <x:v>Founder Stage 0</x:v>
      </x:c>
      <x:c r="L65" s="32" t="str">
        <x:v>Implementation f2027a6a7bc6bae37b14226838519c86657f8ff3; task verify passed with 163 agent-engine tests (9 new); validator + normalizer + 2 example fixtures; no dependency/network/model call; cloud_calls=0.</x:v>
      </x:c>
      <x:c r="M65" s="32" t="str">
        <x:v>Reconstructed with founder approval from Brief Sections 9, 12, 19, 66, 74, 91, and 92.</x:v>
      </x:c>
    </x:row>
    <x:row r="66" s="40" customFormat="1" ht="34" customHeight="1">
      <x:c r="A66" s="32" t="str">
        <x:v>R-230</x:v>
      </x:c>
      <x:c r="B66" s="32" t="str">
        <x:v>MVP</x:v>
      </x:c>
      <x:c r="C66" s="32" t="str">
        <x:v>Product</x:v>
      </x:c>
      <x:c r="D66" s="32" t="str">
        <x:v>Go backend adapter (IR -&gt; Go net/http service)</x:v>
      </x:c>
      <x:c r="E66" s="32" t="str">
        <x:v>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x:v>
      </x:c>
      <x:c r="F66" s="32" t="str">
        <x:v>P0</x:v>
      </x:c>
      <x:c r="G66" s="32" t="str">
        <x:v>Claude (Opus 4.8)</x:v>
      </x:c>
      <x:c r="H66" s="32" t="str">
        <x:v>Done</x:v>
      </x:c>
      <x:c r="I66" s="376" t="n">
        <x:v>1</x:v>
      </x:c>
      <x:c r="J66" s="32" t="str">
        <x:v>R-226</x:v>
      </x:c>
      <x:c r="K66" s="32" t="str">
        <x:v>Founder Stage 0</x:v>
      </x:c>
      <x:c r="L66" s="32" t="str">
        <x:v>Implementation e2515a8f1b0314ec287a02cdaf25e72a17b9da3f; task verify passed with 154 agent-engine tests (7 new); one IR -&gt; 12-file Next.js + 11-file FastAPI + 8-file Go service; no install/build/disk; cloud_calls=0.</x:v>
      </x:c>
      <x:c r="M66" s="32" t="str">
        <x:v>Reconstructed with founder approval (multi-target from one IR) from Brief Sections 9, 16, 42, 43, 46, 47, 74, 91, and 92.</x:v>
      </x:c>
    </x:row>
    <x:row r="67" s="40" customFormat="1" ht="34" customHeight="1">
      <x:c r="A67" s="32" t="str">
        <x:v>R-229</x:v>
      </x:c>
      <x:c r="B67" s="32" t="str">
        <x:v>MVP</x:v>
      </x:c>
      <x:c r="C67" s="32" t="str">
        <x:v>Product</x:v>
      </x:c>
      <x:c r="D67" s="32" t="str">
        <x:v>Python (FastAPI) backend adapter (IR -&gt; backend)</x:v>
      </x:c>
      <x:c r="E67" s="32" t="str">
        <x:v>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x:v>
      </x:c>
      <x:c r="F67" s="32" t="str">
        <x:v>P0</x:v>
      </x:c>
      <x:c r="G67" s="32" t="str">
        <x:v>Claude (Opus 4.8)</x:v>
      </x:c>
      <x:c r="H67" s="32" t="str">
        <x:v>Done</x:v>
      </x:c>
      <x:c r="I67" s="376" t="n">
        <x:v>1</x:v>
      </x:c>
      <x:c r="J67" s="32" t="str">
        <x:v>R-226</x:v>
      </x:c>
      <x:c r="K67" s="32" t="str">
        <x:v>Founder Stage 0</x:v>
      </x:c>
      <x:c r="L67" s="32" t="str">
        <x:v>Implementation 04f1e6ad03ff52522efda81845ea3ee73e736a7d; task verify passed with 147 agent-engine tests (7 new); demo IR -&gt; 12-file Next.js web + 11-file FastAPI backend; no install/build/disk; cloud_calls=0.</x:v>
      </x:c>
      <x:c r="M67" s="32" t="str">
        <x:v>Reconstructed with founder approval (multi-target from one IR) from Brief Sections 9, 16, 42, 43, 46, 47, 74, 91, and 92.</x:v>
      </x:c>
    </x:row>
    <x:row r="68" s="40" customFormat="1" ht="34" customHeight="1">
      <x:c r="A68" s="32" t="str">
        <x:v>R-228</x:v>
      </x:c>
      <x:c r="B68" s="32" t="str">
        <x:v>MVP</x:v>
      </x:c>
      <x:c r="C68" s="32" t="str">
        <x:v>Product</x:v>
      </x:c>
      <x:c r="D68" s="32" t="str">
        <x:v>Git service (materialize project -&gt; owned repo)</x:v>
      </x:c>
      <x:c r="E68" s="32" t="str">
        <x:v>Materialize a GeneratedProject to disk and initialize a customer-owned Git repository with a first commit (explicit identity, no global git config, writes only inside the target). Completes the first end-to-end builder slice: IR -&gt; generated app -&gt; owned Git repo.</x:v>
      </x:c>
      <x:c r="F68" s="32" t="str">
        <x:v>P0</x:v>
      </x:c>
      <x:c r="G68" s="32" t="str">
        <x:v>Claude (Opus 4.8)</x:v>
      </x:c>
      <x:c r="H68" s="32" t="str">
        <x:v>Done</x:v>
      </x:c>
      <x:c r="I68" s="376" t="n">
        <x:v>1</x:v>
      </x:c>
      <x:c r="J68" s="32" t="str">
        <x:v>R-227</x:v>
      </x:c>
      <x:c r="K68" s="32" t="str">
        <x:v>Founder Stage 0</x:v>
      </x:c>
      <x:c r="L68" s="32" t="str">
        <x:v>Implementation 28801ef396f7ead743a1d0cdc68657de23cefe1a; task verify passed with 140 agent-engine tests (6 new git-service tests); demo IR -&gt; 13-file Next.js app -&gt; one-commit customer-owned repo; writes only in target, no global git config, offline; cloud_calls=0.</x:v>
      </x:c>
      <x:c r="M68" s="32" t="str">
        <x:v>Reconstructed with founder approval from Brief Sections 6, 20, 34, 71, 74, 75, 91, and 92.</x:v>
      </x:c>
    </x:row>
    <x:row r="69" s="40" customFormat="1" ht="34" customHeight="1">
      <x:c r="A69" s="32" t="str">
        <x:v>R-227</x:v>
      </x:c>
      <x:c r="B69" s="32" t="str">
        <x:v>MVP</x:v>
      </x:c>
      <x:c r="C69" s="32" t="str">
        <x:v>Product</x:v>
      </x:c>
      <x:c r="D69" s="32" t="str">
        <x:v>Next.js web code adapter (IR -&gt; app)</x:v>
      </x:c>
      <x:c r="E69" s="32" t="str">
        <x:v>First framework adapter: turns an Application IR into a real Next.js App Router TypeScript project (config, TS interfaces from entities, App Router API routes with {param}-&gt;[param], a page per screen, overview) as a GeneratedProject. Deterministic/offline; no install, build, or disk write.</x:v>
      </x:c>
      <x:c r="F69" s="32" t="str">
        <x:v>P0</x:v>
      </x:c>
      <x:c r="G69" s="32" t="str">
        <x:v>Claude (Opus 4.8)</x:v>
      </x:c>
      <x:c r="H69" s="32" t="str">
        <x:v>Done</x:v>
      </x:c>
      <x:c r="I69" s="376" t="n">
        <x:v>1</x:v>
      </x:c>
      <x:c r="J69" s="32" t="str">
        <x:v>R-226</x:v>
      </x:c>
      <x:c r="K69" s="32" t="str">
        <x:v>Founder Stage 0</x:v>
      </x:c>
      <x:c r="L69" s="32" t="str">
        <x:v>Implementation 1a4f8a9b8cc2ca59be32142bb6c16992cb4dbd40; task verify passed with 134 agent-engine tests (9 new adapter/path tests); generates a 13-file Next.js app from the demo IR (entities-&gt;interfaces, {param}-&gt;[param] routes); no install/build/disk; cloud_calls=0.</x:v>
      </x:c>
      <x:c r="M69" s="32" t="str">
        <x:v>Reconstructed with founder approval from Brief Sections 9, 16, 40, 43, 46, 47, 74, 91, and 92.</x:v>
      </x:c>
    </x:row>
    <x:row r="70" s="40" customFormat="1" ht="34" customHeight="1">
      <x:c r="A70" s="32" t="str">
        <x:v>R-226</x:v>
      </x:c>
      <x:c r="B70" s="32" t="str">
        <x:v>MVP</x:v>
      </x:c>
      <x:c r="C70" s="32" t="str">
        <x:v>Product</x:v>
      </x:c>
      <x:c r="D70" s="32" t="str">
        <x:v>Framework adapter contract + file-set model</x:v>
      </x:c>
      <x:c r="E70" s="32" t="str">
        <x:v>The code-generation boundary: an immutable validated in-memory generated file-set (path-&gt;content) and a FrameworkAdapter contract turning an Application IR into a GeneratedProject for a target, plus a deterministic adapter registry. No disk writes, no code execution.</x:v>
      </x:c>
      <x:c r="F70" s="32" t="str">
        <x:v>P0</x:v>
      </x:c>
      <x:c r="G70" s="32" t="str">
        <x:v>Claude (Opus 4.8)</x:v>
      </x:c>
      <x:c r="H70" s="32" t="str">
        <x:v>Done</x:v>
      </x:c>
      <x:c r="I70" s="376" t="n">
        <x:v>1</x:v>
      </x:c>
      <x:c r="J70" s="32" t="str">
        <x:v>R-225</x:v>
      </x:c>
      <x:c r="K70" s="32" t="str">
        <x:v>Founder Stage 0</x:v>
      </x:c>
      <x:c r="L70" s="32" t="str">
        <x:v>Implementation f27bf416e99423d281e1c4e6f3eabc363848f95f; task verify passed with 125 agent-engine tests (10 new codegen-contract tests); pure in-memory file-set + adapter contract + registry; no disk writes; cloud_calls=0.</x:v>
      </x:c>
      <x:c r="M70" s="32" t="str">
        <x:v>Reconstructed with founder approval from Brief Sections 16, 17, 46, 47, 74, 75, 91, and 92.</x:v>
      </x:c>
    </x:row>
    <x:row r="71" s="40" customFormat="1" ht="34" customHeight="1">
      <x:c r="A71" s="32" t="str">
        <x:v>R-225</x:v>
      </x:c>
      <x:c r="B71" s="32" t="str">
        <x:v>MVP</x:v>
      </x:c>
      <x:c r="C71" s="32" t="str">
        <x:v>Product</x:v>
      </x:c>
      <x:c r="D71" s="32" t="str">
        <x:v>Application IR v1 (framework-neutral)</x:v>
      </x:c>
      <x:c r="E71" s="32" t="str">
        <x:v>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x:v>
      </x:c>
      <x:c r="F71" s="32" t="str">
        <x:v>P0</x:v>
      </x:c>
      <x:c r="G71" s="32" t="str">
        <x:v>Claude (Opus 4.8)</x:v>
      </x:c>
      <x:c r="H71" s="32" t="str">
        <x:v>Done</x:v>
      </x:c>
      <x:c r="I71" s="376" t="n">
        <x:v>1</x:v>
      </x:c>
      <x:c r="J71" s="32" t="str">
        <x:v>R-004</x:v>
      </x:c>
      <x:c r="K71" s="32" t="str">
        <x:v>Founder Stage 0</x:v>
      </x:c>
      <x:c r="L71" s="32" t="str">
        <x:v>Implementation ad5e4ddf5918ddf3e4005c21a07c21601faf2ee6; task verify passed with 115 agent-engine tests (17 new IR tests); validated, versioned, framework-neutral Application IR with lossless serialization; cloud_calls=0.</x:v>
      </x:c>
      <x:c r="M71" s="32" t="str">
        <x:v>Reconstructed with founder approval to begin the actual product per Brief Sections 2, 9, 24, 47, 77, 91, and 92.</x:v>
      </x:c>
    </x:row>
    <x:row r="72" s="40" customFormat="1" ht="34" customHeight="1">
      <x:c r="A72" s="32" t="str">
        <x:v>R-224</x:v>
      </x:c>
      <x:c r="B72" s="32" t="str">
        <x:v>MVP</x:v>
      </x:c>
      <x:c r="C72" s="32" t="str">
        <x:v>Console</x:v>
      </x:c>
      <x:c r="D72" s="32" t="str">
        <x:v>Next.js console upgrade</x:v>
      </x:c>
      <x:c r="E72" s="32" t="str">
        <x:v>Upgrade the static console to a real Next.js (App Router, TypeScript) app, preserving the overview.json data contract and design, with security headers and a production build.</x:v>
      </x:c>
      <x:c r="F72" s="32" t="str">
        <x:v>P1</x:v>
      </x:c>
      <x:c r="G72" s="32" t="str">
        <x:v>Claude (Opus 4.8)</x:v>
      </x:c>
      <x:c r="H72" s="32" t="str">
        <x:v>Deferred</x:v>
      </x:c>
      <x:c r="I72" s="376" t="n">
        <x:v>0</x:v>
      </x:c>
      <x:c r="J72" s="32" t="str">
        <x:v>R-222</x:v>
      </x:c>
      <x:c r="K72" s="32" t="str">
        <x:v>Founder Stage 0</x:v>
      </x:c>
      <x:c r="L72" s="32" t="str">
        <x:v>Deferred: Next.js SWC binary install times out in this sandbox (attempted 3x, incl. standalone with 10-min timeout). Static console (R-222) remains the working slice; resume plan recorded in .ai/tasks/R-224.md. No code committed; cloud_calls=0.</x:v>
      </x:c>
      <x:c r="M72" s="32" t="str">
        <x:v>Reconstructed with founder approval; DEFERRED because the Next.js SWC binary install times out in this sandbox (attempted 3x). Static console (R-222) remains the working slice.</x:v>
      </x:c>
    </x:row>
    <x:row r="73" s="40" customFormat="1" ht="34" customHeight="1">
      <x:c r="A73" s="32" t="str">
        <x:v>R-223</x:v>
      </x:c>
      <x:c r="B73" s="32" t="str">
        <x:v>MVP</x:v>
      </x:c>
      <x:c r="C73" s="32" t="str">
        <x:v>Models</x:v>
      </x:c>
      <x:c r="D73" s="32" t="str">
        <x:v>Env-driven fallback &amp; circuit-breaker wiring</x:v>
      </x:c>
      <x:c r="E73" s="32" t="str">
        <x:v>Configure the R-221 fallback chain and circuit breaker from the environment via build_gateway_from_env (OMNISTACKAI_FALLBACK_PROVIDERS + breaker threshold/cooldown); the console overview surfaces the resilience settings. Default single-provider behavior unchanged.</x:v>
      </x:c>
      <x:c r="F73" s="32" t="str">
        <x:v>P1</x:v>
      </x:c>
      <x:c r="G73" s="32" t="str">
        <x:v>Claude (Opus 4.8)</x:v>
      </x:c>
      <x:c r="H73" s="32" t="str">
        <x:v>Done</x:v>
      </x:c>
      <x:c r="I73" s="376" t="n">
        <x:v>1</x:v>
      </x:c>
      <x:c r="J73" s="32" t="str">
        <x:v>R-221</x:v>
      </x:c>
      <x:c r="K73" s="32" t="str">
        <x:v>Founder Stage 0</x:v>
      </x:c>
      <x:c r="L73" s="32" t="str">
        <x:v>Implementation 9ec809149ab91ebaa13b88ff0a15ebd382d7a728; task verify passed with 98 agent-engine tests (6 new); env-driven fallback chain + circuit breaker; default single-provider unchanged; cloud_calls=0.</x:v>
      </x:c>
      <x:c r="M73" s="32" t="str">
        <x:v>Reconstructed with founder approval (complete remaining items one by one) from Brief Sections 18.3, 84, 87, 89, 91, and 92.</x:v>
      </x:c>
    </x:row>
    <x:row r="74" s="40" customFormat="1" ht="34" customHeight="1">
      <x:c r="A74" s="32" t="str">
        <x:v>R-222</x:v>
      </x:c>
      <x:c r="B74" s="32" t="str">
        <x:v>MVP</x:v>
      </x:c>
      <x:c r="C74" s="32" t="str">
        <x:v>Console</x:v>
      </x:c>
      <x:c r="D74" s="32" t="str">
        <x:v>Platform console slice (model &amp; cost overview)</x:v>
      </x:c>
      <x:c r="E74" s="32" t="str">
        <x:v>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x:v>
      </x:c>
      <x:c r="F74" s="32" t="str">
        <x:v>P0</x:v>
      </x:c>
      <x:c r="G74" s="32" t="str">
        <x:v>Claude (Opus 4.8)</x:v>
      </x:c>
      <x:c r="H74" s="32" t="str">
        <x:v>Done</x:v>
      </x:c>
      <x:c r="I74" s="376" t="n">
        <x:v>1</x:v>
      </x:c>
      <x:c r="J74" s="32" t="str">
        <x:v>R-221</x:v>
      </x:c>
      <x:c r="K74" s="32" t="str">
        <x:v>Founder Stage 0</x:v>
      </x:c>
      <x:c r="L74" s="32" t="str">
        <x:v>Implementation c07bbcb1b9b8c010c6d64e3a0e09ac0c855102c8; task verify passed with 92 agent-engine tests (6 new overview tests); static console serves over HTTP (assets 200, 6 providers/5 prices/5 ladder), app.js node --check ok, no secret in snapshot; cloud_calls=0; Compose unchanged.</x:v>
      </x:c>
      <x:c r="M74" s="32" t="str">
        <x:v>Reconstructed with founder approval (advanced, smooth, secure platform) from Brief Sections 8, 15.2, 40, 41, 77, 90, 91, and 92.</x:v>
      </x:c>
    </x:row>
    <x:row r="75" s="40" customFormat="1" ht="34" customHeight="1">
      <x:c r="A75" s="32" t="str">
        <x:v>R-221</x:v>
      </x:c>
      <x:c r="B75" s="32" t="str">
        <x:v>MVP</x:v>
      </x:c>
      <x:c r="C75" s="32" t="str">
        <x:v>Models</x:v>
      </x:c>
      <x:c r="D75" s="32" t="str">
        <x:v>Cross-provider fallback and circuit breaking</x:v>
      </x:c>
      <x:c r="E75" s="32" t="str">
        <x:v>Add explicit allowlist-driven cross-provider fallback and per-provider circuit breaking to the gateway: on a retriable failure advance to the next allowed, registered, circuit-closed candidate; a per-provider breaker opens after repeated failures and recovers after a cooldown.</x:v>
      </x:c>
      <x:c r="F75" s="32" t="str">
        <x:v>P0</x:v>
      </x:c>
      <x:c r="G75" s="32" t="str">
        <x:v>Claude (Opus 4.8)</x:v>
      </x:c>
      <x:c r="H75" s="32" t="str">
        <x:v>Done</x:v>
      </x:c>
      <x:c r="I75" s="376" t="n">
        <x:v>1</x:v>
      </x:c>
      <x:c r="J75" s="32" t="str">
        <x:v>R-220</x:v>
      </x:c>
      <x:c r="K75" s="32" t="str">
        <x:v>Founder Stage 0</x:v>
      </x:c>
      <x:c r="L75" s="32" t="str">
        <x:v>Implementation d0ee9f75b0d124fe60f1121b7f2a70d3b73040de; task verify passed with 86 agent-engine tests (8 new fallback/circuit-breaker tests); explicit allowlist fail-over + per-provider breaker; cloud_calls=0; Compose unchanged (postgres, control-plane).</x:v>
      </x:c>
      <x:c r="M75" s="32" t="str">
        <x:v>Reconstructed with founder approval (complete both required items one by one) from Brief Sections 18, 18.3, 84, 89, 90, 91, and 92.</x:v>
      </x:c>
    </x:row>
    <x:row r="76" s="40" customFormat="1" ht="34" customHeight="1">
      <x:c r="A76" s="32" t="str">
        <x:v>R-220</x:v>
      </x:c>
      <x:c r="B76" s="32" t="str">
        <x:v>MVP</x:v>
      </x:c>
      <x:c r="C76" s="32" t="str">
        <x:v>Models</x:v>
      </x:c>
      <x:c r="D76" s="32" t="str">
        <x:v>Cloud streaming (Server-Sent Events)</x:v>
      </x:c>
      <x:c r="E76" s="32" t="str">
        <x:v>Replace the single-event cloud stream wrapper with true incremental SSE streaming for OpenAI-compatible, Anthropic, and Gemini adapters; ordered delta events plus a final event with measured usage, reusing the HTTP-safety bounds.</x:v>
      </x:c>
      <x:c r="F76" s="32" t="str">
        <x:v>P0</x:v>
      </x:c>
      <x:c r="G76" s="32" t="str">
        <x:v>Claude (Opus 4.8)</x:v>
      </x:c>
      <x:c r="H76" s="32" t="str">
        <x:v>Done</x:v>
      </x:c>
      <x:c r="I76" s="376" t="n">
        <x:v>1</x:v>
      </x:c>
      <x:c r="J76" s="32" t="str">
        <x:v>R-009</x:v>
      </x:c>
      <x:c r="K76" s="32" t="str">
        <x:v>Founder Stage 0</x:v>
      </x:c>
      <x:c r="L76" s="32" t="str">
        <x:v>Implementation 4e31841e730a6466da55843ff352f7144dd763e9; task verify passed with 78 agent-engine tests (5 new SSE streaming tests); true incremental streaming for OpenAI/Anthropic/Gemini; cloud_calls=0; Compose unchanged (postgres, control-plane).</x:v>
      </x:c>
      <x:c r="M76" s="32" t="str">
        <x:v>Reconstructed with founder approval (complete both required items one by one) from Brief Sections 18, 57, 84, 85, 90, 91, and 92.</x:v>
      </x:c>
    </x:row>
    <x:row r="77" s="40" customFormat="1" ht="34" customHeight="1">
      <x:c r="A77" s="32" t="str">
        <x:v>R-009</x:v>
      </x:c>
      <x:c r="B77" s="32" t="str">
        <x:v>MVP</x:v>
      </x:c>
      <x:c r="C77" s="32" t="str">
        <x:v>Models</x:v>
      </x:c>
      <x:c r="D77" s="32" t="str">
        <x:v>Usage and cost accounting</x:v>
      </x:c>
      <x:c r="E77" s="32" t="str">
        <x:v>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x:v>
      </x:c>
      <x:c r="F77" s="32" t="str">
        <x:v>P0</x:v>
      </x:c>
      <x:c r="G77" s="32" t="str">
        <x:v>Claude (Opus 4.8)</x:v>
      </x:c>
      <x:c r="H77" s="32" t="str">
        <x:v>Done</x:v>
      </x:c>
      <x:c r="I77" s="376" t="n">
        <x:v>1</x:v>
      </x:c>
      <x:c r="J77" s="32" t="str">
        <x:v>R-008</x:v>
      </x:c>
      <x:c r="K77" s="32" t="str">
        <x:v>Founder Stage 0</x:v>
      </x:c>
      <x:c r="L77" s="32" t="str">
        <x:v>Implementation f2fc8654c6a5717e292adcdc2abb5da2fd7409c2; task verify passed with 74 agent-engine tests (13 new accounting tests); deterministic accounting, metadata-only records, local_calls=0, cloud_calls=0; live gateway prints cost summary; Compose unchanged (postgres, control-plane).</x:v>
      </x:c>
      <x:c r="M77" s="32" t="str">
        <x:v>Reconstructed with founder approval (best-in-class usage/cost accounting) from Brief Sections 18.4, 23, 68, 84, 85, 90, 91, and 92.</x:v>
      </x:c>
    </x:row>
    <x:row r="78" s="40" customFormat="1" ht="34" customHeight="1">
      <x:c r="A78" s="32" t="str">
        <x:v>R-008</x:v>
      </x:c>
      <x:c r="B78" s="32" t="str">
        <x:v>MVP</x:v>
      </x:c>
      <x:c r="C78" s="32" t="str">
        <x:v>Models</x:v>
      </x:c>
      <x:c r="D78" s="32" t="str">
        <x:v>Cloud API-key provider adapters</x:v>
      </x:c>
      <x:c r="E78" s="32" t="str">
        <x:v>Add key-activated cloud ModelProvider adapters (Anthropic, OpenAI, Gemini, OpenRouter, Groq) behind the shared boundary with an env bootstrap; each works when its API key is set, with an overridable default model. Local Ollama stays default and no key means no cloud call.</x:v>
      </x:c>
      <x:c r="F78" s="32" t="str">
        <x:v>P0</x:v>
      </x:c>
      <x:c r="G78" s="32" t="str">
        <x:v>Claude (Opus 4.8)</x:v>
      </x:c>
      <x:c r="H78" s="32" t="str">
        <x:v>Done</x:v>
      </x:c>
      <x:c r="I78" s="376" t="n">
        <x:v>1</x:v>
      </x:c>
      <x:c r="J78" s="32" t="str">
        <x:v>R-007</x:v>
      </x:c>
      <x:c r="K78" s="32" t="str">
        <x:v>Founder Stage 0</x:v>
      </x:c>
      <x:c r="L78" s="32" t="str">
        <x:v>Implementation eeade72e84c7f1ebd71dfc8c0f7c2f4db0f79677; task verify passed with 61 agent-engine tests (19 new cloud/bootstrap tests); no cloud key configured so cloud_calls=0; local gateway run works on qwen2.5-coder:14b and qwen3.5:9b; Compose unchanged (postgres, control-plane).</x:v>
      </x:c>
      <x:c r="M78" s="32" t="str">
        <x:v>Reconstructed with founder approval (configure each provider; run locally on Ollama until keys are added) from Brief Sections 18, 18.3, 84, 85, 87, 90, 91, and 92.</x:v>
      </x:c>
    </x:row>
    <x:row r="79" s="40" customFormat="1" ht="34" customHeight="1">
      <x:c r="A79" s="32" t="str">
        <x:v>R-007</x:v>
      </x:c>
      <x:c r="B79" s="32" t="str">
        <x:v>MVP</x:v>
      </x:c>
      <x:c r="C79" s="32" t="str">
        <x:v>Models</x:v>
      </x:c>
      <x:c r="D79" s="32" t="str">
        <x:v>Balanced Model Gateway router</x:v>
      </x:c>
      <x:c r="E79" s="32" t="str">
        <x:v>Route model work under Balanced policy: reject L0 deterministic work, send sub-L3 work to the local Ollama provider, escalate L3/L4 to a cloud provider only when one is registered, guard the context budget, and never silently fall back to cloud.</x:v>
      </x:c>
      <x:c r="F79" s="32" t="str">
        <x:v>P0</x:v>
      </x:c>
      <x:c r="G79" s="32" t="str">
        <x:v>Claude (Opus 4.8)</x:v>
      </x:c>
      <x:c r="H79" s="32" t="str">
        <x:v>Done</x:v>
      </x:c>
      <x:c r="I79" s="376" t="n">
        <x:v>1</x:v>
      </x:c>
      <x:c r="J79" s="32" t="str">
        <x:v>R-006</x:v>
      </x:c>
      <x:c r="K79" s="32" t="str">
        <x:v>Founder Stage 0</x:v>
      </x:c>
      <x:c r="L79" s="32" t="str">
        <x:v>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x:v>
      </x:c>
      <x:c r="M79" s="32" t="str">
        <x:v>Reconstructed with founder approval from Brief Sections 18, 18.1, 18.2, 18.3, 84, 85, 91, and 92; founder intent to support both cloud API-key and local providers one at a time.</x:v>
      </x:c>
    </x:row>
    <x:row r="80" s="40" customFormat="1" ht="34" customHeight="1">
      <x:c r="A80" s="32" t="str">
        <x:v>R-006</x:v>
      </x:c>
      <x:c r="B80" s="32" t="str">
        <x:v>MVP</x:v>
      </x:c>
      <x:c r="C80" s="32" t="str">
        <x:v>Models</x:v>
      </x:c>
      <x:c r="D80" s="32" t="str">
        <x:v>Loopback Ollama provider adapter</x:v>
      </x:c>
      <x:c r="E80" s="32" t="str">
        <x:v>Implement bounded health, discovery, chat generation, and NDJSON streaming against the accepted ModelProvider contract.</x:v>
      </x:c>
      <x:c r="F80" s="32" t="str">
        <x:v>P0</x:v>
      </x:c>
      <x:c r="G80" s="32" t="str">
        <x:v>Codex</x:v>
      </x:c>
      <x:c r="H80" s="32" t="str">
        <x:v>Done</x:v>
      </x:c>
      <x:c r="I80" s="376" t="n">
        <x:v>1</x:v>
      </x:c>
      <x:c r="J80" s="32" t="str">
        <x:v>R-005</x:v>
      </x:c>
      <x:c r="K80" s="32" t="str">
        <x:v>Founder Stage 0</x:v>
      </x:c>
      <x:c r="L80" s="32" t="str">
        <x:v>Implementation 8061ca3b129539ada4b0838d7d70c8acd3df1ea3; task verify, adapter tests, and live loopback conformance passed; local_calls=3, cloud_calls=0</x:v>
      </x:c>
      <x:c r="M80" s="32" t="str">
        <x:v>Reconstructed with founder approval from Brief Sections 18.3, 75, 84, 85, 91, and 92.</x:v>
      </x:c>
    </x:row>
    <x:row r="81" s="40" customFormat="1" ht="34" customHeight="1">
      <x:c r="A81" s="32" t="str">
        <x:v>R-005</x:v>
      </x:c>
      <x:c r="B81" s="32" t="str">
        <x:v>MVP</x:v>
      </x:c>
      <x:c r="C81" s="32" t="str">
        <x:v>Models</x:v>
      </x:c>
      <x:c r="D81" s="32" t="str">
        <x:v>ModelProvider contract and registry</x:v>
      </x:c>
      <x:c r="E81" s="32" t="str">
        <x:v>Define the vendor-neutral Python provider protocol, typed model-call records, and deterministic registry before any adapter exists.</x:v>
      </x:c>
      <x:c r="F81" s="32" t="str">
        <x:v>P0</x:v>
      </x:c>
      <x:c r="G81" s="32" t="str">
        <x:v>Codex</x:v>
      </x:c>
      <x:c r="H81" s="32" t="str">
        <x:v>Done</x:v>
      </x:c>
      <x:c r="I81" s="376" t="n">
        <x:v>1</x:v>
      </x:c>
      <x:c r="J81" s="32" t="str">
        <x:v>R-004</x:v>
      </x:c>
      <x:c r="K81" s="32" t="str">
        <x:v>Founder Stage 0</x:v>
      </x:c>
      <x:c r="L81" s="32" t="str">
        <x:v>Implementation afdc4ba9c14b231dece9533dbdd39e1e79e9ace3; task verify and 13 contract tests passed; local_calls=2 inconclusive, cloud_calls=0</x:v>
      </x:c>
      <x:c r="M81" s="32" t="str">
        <x:v>Reconstructed with founder approval from Brief Sections 18.3, 75, 83, 84, and 91.</x:v>
      </x:c>
    </x:row>
    <x:row r="82" s="40" customFormat="1" ht="34" customHeight="1">
      <x:c r="A82" s="32" t="str">
        <x:v>R-004</x:v>
      </x:c>
      <x:c r="B82" s="32" t="str">
        <x:v>MVP</x:v>
      </x:c>
      <x:c r="C82" s="32" t="str">
        <x:v>Backend</x:v>
      </x:c>
      <x:c r="D82" s="32" t="str">
        <x:v>Go control-plane foundation</x:v>
      </x:c>
      <x:c r="E82" s="32" t="str">
        <x:v>Add the minimal Go modular-monolith service with typed configuration, liveness, PostgreSQL readiness, and graceful shutdown.</x:v>
      </x:c>
      <x:c r="F82" s="32" t="str">
        <x:v>P0</x:v>
      </x:c>
      <x:c r="G82" s="32" t="str">
        <x:v>Codex</x:v>
      </x:c>
      <x:c r="H82" s="32" t="str">
        <x:v>Done</x:v>
      </x:c>
      <x:c r="I82" s="376" t="n">
        <x:v>1</x:v>
      </x:c>
      <x:c r="J82" s="32" t="str">
        <x:v>R-003</x:v>
      </x:c>
      <x:c r="K82" s="32" t="str">
        <x:v>Founder Stage 0</x:v>
      </x:c>
      <x:c r="L82" s="32" t="str">
        <x:v>Implementation c44fd8d013e3ec1497ccb4ab55f1433df042aeb5; task verify, race tests, and live health/readiness passed; local_calls=1, cloud_calls=0</x:v>
      </x:c>
      <x:c r="M82" s="32" t="str">
        <x:v>Reconstructed with founder approval from Brief Sections 33, 74, and 84.1.</x:v>
      </x:c>
    </x:row>
    <x:row r="83" s="40" customFormat="1" ht="34" customHeight="1">
      <x:c r="A83" s="32" t="str">
        <x:v>R-003</x:v>
      </x:c>
      <x:c r="B83" s="32" t="str">
        <x:v>MVP</x:v>
      </x:c>
      <x:c r="C83" s="32" t="str">
        <x:v>Models</x:v>
      </x:c>
      <x:c r="D83" s="32" t="str">
        <x:v>Local Ollama Stage 0 bootstrap</x:v>
      </x:c>
      <x:c r="E83" s="32" t="str">
        <x:v>Validate a loopback-only Ollama runtime, discover the configured local coder, and run a deterministic inference smoke test.</x:v>
      </x:c>
      <x:c r="F83" s="32" t="str">
        <x:v>P0</x:v>
      </x:c>
      <x:c r="G83" s="32" t="str">
        <x:v>Codex</x:v>
      </x:c>
      <x:c r="H83" s="32" t="str">
        <x:v>Done</x:v>
      </x:c>
      <x:c r="I83" s="376" t="n">
        <x:v>1</x:v>
      </x:c>
      <x:c r="J83" s="32" t="str">
        <x:v>R-002</x:v>
      </x:c>
      <x:c r="K83" s="32" t="str">
        <x:v>Founder Stage 0</x:v>
      </x:c>
      <x:c r="L83" s="32" t="str">
        <x:v>task verify: PASS; task ollama:verify: qwen2.5-coder:14b generated 6 tokens, cloud calls 0; implementation commit 822db27aa9c9e6ab836c28abba10f41dc27918d7</x:v>
      </x:c>
      <x:c r="M83" s="32" t="str">
        <x:v>Reconstructed with founder approval from Brief Sections 79 and 84.1.</x:v>
      </x:c>
    </x:row>
    <x:row r="84" s="40" customFormat="1" ht="34" customHeight="1">
      <x:c r="A84" s="32" t="str">
        <x:v>R-002</x:v>
      </x:c>
      <x:c r="B84" s="32" t="str">
        <x:v>MVP</x:v>
      </x:c>
      <x:c r="C84" s="32" t="str">
        <x:v>Data</x:v>
      </x:c>
      <x:c r="D84" s="32" t="str">
        <x:v>PostgreSQL + pgvector local bootstrap</x:v>
      </x:c>
      <x:c r="E84" s="32" t="str">
        <x:v>Add local Docker Compose PostgreSQL with pgvector and a versioned initial migration.</x:v>
      </x:c>
      <x:c r="F84" s="32" t="str">
        <x:v>P0</x:v>
      </x:c>
      <x:c r="G84" s="32" t="str">
        <x:v>Codex</x:v>
      </x:c>
      <x:c r="H84" s="32" t="str">
        <x:v>Done</x:v>
      </x:c>
      <x:c r="I84" s="376" t="n">
        <x:v>1</x:v>
      </x:c>
      <x:c r="J84" s="32" t="str">
        <x:v>R-001</x:v>
      </x:c>
      <x:c r="K84" s="32" t="str">
        <x:v>Founder Stage 0</x:v>
      </x:c>
      <x:c r="L84" s="32" t="str">
        <x:v>task verify: PASS; task db:verify: PostgreSQL healthy, pgvector 0.8.6, migration 1; implementation commit 56bf4b0dea5486f8d6dcde0c7b1054249ebbb064</x:v>
      </x:c>
      <x:c r="M84" s="32" t="str">
        <x:v>Reconstructed with founder approval from the kickoff kit's canonical R-002 example.</x:v>
      </x:c>
    </x:row>
    <x:row r="85" s="40" customFormat="1" ht="34" customHeight="1">
      <x:c r="A85" s="32" t="str">
        <x:v>R-001</x:v>
      </x:c>
      <x:c r="B85" s="32" t="str">
        <x:v>MVP</x:v>
      </x:c>
      <x:c r="C85" s="32" t="str">
        <x:v>Foundation</x:v>
      </x:c>
      <x:c r="D85" s="32" t="str">
        <x:v>Platform monorepo bootstrap</x:v>
      </x:c>
      <x:c r="E85" s="32" t="str">
        <x:v>Bootstrap the Section 74 skeleton and Stage 0 portable onboarding, verification, state, and handoff contract without implementing services or infrastructure.</x:v>
      </x:c>
      <x:c r="F85" s="32" t="str">
        <x:v>P0</x:v>
      </x:c>
      <x:c r="G85" s="32" t="str">
        <x:v>Codex</x:v>
      </x:c>
      <x:c r="H85" s="32" t="str">
        <x:v>Done</x:v>
      </x:c>
      <x:c r="I85" s="376" t="n">
        <x:v>1</x:v>
      </x:c>
      <x:c r="J85" s="32" t="str">
        <x:v>None</x:v>
      </x:c>
      <x:c r="K85" s="32" t="str">
        <x:v>Founder Stage 0</x:v>
      </x:c>
      <x:c r="L85" s="32" t="str">
        <x:v>task verify: PASS; implementation commit 655f01fa0425e8df9022ce6bb1d2040f56b1cb73</x:v>
      </x:c>
      <x:c r="M85" s="32" t="str">
        <x:v>Reconstructed with founder approval because R-001 through R-009 were absent from the supplied workbook.</x:v>
      </x:c>
    </x:row>
    <x:row r="86" s="40" customFormat="1" ht="34" customHeight="1">
      <x:c r="A86" s="32" t="str">
        <x:v>R-010</x:v>
      </x:c>
      <x:c r="B86" s="32" t="str">
        <x:v>MVP</x:v>
      </x:c>
      <x:c r="C86" s="32" t="str">
        <x:v>Agents</x:v>
      </x:c>
      <x:c r="D86" s="32" t="str">
        <x:v>Native iOS Agent</x:v>
      </x:c>
      <x:c r="E86" s="32" t="str">
        <x:v>Activated only for native iOS targets or native modules; generates Swift + SwiftUI using project conventions.</x:v>
      </x:c>
      <x:c r="F86" s="32" t="str">
        <x:v>P0</x:v>
      </x:c>
      <x:c r="G86" s="32"/>
      <x:c r="H86" s="32" t="str">
        <x:v>Not Started</x:v>
      </x:c>
      <x:c r="I86" s="376" t="n">
        <x:v>0</x:v>
      </x:c>
      <x:c r="J86" s="32"/>
      <x:c r="K86" s="32"/>
      <x:c r="L86" s="32"/>
      <x:c r="M86" s="32"/>
    </x:row>
    <x:row r="87" s="40" customFormat="1" ht="34" customHeight="1">
      <x:c r="A87" s="32" t="str">
        <x:v>R-011</x:v>
      </x:c>
      <x:c r="B87" s="32" t="str">
        <x:v>MVP</x:v>
      </x:c>
      <x:c r="C87" s="32" t="str">
        <x:v>Agents</x:v>
      </x:c>
      <x:c r="D87" s="32" t="str">
        <x:v>Web/Admin Agent</x:v>
      </x:c>
      <x:c r="E87" s="32" t="str">
        <x:v>Generate/modify React/Next.js TypeScript.</x:v>
      </x:c>
      <x:c r="F87" s="32" t="str">
        <x:v>P0</x:v>
      </x:c>
      <x:c r="G87" s="32"/>
      <x:c r="H87" s="32" t="str">
        <x:v>Not Started</x:v>
      </x:c>
      <x:c r="I87" s="376" t="n">
        <x:v>0</x:v>
      </x:c>
      <x:c r="J87" s="32"/>
      <x:c r="K87" s="32"/>
      <x:c r="L87" s="32"/>
      <x:c r="M87" s="32"/>
    </x:row>
    <x:row r="88" s="40" customFormat="1" ht="34" customHeight="1">
      <x:c r="A88" s="32" t="str">
        <x:v>R-012</x:v>
      </x:c>
      <x:c r="B88" s="32" t="str">
        <x:v>MVP</x:v>
      </x:c>
      <x:c r="C88" s="32" t="str">
        <x:v>Agents</x:v>
      </x:c>
      <x:c r="D88" s="32" t="str">
        <x:v>Backend Agent</x:v>
      </x:c>
      <x:c r="E88" s="32" t="str">
        <x:v>Generate/modify backend services; platform default Go/Python, generated app backend selectable.</x:v>
      </x:c>
      <x:c r="F88" s="32" t="str">
        <x:v>P0</x:v>
      </x:c>
      <x:c r="G88" s="32"/>
      <x:c r="H88" s="32" t="str">
        <x:v>Not Started</x:v>
      </x:c>
      <x:c r="I88" s="376" t="n">
        <x:v>0</x:v>
      </x:c>
      <x:c r="J88" s="32"/>
      <x:c r="K88" s="32"/>
      <x:c r="L88" s="32"/>
      <x:c r="M88" s="32"/>
    </x:row>
    <x:row r="89" s="40" customFormat="1" ht="34" customHeight="1">
      <x:c r="A89" s="32" t="str">
        <x:v>R-013</x:v>
      </x:c>
      <x:c r="B89" s="32" t="str">
        <x:v>MVP</x:v>
      </x:c>
      <x:c r="C89" s="32" t="str">
        <x:v>Agents</x:v>
      </x:c>
      <x:c r="D89" s="32" t="str">
        <x:v>Database Agent</x:v>
      </x:c>
      <x:c r="E89" s="32" t="str">
        <x:v>Schema, indexes, migrations, rollback strategy and query checks.</x:v>
      </x:c>
      <x:c r="F89" s="32" t="str">
        <x:v>P0</x:v>
      </x:c>
      <x:c r="G89" s="32"/>
      <x:c r="H89" s="32" t="str">
        <x:v>Not Started</x:v>
      </x:c>
      <x:c r="I89" s="376" t="n">
        <x:v>0</x:v>
      </x:c>
      <x:c r="J89" s="32"/>
      <x:c r="K89" s="32"/>
      <x:c r="L89" s="32"/>
      <x:c r="M89" s="32"/>
    </x:row>
    <x:row r="90" s="40" customFormat="1" ht="34" customHeight="1">
      <x:c r="A90" s="32" t="str">
        <x:v>R-014</x:v>
      </x:c>
      <x:c r="B90" s="32" t="str">
        <x:v>MVP</x:v>
      </x:c>
      <x:c r="C90" s="32" t="str">
        <x:v>Agents</x:v>
      </x:c>
      <x:c r="D90" s="32" t="str">
        <x:v>QA Agent</x:v>
      </x:c>
      <x:c r="E90" s="32" t="str">
        <x:v>Select tests from impact graph and add tests for new behavior.</x:v>
      </x:c>
      <x:c r="F90" s="32" t="str">
        <x:v>P0</x:v>
      </x:c>
      <x:c r="G90" s="32"/>
      <x:c r="H90" s="32" t="str">
        <x:v>Not Started</x:v>
      </x:c>
      <x:c r="I90" s="376" t="n">
        <x:v>0</x:v>
      </x:c>
      <x:c r="J90" s="32"/>
      <x:c r="K90" s="32"/>
      <x:c r="L90" s="32"/>
      <x:c r="M90" s="32"/>
    </x:row>
    <x:row r="91" s="40" customFormat="1" ht="34" customHeight="1">
      <x:c r="A91" s="32" t="str">
        <x:v>R-015</x:v>
      </x:c>
      <x:c r="B91" s="32" t="str">
        <x:v>MVP</x:v>
      </x:c>
      <x:c r="C91" s="32" t="str">
        <x:v>Agents</x:v>
      </x:c>
      <x:c r="D91" s="32" t="str">
        <x:v>Security Review Agent</x:v>
      </x:c>
      <x:c r="E91" s="32" t="str">
        <x:v>Scan change for auth, secrets, input validation and dependency risk.</x:v>
      </x:c>
      <x:c r="F91" s="32" t="str">
        <x:v>P0</x:v>
      </x:c>
      <x:c r="G91" s="32"/>
      <x:c r="H91" s="32" t="str">
        <x:v>Not Started</x:v>
      </x:c>
      <x:c r="I91" s="376" t="n">
        <x:v>0</x:v>
      </x:c>
      <x:c r="J91" s="32"/>
      <x:c r="K91" s="32"/>
      <x:c r="L91" s="32"/>
      <x:c r="M91" s="32"/>
    </x:row>
    <x:row r="92" s="40" customFormat="1" ht="34" customHeight="1">
      <x:c r="A92" s="32" t="str">
        <x:v>R-016</x:v>
      </x:c>
      <x:c r="B92" s="32" t="str">
        <x:v>MVP</x:v>
      </x:c>
      <x:c r="C92" s="32" t="str">
        <x:v>Change Safety</x:v>
      </x:c>
      <x:c r="D92" s="32" t="str">
        <x:v>Change Impact Engine v1</x:v>
      </x:c>
      <x:c r="E92" s="32" t="str">
        <x:v>Identify affected modules/APIs/schema/tests before edits.</x:v>
      </x:c>
      <x:c r="F92" s="32" t="str">
        <x:v>P0</x:v>
      </x:c>
      <x:c r="G92" s="32"/>
      <x:c r="H92" s="32" t="str">
        <x:v>Not Started</x:v>
      </x:c>
      <x:c r="I92" s="376" t="n">
        <x:v>0</x:v>
      </x:c>
      <x:c r="J92" s="32"/>
      <x:c r="K92" s="32"/>
      <x:c r="L92" s="32"/>
      <x:c r="M92" s="32"/>
    </x:row>
    <x:row r="93" s="40" customFormat="1" ht="34" customHeight="1">
      <x:c r="A93" s="32" t="str">
        <x:v>R-017</x:v>
      </x:c>
      <x:c r="B93" s="32" t="str">
        <x:v>MVP</x:v>
      </x:c>
      <x:c r="C93" s="32" t="str">
        <x:v>Change Safety</x:v>
      </x:c>
      <x:c r="D93" s="32" t="str">
        <x:v>Blast-radius policy</x:v>
      </x:c>
      <x:c r="E93" s="32" t="str">
        <x:v>Reject or require review when changed files exceed expected scope.</x:v>
      </x:c>
      <x:c r="F93" s="32" t="str">
        <x:v>P0</x:v>
      </x:c>
      <x:c r="G93" s="32"/>
      <x:c r="H93" s="32" t="str">
        <x:v>Not Started</x:v>
      </x:c>
      <x:c r="I93" s="376" t="n">
        <x:v>0</x:v>
      </x:c>
      <x:c r="J93" s="32"/>
      <x:c r="K93" s="32"/>
      <x:c r="L93" s="32"/>
      <x:c r="M93" s="32"/>
    </x:row>
    <x:row r="94" s="40" customFormat="1" ht="34" customHeight="1">
      <x:c r="A94" s="32" t="str">
        <x:v>R-018</x:v>
      </x:c>
      <x:c r="B94" s="32" t="str">
        <x:v>MVP</x:v>
      </x:c>
      <x:c r="C94" s="32" t="str">
        <x:v>Code Intelligence</x:v>
      </x:c>
      <x:c r="D94" s="32" t="str">
        <x:v>Repository index</x:v>
      </x:c>
      <x:c r="E94" s="32" t="str">
        <x:v>Symbols, imports, routes, schemas and dependencies indexed per commit.</x:v>
      </x:c>
      <x:c r="F94" s="32" t="str">
        <x:v>P0</x:v>
      </x:c>
      <x:c r="G94" s="32"/>
      <x:c r="H94" s="32" t="str">
        <x:v>Not Started</x:v>
      </x:c>
      <x:c r="I94" s="376" t="n">
        <x:v>0</x:v>
      </x:c>
      <x:c r="J94" s="32"/>
      <x:c r="K94" s="32"/>
      <x:c r="L94" s="32"/>
      <x:c r="M94" s="32"/>
    </x:row>
    <x:row r="95" s="40" customFormat="1" ht="34" customHeight="1">
      <x:c r="A95" s="32" t="str">
        <x:v>R-019</x:v>
      </x:c>
      <x:c r="B95" s="32" t="str">
        <x:v>MVP</x:v>
      </x:c>
      <x:c r="C95" s="32" t="str">
        <x:v>Code Intelligence</x:v>
      </x:c>
      <x:c r="D95" s="32" t="str">
        <x:v>Semantic context retrieval</x:v>
      </x:c>
      <x:c r="E95" s="32" t="str">
        <x:v>Send only relevant code/context to models.</x:v>
      </x:c>
      <x:c r="F95" s="32" t="str">
        <x:v>P0</x:v>
      </x:c>
      <x:c r="G95" s="32"/>
      <x:c r="H95" s="32" t="str">
        <x:v>Not Started</x:v>
      </x:c>
      <x:c r="I95" s="376" t="n">
        <x:v>0</x:v>
      </x:c>
      <x:c r="J95" s="32"/>
      <x:c r="K95" s="32"/>
      <x:c r="L95" s="32"/>
      <x:c r="M95" s="32"/>
    </x:row>
    <x:row r="96" s="40" customFormat="1" ht="34" customHeight="1">
      <x:c r="A96" s="32" t="str">
        <x:v>R-020</x:v>
      </x:c>
      <x:c r="B96" s="32" t="str">
        <x:v>MVP</x:v>
      </x:c>
      <x:c r="C96" s="32" t="str">
        <x:v>Code Editing</x:v>
      </x:c>
      <x:c r="D96" s="32" t="str">
        <x:v>Structured patch engine</x:v>
      </x:c>
      <x:c r="E96" s="32" t="str">
        <x:v>Prefer symbol/AST-aware targeted patches over full-file rewrites.</x:v>
      </x:c>
      <x:c r="F96" s="32" t="str">
        <x:v>P0</x:v>
      </x:c>
      <x:c r="G96" s="32"/>
      <x:c r="H96" s="32" t="str">
        <x:v>Not Started</x:v>
      </x:c>
      <x:c r="I96" s="376" t="n">
        <x:v>0</x:v>
      </x:c>
      <x:c r="J96" s="32"/>
      <x:c r="K96" s="32"/>
      <x:c r="L96" s="32"/>
      <x:c r="M96" s="32"/>
    </x:row>
    <x:row r="97" s="40" customFormat="1" ht="34" customHeight="1">
      <x:c r="A97" s="32" t="str">
        <x:v>R-021</x:v>
      </x:c>
      <x:c r="B97" s="32" t="str">
        <x:v>MVP</x:v>
      </x:c>
      <x:c r="C97" s="32" t="str">
        <x:v>Git</x:v>
      </x:c>
      <x:c r="D97" s="32" t="str">
        <x:v>Branch per task</x:v>
      </x:c>
      <x:c r="E97" s="32" t="str">
        <x:v>Every AI task runs on its own branch/checkpoint.</x:v>
      </x:c>
      <x:c r="F97" s="32" t="str">
        <x:v>P0</x:v>
      </x:c>
      <x:c r="G97" s="32"/>
      <x:c r="H97" s="32" t="str">
        <x:v>Not Started</x:v>
      </x:c>
      <x:c r="I97" s="376" t="n">
        <x:v>0</x:v>
      </x:c>
      <x:c r="J97" s="32"/>
      <x:c r="K97" s="32"/>
      <x:c r="L97" s="32"/>
      <x:c r="M97" s="32"/>
    </x:row>
    <x:row r="98" s="40" customFormat="1" ht="34" customHeight="1">
      <x:c r="A98" s="32" t="str">
        <x:v>R-022</x:v>
      </x:c>
      <x:c r="B98" s="32" t="str">
        <x:v>MVP</x:v>
      </x:c>
      <x:c r="C98" s="32" t="str">
        <x:v>Git</x:v>
      </x:c>
      <x:c r="D98" s="32" t="str">
        <x:v>Non-destructive rollback</x:v>
      </x:c>
      <x:c r="E98" s="32" t="str">
        <x:v>Use Git revert/cherry-pick; never destroy later work as the only rollback method.</x:v>
      </x:c>
      <x:c r="F98" s="32" t="str">
        <x:v>P0</x:v>
      </x:c>
      <x:c r="G98" s="32"/>
      <x:c r="H98" s="32" t="str">
        <x:v>Not Started</x:v>
      </x:c>
      <x:c r="I98" s="376" t="n">
        <x:v>0</x:v>
      </x:c>
      <x:c r="J98" s="32"/>
      <x:c r="K98" s="32"/>
      <x:c r="L98" s="32"/>
      <x:c r="M98" s="32"/>
    </x:row>
    <x:row r="99" s="40" customFormat="1" ht="34" customHeight="1">
      <x:c r="A99" s="32" t="str">
        <x:v>R-023</x:v>
      </x:c>
      <x:c r="B99" s="32" t="str">
        <x:v>MVP</x:v>
      </x:c>
      <x:c r="C99" s="32" t="str">
        <x:v>Models</x:v>
      </x:c>
      <x:c r="D99" s="32" t="str">
        <x:v>Model gateway</x:v>
      </x:c>
      <x:c r="E99" s="32" t="str">
        <x:v>One internal API for OpenAI/Anthropic/Gemini and future models.</x:v>
      </x:c>
      <x:c r="F99" s="32" t="str">
        <x:v>P0</x:v>
      </x:c>
      <x:c r="G99" s="32"/>
      <x:c r="H99" s="32" t="str">
        <x:v>Not Started</x:v>
      </x:c>
      <x:c r="I99" s="376" t="n">
        <x:v>0</x:v>
      </x:c>
      <x:c r="J99" s="32"/>
      <x:c r="K99" s="32"/>
      <x:c r="L99" s="32"/>
      <x:c r="M99" s="32"/>
    </x:row>
    <x:row r="100" s="40" customFormat="1" ht="34" customHeight="1">
      <x:c r="A100" s="32" t="str">
        <x:v>R-024</x:v>
      </x:c>
      <x:c r="B100" s="32" t="str">
        <x:v>MVP</x:v>
      </x:c>
      <x:c r="C100" s="32" t="str">
        <x:v>Models</x:v>
      </x:c>
      <x:c r="D100" s="32" t="str">
        <x:v>Routing + fallback</x:v>
      </x:c>
      <x:c r="E100" s="32" t="str">
        <x:v>Route by task quality/cost/latency; retry on another approved model after provider failure.</x:v>
      </x:c>
      <x:c r="F100" s="32" t="str">
        <x:v>P0</x:v>
      </x:c>
      <x:c r="G100" s="32"/>
      <x:c r="H100" s="32" t="str">
        <x:v>Not Started</x:v>
      </x:c>
      <x:c r="I100" s="376" t="n">
        <x:v>0</x:v>
      </x:c>
      <x:c r="J100" s="32"/>
      <x:c r="K100" s="32"/>
      <x:c r="L100" s="32"/>
      <x:c r="M100" s="32"/>
    </x:row>
    <x:row r="101" s="40" customFormat="1" ht="34" customHeight="1">
      <x:c r="A101" s="32" t="str">
        <x:v>R-025</x:v>
      </x:c>
      <x:c r="B101" s="32" t="str">
        <x:v>MVP</x:v>
      </x:c>
      <x:c r="C101" s="32" t="str">
        <x:v>Models</x:v>
      </x:c>
      <x:c r="D101" s="32" t="str">
        <x:v>Per-task budgets</x:v>
      </x:c>
      <x:c r="E101" s="32" t="str">
        <x:v>Token/tool/time/retry limits prevent runaway loops.</x:v>
      </x:c>
      <x:c r="F101" s="32" t="str">
        <x:v>P0</x:v>
      </x:c>
      <x:c r="G101" s="32"/>
      <x:c r="H101" s="32" t="str">
        <x:v>Not Started</x:v>
      </x:c>
      <x:c r="I101" s="376" t="n">
        <x:v>0</x:v>
      </x:c>
      <x:c r="J101" s="32"/>
      <x:c r="K101" s="32"/>
      <x:c r="L101" s="32"/>
      <x:c r="M101" s="32"/>
    </x:row>
    <x:row r="102" s="40" customFormat="1" ht="34" customHeight="1">
      <x:c r="A102" s="32" t="str">
        <x:v>R-026</x:v>
      </x:c>
      <x:c r="B102" s="32" t="str">
        <x:v>MVP</x:v>
      </x:c>
      <x:c r="C102" s="32" t="str">
        <x:v>Data</x:v>
      </x:c>
      <x:c r="D102" s="32" t="str">
        <x:v>PostgreSQL</x:v>
      </x:c>
      <x:c r="E102" s="32" t="str">
        <x:v>Platform metadata, users, projects, billing, IR and audit records.</x:v>
      </x:c>
      <x:c r="F102" s="32" t="str">
        <x:v>P0</x:v>
      </x:c>
      <x:c r="G102" s="32"/>
      <x:c r="H102" s="32" t="str">
        <x:v>Not Started</x:v>
      </x:c>
      <x:c r="I102" s="376" t="n">
        <x:v>0</x:v>
      </x:c>
      <x:c r="J102" s="32"/>
      <x:c r="K102" s="32"/>
      <x:c r="L102" s="32"/>
      <x:c r="M102" s="32"/>
    </x:row>
    <x:row r="103" s="40" customFormat="1" ht="34" customHeight="1">
      <x:c r="A103" s="32" t="str">
        <x:v>R-027</x:v>
      </x:c>
      <x:c r="B103" s="32" t="str">
        <x:v>MVP</x:v>
      </x:c>
      <x:c r="C103" s="32" t="str">
        <x:v>Data</x:v>
      </x:c>
      <x:c r="D103" s="32" t="str">
        <x:v>pgvector initially</x:v>
      </x:c>
      <x:c r="E103" s="32" t="str">
        <x:v>Project/code embeddings in PostgreSQL to avoid operating a separate vector DB too early.</x:v>
      </x:c>
      <x:c r="F103" s="32" t="str">
        <x:v>P0</x:v>
      </x:c>
      <x:c r="G103" s="32"/>
      <x:c r="H103" s="32" t="str">
        <x:v>Not Started</x:v>
      </x:c>
      <x:c r="I103" s="376" t="n">
        <x:v>0</x:v>
      </x:c>
      <x:c r="J103" s="32"/>
      <x:c r="K103" s="32"/>
      <x:c r="L103" s="32"/>
      <x:c r="M103" s="32"/>
    </x:row>
    <x:row r="104" s="40" customFormat="1" ht="34" customHeight="1">
      <x:c r="A104" s="32" t="str">
        <x:v>R-028</x:v>
      </x:c>
      <x:c r="B104" s="32" t="str">
        <x:v>MVP</x:v>
      </x:c>
      <x:c r="C104" s="32" t="str">
        <x:v>Data</x:v>
      </x:c>
      <x:c r="D104" s="32" t="str">
        <x:v>Redis</x:v>
      </x:c>
      <x:c r="E104" s="32" t="str">
        <x:v>Cache, short-lived agent state, rate limits and queues where appropriate.</x:v>
      </x:c>
      <x:c r="F104" s="32" t="str">
        <x:v>P0</x:v>
      </x:c>
      <x:c r="G104" s="32"/>
      <x:c r="H104" s="32" t="str">
        <x:v>Not Started</x:v>
      </x:c>
      <x:c r="I104" s="376" t="n">
        <x:v>0</x:v>
      </x:c>
      <x:c r="J104" s="32"/>
      <x:c r="K104" s="32"/>
      <x:c r="L104" s="32"/>
      <x:c r="M104" s="32"/>
    </x:row>
    <x:row r="105" s="40" customFormat="1" ht="34" customHeight="1">
      <x:c r="A105" s="32" t="str">
        <x:v>R-029</x:v>
      </x:c>
      <x:c r="B105" s="32" t="str">
        <x:v>MVP</x:v>
      </x:c>
      <x:c r="C105" s="32" t="str">
        <x:v>Data</x:v>
      </x:c>
      <x:c r="D105" s="32" t="str">
        <x:v>NATS / managed queue</x:v>
      </x:c>
      <x:c r="E105" s="32" t="str">
        <x:v>Agent/build events with simpler operations than Kafka for MVP.</x:v>
      </x:c>
      <x:c r="F105" s="32" t="str">
        <x:v>P0</x:v>
      </x:c>
      <x:c r="G105" s="32"/>
      <x:c r="H105" s="32" t="str">
        <x:v>Not Started</x:v>
      </x:c>
      <x:c r="I105" s="376" t="n">
        <x:v>0</x:v>
      </x:c>
      <x:c r="J105" s="32"/>
      <x:c r="K105" s="32"/>
      <x:c r="L105" s="32"/>
      <x:c r="M105" s="32"/>
    </x:row>
    <x:row r="106" s="40" customFormat="1" ht="34" customHeight="1">
      <x:c r="A106" s="32" t="str">
        <x:v>R-030</x:v>
      </x:c>
      <x:c r="B106" s="32" t="str">
        <x:v>MVP</x:v>
      </x:c>
      <x:c r="C106" s="32" t="str">
        <x:v>Data</x:v>
      </x:c>
      <x:c r="D106" s="32" t="str">
        <x:v>S3-compatible object storage</x:v>
      </x:c>
      <x:c r="E106" s="32" t="str">
        <x:v>Builds, screenshots, archives, test artifacts and logs.</x:v>
      </x:c>
      <x:c r="F106" s="32" t="str">
        <x:v>P0</x:v>
      </x:c>
      <x:c r="G106" s="32"/>
      <x:c r="H106" s="32" t="str">
        <x:v>Not Started</x:v>
      </x:c>
      <x:c r="I106" s="376" t="n">
        <x:v>0</x:v>
      </x:c>
      <x:c r="J106" s="32"/>
      <x:c r="K106" s="32"/>
      <x:c r="L106" s="32"/>
      <x:c r="M106" s="32"/>
    </x:row>
    <x:row r="107" s="40" customFormat="1" ht="34" customHeight="1">
      <x:c r="A107" s="32" t="str">
        <x:v>R-031</x:v>
      </x:c>
      <x:c r="B107" s="32" t="str">
        <x:v>MVP</x:v>
      </x:c>
      <x:c r="C107" s="32" t="str">
        <x:v>Sandbox</x:v>
      </x:c>
      <x:c r="D107" s="32" t="str">
        <x:v>Ephemeral Linux sandbox</x:v>
      </x:c>
      <x:c r="E107" s="32" t="str">
        <x:v>Isolated build/run environment with CPU/RAM/disk/network limits.</x:v>
      </x:c>
      <x:c r="F107" s="32" t="str">
        <x:v>P0</x:v>
      </x:c>
      <x:c r="G107" s="32"/>
      <x:c r="H107" s="32" t="str">
        <x:v>Not Started</x:v>
      </x:c>
      <x:c r="I107" s="376" t="n">
        <x:v>0</x:v>
      </x:c>
      <x:c r="J107" s="32"/>
      <x:c r="K107" s="32"/>
      <x:c r="L107" s="32"/>
      <x:c r="M107" s="32"/>
    </x:row>
    <x:row r="108" s="40" customFormat="1" ht="34" customHeight="1">
      <x:c r="A108" s="32" t="str">
        <x:v>R-032</x:v>
      </x:c>
      <x:c r="B108" s="32" t="str">
        <x:v>MVP</x:v>
      </x:c>
      <x:c r="C108" s="32" t="str">
        <x:v>Sandbox</x:v>
      </x:c>
      <x:c r="D108" s="32" t="str">
        <x:v>Secret broker</x:v>
      </x:c>
      <x:c r="E108" s="32" t="str">
        <x:v>Give tasks short-lived scoped credentials, never raw master secrets.</x:v>
      </x:c>
      <x:c r="F108" s="32" t="str">
        <x:v>P0</x:v>
      </x:c>
      <x:c r="G108" s="32"/>
      <x:c r="H108" s="32" t="str">
        <x:v>Not Started</x:v>
      </x:c>
      <x:c r="I108" s="376" t="n">
        <x:v>0</x:v>
      </x:c>
      <x:c r="J108" s="32"/>
      <x:c r="K108" s="32"/>
      <x:c r="L108" s="32"/>
      <x:c r="M108" s="32"/>
    </x:row>
    <x:row r="109" s="40" customFormat="1" ht="34" customHeight="1">
      <x:c r="A109" s="32" t="str">
        <x:v>R-033</x:v>
      </x:c>
      <x:c r="B109" s="32" t="str">
        <x:v>MVP</x:v>
      </x:c>
      <x:c r="C109" s="32" t="str">
        <x:v>Preview</x:v>
      </x:c>
      <x:c r="D109" s="32" t="str">
        <x:v>Application-IR browser preview</x:v>
      </x:c>
      <x:c r="E109" s="32" t="str">
        <x:v>Fast Android/iOS-like UI preview from same canonical IR.</x:v>
      </x:c>
      <x:c r="F109" s="32" t="str">
        <x:v>P0</x:v>
      </x:c>
      <x:c r="G109" s="32"/>
      <x:c r="H109" s="32" t="str">
        <x:v>Not Started</x:v>
      </x:c>
      <x:c r="I109" s="376" t="n">
        <x:v>0</x:v>
      </x:c>
      <x:c r="J109" s="32"/>
      <x:c r="K109" s="32"/>
      <x:c r="L109" s="32"/>
      <x:c r="M109" s="32"/>
    </x:row>
    <x:row r="110" s="40" customFormat="1" ht="34" customHeight="1">
      <x:c r="A110" s="32" t="str">
        <x:v>R-034</x:v>
      </x:c>
      <x:c r="B110" s="32" t="str">
        <x:v>MVP</x:v>
      </x:c>
      <x:c r="C110" s="32" t="str">
        <x:v>Preview</x:v>
      </x:c>
      <x:c r="D110" s="32" t="str">
        <x:v>Web/Admin live preview</x:v>
      </x:c>
      <x:c r="E110" s="32" t="str">
        <x:v>Run generated web apps in isolated preview containers.</x:v>
      </x:c>
      <x:c r="F110" s="32" t="str">
        <x:v>P0</x:v>
      </x:c>
      <x:c r="G110" s="32"/>
      <x:c r="H110" s="32" t="str">
        <x:v>Not Started</x:v>
      </x:c>
      <x:c r="I110" s="376" t="n">
        <x:v>0</x:v>
      </x:c>
      <x:c r="J110" s="32"/>
      <x:c r="K110" s="32"/>
      <x:c r="L110" s="32"/>
      <x:c r="M110" s="32"/>
    </x:row>
    <x:row r="111" s="40" customFormat="1" ht="34" customHeight="1">
      <x:c r="A111" s="32" t="str">
        <x:v>R-035</x:v>
      </x:c>
      <x:c r="B111" s="32" t="str">
        <x:v>MVP</x:v>
      </x:c>
      <x:c r="C111" s="32" t="str">
        <x:v>Android</x:v>
      </x:c>
      <x:c r="D111" s="32" t="str">
        <x:v>Android build verification</x:v>
      </x:c>
      <x:c r="E111" s="32" t="str">
        <x:v>Compile generated Kotlin/Compose on Linux workers.</x:v>
      </x:c>
      <x:c r="F111" s="32" t="str">
        <x:v>P0</x:v>
      </x:c>
      <x:c r="G111" s="32"/>
      <x:c r="H111" s="32" t="str">
        <x:v>Not Started</x:v>
      </x:c>
      <x:c r="I111" s="376" t="n">
        <x:v>0</x:v>
      </x:c>
      <x:c r="J111" s="32"/>
      <x:c r="K111" s="32"/>
      <x:c r="L111" s="32"/>
      <x:c r="M111" s="32"/>
    </x:row>
    <x:row r="112" s="40" customFormat="1" ht="34" customHeight="1">
      <x:c r="A112" s="32" t="str">
        <x:v>R-036</x:v>
      </x:c>
      <x:c r="B112" s="32" t="str">
        <x:v>MVP</x:v>
      </x:c>
      <x:c r="C112" s="32" t="str">
        <x:v>iOS</x:v>
      </x:c>
      <x:c r="D112" s="32" t="str">
        <x:v>Cloud macOS compile verification</x:v>
      </x:c>
      <x:c r="E112" s="32" t="str">
        <x:v>Compile Swift/SwiftUI on a Mac pool when needed; user OS irrelevant.</x:v>
      </x:c>
      <x:c r="F112" s="32" t="str">
        <x:v>P0</x:v>
      </x:c>
      <x:c r="G112" s="32"/>
      <x:c r="H112" s="32" t="str">
        <x:v>Not Started</x:v>
      </x:c>
      <x:c r="I112" s="376" t="n">
        <x:v>0</x:v>
      </x:c>
      <x:c r="J112" s="32"/>
      <x:c r="K112" s="32"/>
      <x:c r="L112" s="32"/>
      <x:c r="M112" s="32"/>
    </x:row>
    <x:row r="113" s="40" customFormat="1" ht="34" customHeight="1">
      <x:c r="A113" s="32" t="str">
        <x:v>R-037</x:v>
      </x:c>
      <x:c r="B113" s="32" t="str">
        <x:v>MVP</x:v>
      </x:c>
      <x:c r="C113" s="32" t="str">
        <x:v>Testing</x:v>
      </x:c>
      <x:c r="D113" s="32" t="str">
        <x:v>Unit + integration baseline</x:v>
      </x:c>
      <x:c r="E113" s="32" t="str">
        <x:v>Generated changes require relevant tests.</x:v>
      </x:c>
      <x:c r="F113" s="32" t="str">
        <x:v>P0</x:v>
      </x:c>
      <x:c r="G113" s="32"/>
      <x:c r="H113" s="32" t="str">
        <x:v>Not Started</x:v>
      </x:c>
      <x:c r="I113" s="376" t="n">
        <x:v>0</x:v>
      </x:c>
      <x:c r="J113" s="32"/>
      <x:c r="K113" s="32"/>
      <x:c r="L113" s="32"/>
      <x:c r="M113" s="32"/>
    </x:row>
    <x:row r="114" s="40" customFormat="1" ht="34" customHeight="1">
      <x:c r="A114" s="32" t="str">
        <x:v>R-038</x:v>
      </x:c>
      <x:c r="B114" s="32" t="str">
        <x:v>MVP</x:v>
      </x:c>
      <x:c r="C114" s="32" t="str">
        <x:v>Testing</x:v>
      </x:c>
      <x:c r="D114" s="32" t="str">
        <x:v>Regression gate</x:v>
      </x:c>
      <x:c r="E114" s="32" t="str">
        <x:v>Existing passing tests must stay passing before merge.</x:v>
      </x:c>
      <x:c r="F114" s="32" t="str">
        <x:v>P0</x:v>
      </x:c>
      <x:c r="G114" s="32"/>
      <x:c r="H114" s="32" t="str">
        <x:v>Not Started</x:v>
      </x:c>
      <x:c r="I114" s="376" t="n">
        <x:v>0</x:v>
      </x:c>
      <x:c r="J114" s="32"/>
      <x:c r="K114" s="32"/>
      <x:c r="L114" s="32"/>
      <x:c r="M114" s="32"/>
    </x:row>
    <x:row r="115" s="40" customFormat="1" ht="34" customHeight="1">
      <x:c r="A115" s="32" t="str">
        <x:v>R-039</x:v>
      </x:c>
      <x:c r="B115" s="32" t="str">
        <x:v>MVP</x:v>
      </x:c>
      <x:c r="C115" s="32" t="str">
        <x:v>Testing</x:v>
      </x:c>
      <x:c r="D115" s="32" t="str">
        <x:v>API contract tests</x:v>
      </x:c>
      <x:c r="E115" s="32" t="str">
        <x:v>Catch backend/mobile/web contract drift.</x:v>
      </x:c>
      <x:c r="F115" s="32" t="str">
        <x:v>P0</x:v>
      </x:c>
      <x:c r="G115" s="32"/>
      <x:c r="H115" s="32" t="str">
        <x:v>Not Started</x:v>
      </x:c>
      <x:c r="I115" s="376" t="n">
        <x:v>0</x:v>
      </x:c>
      <x:c r="J115" s="32"/>
      <x:c r="K115" s="32"/>
      <x:c r="L115" s="32"/>
      <x:c r="M115" s="32"/>
    </x:row>
    <x:row r="116" s="40" customFormat="1" ht="34" customHeight="1">
      <x:c r="A116" s="32" t="str">
        <x:v>R-040</x:v>
      </x:c>
      <x:c r="B116" s="32" t="str">
        <x:v>MVP</x:v>
      </x:c>
      <x:c r="C116" s="32" t="str">
        <x:v>Testing</x:v>
      </x:c>
      <x:c r="D116" s="32" t="str">
        <x:v>Migration safety checks</x:v>
      </x:c>
      <x:c r="E116" s="32" t="str">
        <x:v>Detect destructive schema changes and require explicit migration plan.</x:v>
      </x:c>
      <x:c r="F116" s="32" t="str">
        <x:v>P0</x:v>
      </x:c>
      <x:c r="G116" s="32"/>
      <x:c r="H116" s="32" t="str">
        <x:v>Not Started</x:v>
      </x:c>
      <x:c r="I116" s="376" t="n">
        <x:v>0</x:v>
      </x:c>
      <x:c r="J116" s="32"/>
      <x:c r="K116" s="32"/>
      <x:c r="L116" s="32"/>
      <x:c r="M116" s="32"/>
    </x:row>
    <x:row r="117" s="40" customFormat="1" ht="34" customHeight="1">
      <x:c r="A117" s="32" t="str">
        <x:v>R-041</x:v>
      </x:c>
      <x:c r="B117" s="32" t="str">
        <x:v>MVP</x:v>
      </x:c>
      <x:c r="C117" s="32" t="str">
        <x:v>Security</x:v>
      </x:c>
      <x:c r="D117" s="32" t="str">
        <x:v>SAST + dependency scanning</x:v>
      </x:c>
      <x:c r="E117" s="32" t="str">
        <x:v>Scan generated and modified code before deploy.</x:v>
      </x:c>
      <x:c r="F117" s="32" t="str">
        <x:v>P0</x:v>
      </x:c>
      <x:c r="G117" s="32"/>
      <x:c r="H117" s="32" t="str">
        <x:v>Not Started</x:v>
      </x:c>
      <x:c r="I117" s="376" t="n">
        <x:v>0</x:v>
      </x:c>
      <x:c r="J117" s="32"/>
      <x:c r="K117" s="32"/>
      <x:c r="L117" s="32"/>
      <x:c r="M117" s="32"/>
    </x:row>
    <x:row r="118" s="40" customFormat="1" ht="34" customHeight="1">
      <x:c r="A118" s="32" t="str">
        <x:v>R-042</x:v>
      </x:c>
      <x:c r="B118" s="32" t="str">
        <x:v>MVP</x:v>
      </x:c>
      <x:c r="C118" s="32" t="str">
        <x:v>Security</x:v>
      </x:c>
      <x:c r="D118" s="32" t="str">
        <x:v>Prompt/tool policy</x:v>
      </x:c>
      <x:c r="E118" s="32" t="str">
        <x:v>Repo content cannot silently override system policy or exfiltrate secrets.</x:v>
      </x:c>
      <x:c r="F118" s="32" t="str">
        <x:v>P0</x:v>
      </x:c>
      <x:c r="G118" s="32"/>
      <x:c r="H118" s="32" t="str">
        <x:v>Not Started</x:v>
      </x:c>
      <x:c r="I118" s="376" t="n">
        <x:v>0</x:v>
      </x:c>
      <x:c r="J118" s="32"/>
      <x:c r="K118" s="32"/>
      <x:c r="L118" s="32"/>
      <x:c r="M118" s="32"/>
    </x:row>
    <x:row r="119" s="40" customFormat="1" ht="34" customHeight="1">
      <x:c r="A119" s="32" t="str">
        <x:v>R-043</x:v>
      </x:c>
      <x:c r="B119" s="32" t="str">
        <x:v>MVP</x:v>
      </x:c>
      <x:c r="C119" s="32" t="str">
        <x:v>Observability</x:v>
      </x:c>
      <x:c r="D119" s="32" t="str">
        <x:v>Task trace</x:v>
      </x:c>
      <x:c r="E119" s="32" t="str">
        <x:v>Trace prompt -&gt; plan -&gt; tools -&gt; patches -&gt; tests -&gt; cost -&gt; result.</x:v>
      </x:c>
      <x:c r="F119" s="32" t="str">
        <x:v>P0</x:v>
      </x:c>
      <x:c r="G119" s="32"/>
      <x:c r="H119" s="32" t="str">
        <x:v>Not Started</x:v>
      </x:c>
      <x:c r="I119" s="376" t="n">
        <x:v>0</x:v>
      </x:c>
      <x:c r="J119" s="32"/>
      <x:c r="K119" s="32"/>
      <x:c r="L119" s="32"/>
      <x:c r="M119" s="32"/>
    </x:row>
    <x:row r="120" s="40" customFormat="1" ht="34" customHeight="1">
      <x:c r="A120" s="32" t="str">
        <x:v>R-044</x:v>
      </x:c>
      <x:c r="B120" s="32" t="str">
        <x:v>MVP</x:v>
      </x:c>
      <x:c r="C120" s="32" t="str">
        <x:v>Observability</x:v>
      </x:c>
      <x:c r="D120" s="32" t="str">
        <x:v>Platform logs/metrics</x:v>
      </x:c>
      <x:c r="E120" s="32" t="str">
        <x:v>OpenTelemetry plus central logs and core service metrics.</x:v>
      </x:c>
      <x:c r="F120" s="32" t="str">
        <x:v>P0</x:v>
      </x:c>
      <x:c r="G120" s="32"/>
      <x:c r="H120" s="32" t="str">
        <x:v>Not Started</x:v>
      </x:c>
      <x:c r="I120" s="376" t="n">
        <x:v>0</x:v>
      </x:c>
      <x:c r="J120" s="32"/>
      <x:c r="K120" s="32"/>
      <x:c r="L120" s="32"/>
      <x:c r="M120" s="32"/>
    </x:row>
    <x:row r="121" s="40" customFormat="1" ht="34" customHeight="1">
      <x:c r="A121" s="32" t="str">
        <x:v>R-045</x:v>
      </x:c>
      <x:c r="B121" s="32" t="str">
        <x:v>MVP</x:v>
      </x:c>
      <x:c r="C121" s="32" t="str">
        <x:v>Billing</x:v>
      </x:c>
      <x:c r="D121" s="32" t="str">
        <x:v>Usage ledger</x:v>
      </x:c>
      <x:c r="E121" s="32" t="str">
        <x:v>Track model tokens, build minutes, storage and Mac minutes per task/project.</x:v>
      </x:c>
      <x:c r="F121" s="32" t="str">
        <x:v>P0</x:v>
      </x:c>
      <x:c r="G121" s="32"/>
      <x:c r="H121" s="32" t="str">
        <x:v>Not Started</x:v>
      </x:c>
      <x:c r="I121" s="376" t="n">
        <x:v>0</x:v>
      </x:c>
      <x:c r="J121" s="32"/>
      <x:c r="K121" s="32"/>
      <x:c r="L121" s="32"/>
      <x:c r="M121" s="32"/>
    </x:row>
    <x:row r="122" s="40" customFormat="1" ht="34" customHeight="1">
      <x:c r="A122" s="32" t="str">
        <x:v>R-046</x:v>
      </x:c>
      <x:c r="B122" s="32" t="str">
        <x:v>MVP</x:v>
      </x:c>
      <x:c r="C122" s="32" t="str">
        <x:v>Billing</x:v>
      </x:c>
      <x:c r="D122" s="32" t="str">
        <x:v>Pre-task estimate</x:v>
      </x:c>
      <x:c r="E122" s="32" t="str">
        <x:v>Show estimated credit range before expensive tasks/native sessions.</x:v>
      </x:c>
      <x:c r="F122" s="32" t="str">
        <x:v>P0</x:v>
      </x:c>
      <x:c r="G122" s="32"/>
      <x:c r="H122" s="32" t="str">
        <x:v>Not Started</x:v>
      </x:c>
      <x:c r="I122" s="376" t="n">
        <x:v>0</x:v>
      </x:c>
      <x:c r="J122" s="32"/>
      <x:c r="K122" s="32"/>
      <x:c r="L122" s="32"/>
      <x:c r="M122" s="32"/>
    </x:row>
    <x:row r="123" s="40" customFormat="1" ht="34" customHeight="1">
      <x:c r="A123" s="32" t="str">
        <x:v>R-047</x:v>
      </x:c>
      <x:c r="B123" s="32" t="str">
        <x:v>MVP</x:v>
      </x:c>
      <x:c r="C123" s="32" t="str">
        <x:v>Billing</x:v>
      </x:c>
      <x:c r="D123" s="32" t="str">
        <x:v>No charge for internal failed retries</x:v>
      </x:c>
      <x:c r="E123" s="32" t="str">
        <x:v>Customer pays intended task budget, not repeated agent mistakes within policy.</x:v>
      </x:c>
      <x:c r="F123" s="32" t="str">
        <x:v>P0</x:v>
      </x:c>
      <x:c r="G123" s="32"/>
      <x:c r="H123" s="32" t="str">
        <x:v>Not Started</x:v>
      </x:c>
      <x:c r="I123" s="376" t="n">
        <x:v>0</x:v>
      </x:c>
      <x:c r="J123" s="32"/>
      <x:c r="K123" s="32"/>
      <x:c r="L123" s="32"/>
      <x:c r="M123" s="32"/>
    </x:row>
    <x:row r="124" s="40" customFormat="1" ht="34" customHeight="1">
      <x:c r="A124" s="32" t="str">
        <x:v>R-048</x:v>
      </x:c>
      <x:c r="B124" s="32" t="str">
        <x:v>MVP</x:v>
      </x:c>
      <x:c r="C124" s="32" t="str">
        <x:v>Deployment</x:v>
      </x:c>
      <x:c r="D124" s="32" t="str">
        <x:v>Web/backend deployment</x:v>
      </x:c>
      <x:c r="E124" s="32" t="str">
        <x:v>Immutable versioned deployments with health checks and rollback.</x:v>
      </x:c>
      <x:c r="F124" s="32" t="str">
        <x:v>P0</x:v>
      </x:c>
      <x:c r="G124" s="32"/>
      <x:c r="H124" s="32" t="str">
        <x:v>Not Started</x:v>
      </x:c>
      <x:c r="I124" s="376" t="n">
        <x:v>0</x:v>
      </x:c>
      <x:c r="J124" s="32"/>
      <x:c r="K124" s="32"/>
      <x:c r="L124" s="32"/>
      <x:c r="M124" s="32"/>
    </x:row>
    <x:row r="125" s="40" customFormat="1" ht="34" customHeight="1">
      <x:c r="A125" s="32" t="str">
        <x:v>R-049</x:v>
      </x:c>
      <x:c r="B125" s="32" t="str">
        <x:v>MVP</x:v>
      </x:c>
      <x:c r="C125" s="32" t="str">
        <x:v>Deployment</x:v>
      </x:c>
      <x:c r="D125" s="32" t="str">
        <x:v>Android APK/AAB build</x:v>
      </x:c>
      <x:c r="E125" s="32" t="str">
        <x:v>Generate signed artifacts using customer-owned signing configuration.</x:v>
      </x:c>
      <x:c r="F125" s="32" t="str">
        <x:v>P0</x:v>
      </x:c>
      <x:c r="G125" s="32"/>
      <x:c r="H125" s="32" t="str">
        <x:v>Not Started</x:v>
      </x:c>
      <x:c r="I125" s="376" t="n">
        <x:v>0</x:v>
      </x:c>
      <x:c r="J125" s="32"/>
      <x:c r="K125" s="32"/>
      <x:c r="L125" s="32"/>
      <x:c r="M125" s="32"/>
    </x:row>
    <x:row r="126" s="40" customFormat="1" ht="34" customHeight="1">
      <x:c r="A126" s="32" t="str">
        <x:v>R-050</x:v>
      </x:c>
      <x:c r="B126" s="32" t="str">
        <x:v>MVP</x:v>
      </x:c>
      <x:c r="C126" s="32" t="str">
        <x:v>Deployment</x:v>
      </x:c>
      <x:c r="D126" s="32" t="str">
        <x:v>iOS IPA build pipeline</x:v>
      </x:c>
      <x:c r="E126" s="32" t="str">
        <x:v>Secure Mac signing worker; certificate/profile stored in vault.</x:v>
      </x:c>
      <x:c r="F126" s="32" t="str">
        <x:v>P0</x:v>
      </x:c>
      <x:c r="G126" s="32"/>
      <x:c r="H126" s="32" t="str">
        <x:v>Not Started</x:v>
      </x:c>
      <x:c r="I126" s="376" t="n">
        <x:v>0</x:v>
      </x:c>
      <x:c r="J126" s="32"/>
      <x:c r="K126" s="32"/>
      <x:c r="L126" s="32"/>
      <x:c r="M126" s="32"/>
    </x:row>
    <x:row r="127" s="40" customFormat="1" ht="34" customHeight="1">
      <x:c r="A127" s="32" t="str">
        <x:v>R-051</x:v>
      </x:c>
      <x:c r="B127" s="32" t="str">
        <x:v>MVP</x:v>
      </x:c>
      <x:c r="C127" s="32" t="str">
        <x:v>Analytics</x:v>
      </x:c>
      <x:c r="D127" s="32" t="str">
        <x:v>Core product KPIs</x:v>
      </x:c>
      <x:c r="E127" s="32" t="str">
        <x:v>Track build success, regression, deployment, cost/task and user success.</x:v>
      </x:c>
      <x:c r="F127" s="32" t="str">
        <x:v>P0</x:v>
      </x:c>
      <x:c r="G127" s="32"/>
      <x:c r="H127" s="32" t="str">
        <x:v>Not Started</x:v>
      </x:c>
      <x:c r="I127" s="376" t="n">
        <x:v>0</x:v>
      </x:c>
      <x:c r="J127" s="32"/>
      <x:c r="K127" s="32"/>
      <x:c r="L127" s="32"/>
      <x:c r="M127" s="32"/>
    </x:row>
    <x:row r="128" s="40" customFormat="1" ht="34" customHeight="1">
      <x:c r="A128" s="32" t="str">
        <x:v>R-052</x:v>
      </x:c>
      <x:c r="B128" s="32" t="str">
        <x:v>MID</x:v>
      </x:c>
      <x:c r="C128" s="32" t="str">
        <x:v>Preview</x:v>
      </x:c>
      <x:c r="D128" s="32" t="str">
        <x:v>Interactive Android emulator streaming</x:v>
      </x:c>
      <x:c r="E128" s="32" t="str">
        <x:v>Real Android runtime streamed into browser.</x:v>
      </x:c>
      <x:c r="F128" s="32" t="str">
        <x:v>P1</x:v>
      </x:c>
      <x:c r="G128" s="32"/>
      <x:c r="H128" s="32" t="str">
        <x:v>Not Started</x:v>
      </x:c>
      <x:c r="I128" s="376" t="n">
        <x:v>0</x:v>
      </x:c>
      <x:c r="J128" s="32"/>
      <x:c r="K128" s="32"/>
      <x:c r="L128" s="32"/>
      <x:c r="M128" s="32"/>
    </x:row>
    <x:row r="129" s="40" customFormat="1" ht="34" customHeight="1">
      <x:c r="A129" s="32" t="str">
        <x:v>R-053</x:v>
      </x:c>
      <x:c r="B129" s="32" t="str">
        <x:v>MID</x:v>
      </x:c>
      <x:c r="C129" s="32" t="str">
        <x:v>Preview</x:v>
      </x:c>
      <x:c r="D129" s="32" t="str">
        <x:v>Interactive iOS simulator streaming</x:v>
      </x:c>
      <x:c r="E129" s="32" t="str">
        <x:v>Remote Mac+iOS Simulator streamed through browser; metered credits.</x:v>
      </x:c>
      <x:c r="F129" s="32" t="str">
        <x:v>P1</x:v>
      </x:c>
      <x:c r="G129" s="32"/>
      <x:c r="H129" s="32" t="str">
        <x:v>Not Started</x:v>
      </x:c>
      <x:c r="I129" s="376" t="n">
        <x:v>0</x:v>
      </x:c>
      <x:c r="J129" s="32"/>
      <x:c r="K129" s="32"/>
      <x:c r="L129" s="32"/>
      <x:c r="M129" s="32"/>
    </x:row>
    <x:row r="130" s="40" customFormat="1" ht="34" customHeight="1">
      <x:c r="A130" s="32" t="str">
        <x:v>R-054</x:v>
      </x:c>
      <x:c r="B130" s="32" t="str">
        <x:v>MID</x:v>
      </x:c>
      <x:c r="C130" s="32" t="str">
        <x:v>iOS</x:v>
      </x:c>
      <x:c r="D130" s="32" t="str">
        <x:v>Local Mac Agent</x:v>
      </x:c>
      <x:c r="E130" s="32" t="str">
        <x:v>Opt-in desktop helper uses customer Mac/Xcode instead of cloud Mac.</x:v>
      </x:c>
      <x:c r="F130" s="32" t="str">
        <x:v>P1</x:v>
      </x:c>
      <x:c r="G130" s="32"/>
      <x:c r="H130" s="32" t="str">
        <x:v>Not Started</x:v>
      </x:c>
      <x:c r="I130" s="376" t="n">
        <x:v>0</x:v>
      </x:c>
      <x:c r="J130" s="32"/>
      <x:c r="K130" s="32"/>
      <x:c r="L130" s="32"/>
      <x:c r="M130" s="32"/>
    </x:row>
    <x:row r="131" s="40" customFormat="1" ht="34" customHeight="1">
      <x:c r="A131" s="32" t="str">
        <x:v>R-055</x:v>
      </x:c>
      <x:c r="B131" s="32" t="str">
        <x:v>MID</x:v>
      </x:c>
      <x:c r="C131" s="32" t="str">
        <x:v>Integrations</x:v>
      </x:c>
      <x:c r="D131" s="32" t="str">
        <x:v>Verified integration catalog</x:v>
      </x:c>
      <x:c r="E131" s="32" t="str">
        <x:v>Tested templates for payments, maps, auth, messaging, analytics and storage.</x:v>
      </x:c>
      <x:c r="F131" s="32" t="str">
        <x:v>P1</x:v>
      </x:c>
      <x:c r="G131" s="32"/>
      <x:c r="H131" s="32" t="str">
        <x:v>Not Started</x:v>
      </x:c>
      <x:c r="I131" s="376" t="n">
        <x:v>0</x:v>
      </x:c>
      <x:c r="J131" s="32"/>
      <x:c r="K131" s="32"/>
      <x:c r="L131" s="32"/>
      <x:c r="M131" s="32"/>
    </x:row>
    <x:row r="132" s="40" customFormat="1" ht="34" customHeight="1">
      <x:c r="A132" s="32" t="str">
        <x:v>R-056</x:v>
      </x:c>
      <x:c r="B132" s="32" t="str">
        <x:v>MID</x:v>
      </x:c>
      <x:c r="C132" s="32" t="str">
        <x:v>Integrations</x:v>
      </x:c>
      <x:c r="D132" s="32" t="str">
        <x:v>Integration health tests</x:v>
      </x:c>
      <x:c r="E132" s="32" t="str">
        <x:v>Credentials/scopes/webhooks verified automatically.</x:v>
      </x:c>
      <x:c r="F132" s="32" t="str">
        <x:v>P1</x:v>
      </x:c>
      <x:c r="G132" s="32"/>
      <x:c r="H132" s="32" t="str">
        <x:v>Not Started</x:v>
      </x:c>
      <x:c r="I132" s="376" t="n">
        <x:v>0</x:v>
      </x:c>
      <x:c r="J132" s="32"/>
      <x:c r="K132" s="32"/>
      <x:c r="L132" s="32"/>
      <x:c r="M132" s="32"/>
    </x:row>
    <x:row r="133" s="40" customFormat="1" ht="34" customHeight="1">
      <x:c r="A133" s="32" t="str">
        <x:v>R-057</x:v>
      </x:c>
      <x:c r="B133" s="32" t="str">
        <x:v>MID</x:v>
      </x:c>
      <x:c r="C133" s="32" t="str">
        <x:v>Context</x:v>
      </x:c>
      <x:c r="D133" s="32" t="str">
        <x:v>Long-project memory compaction</x:v>
      </x:c>
      <x:c r="E133" s="32" t="str">
        <x:v>Summaries + graph + ADRs replace dependence on raw chat history.</x:v>
      </x:c>
      <x:c r="F133" s="32" t="str">
        <x:v>P1</x:v>
      </x:c>
      <x:c r="G133" s="32"/>
      <x:c r="H133" s="32" t="str">
        <x:v>Not Started</x:v>
      </x:c>
      <x:c r="I133" s="376" t="n">
        <x:v>0</x:v>
      </x:c>
      <x:c r="J133" s="32"/>
      <x:c r="K133" s="32"/>
      <x:c r="L133" s="32"/>
      <x:c r="M133" s="32"/>
    </x:row>
    <x:row r="134" s="40" customFormat="1" ht="34" customHeight="1">
      <x:c r="A134" s="32" t="str">
        <x:v>R-058</x:v>
      </x:c>
      <x:c r="B134" s="32" t="str">
        <x:v>MID</x:v>
      </x:c>
      <x:c r="C134" s="32" t="str">
        <x:v>Code Editing</x:v>
      </x:c>
      <x:c r="D134" s="32" t="str">
        <x:v>Language-specific structured editors</x:v>
      </x:c>
      <x:c r="E134" s="32" t="str">
        <x:v>SwiftSyntax, Kotlin PSI/tree-sitter, TS compiler APIs, Python LibCST, Go AST.</x:v>
      </x:c>
      <x:c r="F134" s="32" t="str">
        <x:v>P1</x:v>
      </x:c>
      <x:c r="G134" s="32"/>
      <x:c r="H134" s="32" t="str">
        <x:v>Not Started</x:v>
      </x:c>
      <x:c r="I134" s="376" t="n">
        <x:v>0</x:v>
      </x:c>
      <x:c r="J134" s="32"/>
      <x:c r="K134" s="32"/>
      <x:c r="L134" s="32"/>
      <x:c r="M134" s="32"/>
    </x:row>
    <x:row r="135" s="40" customFormat="1" ht="34" customHeight="1">
      <x:c r="A135" s="32" t="str">
        <x:v>R-059</x:v>
      </x:c>
      <x:c r="B135" s="32" t="str">
        <x:v>MID</x:v>
      </x:c>
      <x:c r="C135" s="32" t="str">
        <x:v>Quality</x:v>
      </x:c>
      <x:c r="D135" s="32" t="str">
        <x:v>Visual regression</x:v>
      </x:c>
      <x:c r="E135" s="32" t="str">
        <x:v>Screenshot comparison with approved baselines.</x:v>
      </x:c>
      <x:c r="F135" s="32" t="str">
        <x:v>P1</x:v>
      </x:c>
      <x:c r="G135" s="32"/>
      <x:c r="H135" s="32" t="str">
        <x:v>Not Started</x:v>
      </x:c>
      <x:c r="I135" s="376" t="n">
        <x:v>0</x:v>
      </x:c>
      <x:c r="J135" s="32"/>
      <x:c r="K135" s="32"/>
      <x:c r="L135" s="32"/>
      <x:c r="M135" s="32"/>
    </x:row>
    <x:row r="136" s="40" customFormat="1" ht="34" customHeight="1">
      <x:c r="A136" s="32" t="str">
        <x:v>R-060</x:v>
      </x:c>
      <x:c r="B136" s="32" t="str">
        <x:v>MID</x:v>
      </x:c>
      <x:c r="C136" s="32" t="str">
        <x:v>Quality</x:v>
      </x:c>
      <x:c r="D136" s="32" t="str">
        <x:v>Performance budgets</x:v>
      </x:c>
      <x:c r="E136" s="32" t="str">
        <x:v>Build size, API latency, query, memory and frontend performance gates.</x:v>
      </x:c>
      <x:c r="F136" s="32" t="str">
        <x:v>P1</x:v>
      </x:c>
      <x:c r="G136" s="32"/>
      <x:c r="H136" s="32" t="str">
        <x:v>Not Started</x:v>
      </x:c>
      <x:c r="I136" s="376" t="n">
        <x:v>0</x:v>
      </x:c>
      <x:c r="J136" s="32"/>
      <x:c r="K136" s="32"/>
      <x:c r="L136" s="32"/>
      <x:c r="M136" s="32"/>
    </x:row>
    <x:row r="137" s="40" customFormat="1" ht="34" customHeight="1">
      <x:c r="A137" s="32" t="str">
        <x:v>R-061</x:v>
      </x:c>
      <x:c r="B137" s="32" t="str">
        <x:v>MID</x:v>
      </x:c>
      <x:c r="C137" s="32" t="str">
        <x:v>Deployment</x:v>
      </x:c>
      <x:c r="D137" s="32" t="str">
        <x:v>Environment parity</x:v>
      </x:c>
      <x:c r="E137" s="32" t="str">
        <x:v>Preview/staging/production share same container and config contract.</x:v>
      </x:c>
      <x:c r="F137" s="32" t="str">
        <x:v>P1</x:v>
      </x:c>
      <x:c r="G137" s="32"/>
      <x:c r="H137" s="32" t="str">
        <x:v>Not Started</x:v>
      </x:c>
      <x:c r="I137" s="376" t="n">
        <x:v>0</x:v>
      </x:c>
      <x:c r="J137" s="32"/>
      <x:c r="K137" s="32"/>
      <x:c r="L137" s="32"/>
      <x:c r="M137" s="32"/>
    </x:row>
    <x:row r="138" s="40" customFormat="1" ht="34" customHeight="1">
      <x:c r="A138" s="32" t="str">
        <x:v>R-062</x:v>
      </x:c>
      <x:c r="B138" s="32" t="str">
        <x:v>MID</x:v>
      </x:c>
      <x:c r="C138" s="32" t="str">
        <x:v>Deployment</x:v>
      </x:c>
      <x:c r="D138" s="32" t="str">
        <x:v>App Store / TestFlight automation</x:v>
      </x:c>
      <x:c r="E138" s="32" t="str">
        <x:v>Prepare/upload builds with explicit user approval.</x:v>
      </x:c>
      <x:c r="F138" s="32" t="str">
        <x:v>P1</x:v>
      </x:c>
      <x:c r="G138" s="32"/>
      <x:c r="H138" s="32" t="str">
        <x:v>Not Started</x:v>
      </x:c>
      <x:c r="I138" s="376" t="n">
        <x:v>0</x:v>
      </x:c>
      <x:c r="J138" s="32"/>
      <x:c r="K138" s="32"/>
      <x:c r="L138" s="32"/>
      <x:c r="M138" s="32"/>
    </x:row>
    <x:row r="139" s="40" customFormat="1" ht="34" customHeight="1">
      <x:c r="A139" s="32" t="str">
        <x:v>R-063</x:v>
      </x:c>
      <x:c r="B139" s="32" t="str">
        <x:v>MID</x:v>
      </x:c>
      <x:c r="C139" s="32" t="str">
        <x:v>Deployment</x:v>
      </x:c>
      <x:c r="D139" s="32" t="str">
        <x:v>Play Store automation</x:v>
      </x:c>
      <x:c r="E139" s="32" t="str">
        <x:v>Prepare/upload AAB with explicit user approval.</x:v>
      </x:c>
      <x:c r="F139" s="32" t="str">
        <x:v>P1</x:v>
      </x:c>
      <x:c r="G139" s="32"/>
      <x:c r="H139" s="32" t="str">
        <x:v>Not Started</x:v>
      </x:c>
      <x:c r="I139" s="376" t="n">
        <x:v>0</x:v>
      </x:c>
      <x:c r="J139" s="32"/>
      <x:c r="K139" s="32"/>
      <x:c r="L139" s="32"/>
      <x:c r="M139" s="32"/>
    </x:row>
    <x:row r="140" s="40" customFormat="1" ht="34" customHeight="1">
      <x:c r="A140" s="32" t="str">
        <x:v>R-064</x:v>
      </x:c>
      <x:c r="B140" s="32" t="str">
        <x:v>MID</x:v>
      </x:c>
      <x:c r="C140" s="32" t="str">
        <x:v>Collaboration</x:v>
      </x:c>
      <x:c r="D140" s="32" t="str">
        <x:v>RBAC + approvals</x:v>
      </x:c>
      <x:c r="E140" s="32" t="str">
        <x:v>Owners can require code/security/deploy approvals.</x:v>
      </x:c>
      <x:c r="F140" s="32" t="str">
        <x:v>P1</x:v>
      </x:c>
      <x:c r="G140" s="32"/>
      <x:c r="H140" s="32" t="str">
        <x:v>Not Started</x:v>
      </x:c>
      <x:c r="I140" s="376" t="n">
        <x:v>0</x:v>
      </x:c>
      <x:c r="J140" s="32"/>
      <x:c r="K140" s="32"/>
      <x:c r="L140" s="32"/>
      <x:c r="M140" s="32"/>
    </x:row>
    <x:row r="141" s="40" customFormat="1" ht="34" customHeight="1">
      <x:c r="A141" s="32" t="str">
        <x:v>R-065</x:v>
      </x:c>
      <x:c r="B141" s="32" t="str">
        <x:v>MID</x:v>
      </x:c>
      <x:c r="C141" s="32" t="str">
        <x:v>Collaboration</x:v>
      </x:c>
      <x:c r="D141" s="32" t="str">
        <x:v>Comments/review workflow</x:v>
      </x:c>
      <x:c r="E141" s="32" t="str">
        <x:v>Human review on AI plan and diff.</x:v>
      </x:c>
      <x:c r="F141" s="32" t="str">
        <x:v>P1</x:v>
      </x:c>
      <x:c r="G141" s="32"/>
      <x:c r="H141" s="32" t="str">
        <x:v>Not Started</x:v>
      </x:c>
      <x:c r="I141" s="376" t="n">
        <x:v>0</x:v>
      </x:c>
      <x:c r="J141" s="32"/>
      <x:c r="K141" s="32"/>
      <x:c r="L141" s="32"/>
      <x:c r="M141" s="32"/>
    </x:row>
    <x:row r="142" s="40" customFormat="1" ht="34" customHeight="1">
      <x:c r="A142" s="32" t="str">
        <x:v>R-066</x:v>
      </x:c>
      <x:c r="B142" s="32" t="str">
        <x:v>MID</x:v>
      </x:c>
      <x:c r="C142" s="32" t="str">
        <x:v>Billing</x:v>
      </x:c>
      <x:c r="D142" s="32" t="str">
        <x:v>BYOK</x:v>
      </x:c>
      <x:c r="E142" s="32" t="str">
        <x:v>Customer can use approved provider API keys with clear cost ownership.</x:v>
      </x:c>
      <x:c r="F142" s="32" t="str">
        <x:v>P1</x:v>
      </x:c>
      <x:c r="G142" s="32"/>
      <x:c r="H142" s="32" t="str">
        <x:v>Not Started</x:v>
      </x:c>
      <x:c r="I142" s="376" t="n">
        <x:v>0</x:v>
      </x:c>
      <x:c r="J142" s="32"/>
      <x:c r="K142" s="32"/>
      <x:c r="L142" s="32"/>
      <x:c r="M142" s="32"/>
    </x:row>
    <x:row r="143" s="40" customFormat="1" ht="34" customHeight="1">
      <x:c r="A143" s="32" t="str">
        <x:v>R-067</x:v>
      </x:c>
      <x:c r="B143" s="32" t="str">
        <x:v>MID</x:v>
      </x:c>
      <x:c r="C143" s="32" t="str">
        <x:v>Recovery</x:v>
      </x:c>
      <x:c r="D143" s="32" t="str">
        <x:v>Auto-recovery agent</x:v>
      </x:c>
      <x:c r="E143" s="32" t="str">
        <x:v>Diagnose failed build/test and retry within strict bounded policy.</x:v>
      </x:c>
      <x:c r="F143" s="32" t="str">
        <x:v>P1</x:v>
      </x:c>
      <x:c r="G143" s="32"/>
      <x:c r="H143" s="32" t="str">
        <x:v>Not Started</x:v>
      </x:c>
      <x:c r="I143" s="376" t="n">
        <x:v>0</x:v>
      </x:c>
      <x:c r="J143" s="32"/>
      <x:c r="K143" s="32"/>
      <x:c r="L143" s="32"/>
      <x:c r="M143" s="32"/>
    </x:row>
    <x:row r="144" s="40" customFormat="1" ht="34" customHeight="1">
      <x:c r="A144" s="32" t="str">
        <x:v>R-068</x:v>
      </x:c>
      <x:c r="B144" s="32" t="str">
        <x:v>MID</x:v>
      </x:c>
      <x:c r="C144" s="32" t="str">
        <x:v>Analytics</x:v>
      </x:c>
      <x:c r="D144" s="32" t="str">
        <x:v>Project health score</x:v>
      </x:c>
      <x:c r="E144" s="32" t="str">
        <x:v>Derived from measurable checks, with drill-down evidence.</x:v>
      </x:c>
      <x:c r="F144" s="32" t="str">
        <x:v>P1</x:v>
      </x:c>
      <x:c r="G144" s="32"/>
      <x:c r="H144" s="32" t="str">
        <x:v>Not Started</x:v>
      </x:c>
      <x:c r="I144" s="376" t="n">
        <x:v>0</x:v>
      </x:c>
      <x:c r="J144" s="32"/>
      <x:c r="K144" s="32"/>
      <x:c r="L144" s="32"/>
      <x:c r="M144" s="32"/>
    </x:row>
    <x:row r="145" s="40" customFormat="1" ht="34" customHeight="1">
      <x:c r="A145" s="32" t="str">
        <x:v>R-069</x:v>
      </x:c>
      <x:c r="B145" s="32" t="str">
        <x:v>MID</x:v>
      </x:c>
      <x:c r="C145" s="32" t="str">
        <x:v>Security</x:v>
      </x:c>
      <x:c r="D145" s="32" t="str">
        <x:v>DAST</x:v>
      </x:c>
      <x:c r="E145" s="32" t="str">
        <x:v>Run dynamic scans against staging/preview.</x:v>
      </x:c>
      <x:c r="F145" s="32" t="str">
        <x:v>P1</x:v>
      </x:c>
      <x:c r="G145" s="32"/>
      <x:c r="H145" s="32" t="str">
        <x:v>Not Started</x:v>
      </x:c>
      <x:c r="I145" s="376" t="n">
        <x:v>0</x:v>
      </x:c>
      <x:c r="J145" s="32"/>
      <x:c r="K145" s="32"/>
      <x:c r="L145" s="32"/>
      <x:c r="M145" s="32"/>
    </x:row>
    <x:row r="146" s="40" customFormat="1" ht="34" customHeight="1">
      <x:c r="A146" s="32" t="str">
        <x:v>R-070</x:v>
      </x:c>
      <x:c r="B146" s="32" t="str">
        <x:v>MID</x:v>
      </x:c>
      <x:c r="C146" s="32" t="str">
        <x:v>Security</x:v>
      </x:c>
      <x:c r="D146" s="32" t="str">
        <x:v>SBOM + license policy</x:v>
      </x:c>
      <x:c r="E146" s="32" t="str">
        <x:v>Software bill of materials and restricted-license checks.</x:v>
      </x:c>
      <x:c r="F146" s="32" t="str">
        <x:v>P1</x:v>
      </x:c>
      <x:c r="G146" s="32"/>
      <x:c r="H146" s="32" t="str">
        <x:v>Not Started</x:v>
      </x:c>
      <x:c r="I146" s="376" t="n">
        <x:v>0</x:v>
      </x:c>
      <x:c r="J146" s="32"/>
      <x:c r="K146" s="32"/>
      <x:c r="L146" s="32"/>
      <x:c r="M146" s="32"/>
    </x:row>
    <x:row r="147" s="40" customFormat="1" ht="34" customHeight="1">
      <x:c r="A147" s="32" t="str">
        <x:v>R-071</x:v>
      </x:c>
      <x:c r="B147" s="32" t="str">
        <x:v>MID</x:v>
      </x:c>
      <x:c r="C147" s="32" t="str">
        <x:v>Security</x:v>
      </x:c>
      <x:c r="D147" s="32" t="str">
        <x:v>Egress policy</x:v>
      </x:c>
      <x:c r="E147" s="32" t="str">
        <x:v>Sandbox network allowlist/denylist and per-integration scopes.</x:v>
      </x:c>
      <x:c r="F147" s="32" t="str">
        <x:v>P1</x:v>
      </x:c>
      <x:c r="G147" s="32"/>
      <x:c r="H147" s="32" t="str">
        <x:v>Not Started</x:v>
      </x:c>
      <x:c r="I147" s="376" t="n">
        <x:v>0</x:v>
      </x:c>
      <x:c r="J147" s="32"/>
      <x:c r="K147" s="32"/>
      <x:c r="L147" s="32"/>
      <x:c r="M147" s="32"/>
    </x:row>
    <x:row r="148" s="40" customFormat="1" ht="34" customHeight="1">
      <x:c r="A148" s="32" t="str">
        <x:v>R-072</x:v>
      </x:c>
      <x:c r="B148" s="32" t="str">
        <x:v>MID</x:v>
      </x:c>
      <x:c r="C148" s="32" t="str">
        <x:v>Reliability</x:v>
      </x:c>
      <x:c r="D148" s="32" t="str">
        <x:v>Build artifact caching</x:v>
      </x:c>
      <x:c r="E148" s="32" t="str">
        <x:v>Cache dependencies and unchanged build outputs.</x:v>
      </x:c>
      <x:c r="F148" s="32" t="str">
        <x:v>P1</x:v>
      </x:c>
      <x:c r="G148" s="32"/>
      <x:c r="H148" s="32" t="str">
        <x:v>Not Started</x:v>
      </x:c>
      <x:c r="I148" s="376" t="n">
        <x:v>0</x:v>
      </x:c>
      <x:c r="J148" s="32"/>
      <x:c r="K148" s="32"/>
      <x:c r="L148" s="32"/>
      <x:c r="M148" s="32"/>
    </x:row>
    <x:row r="149" s="40" customFormat="1" ht="34" customHeight="1">
      <x:c r="A149" s="32" t="str">
        <x:v>R-073</x:v>
      </x:c>
      <x:c r="B149" s="32" t="str">
        <x:v>MID</x:v>
      </x:c>
      <x:c r="C149" s="32" t="str">
        <x:v>Reliability</x:v>
      </x:c>
      <x:c r="D149" s="32" t="str">
        <x:v>Incremental test selection</x:v>
      </x:c>
      <x:c r="E149" s="32" t="str">
        <x:v>Impact graph selects relevant tests, while periodic full regression remains mandatory.</x:v>
      </x:c>
      <x:c r="F149" s="32" t="str">
        <x:v>P1</x:v>
      </x:c>
      <x:c r="G149" s="32"/>
      <x:c r="H149" s="32" t="str">
        <x:v>Not Started</x:v>
      </x:c>
      <x:c r="I149" s="376" t="n">
        <x:v>0</x:v>
      </x:c>
      <x:c r="J149" s="32"/>
      <x:c r="K149" s="32"/>
      <x:c r="L149" s="32"/>
      <x:c r="M149" s="32"/>
    </x:row>
    <x:row r="150" s="40" customFormat="1" ht="34" customHeight="1">
      <x:c r="A150" s="32" t="str">
        <x:v>R-074</x:v>
      </x:c>
      <x:c r="B150" s="32" t="str">
        <x:v>MID</x:v>
      </x:c>
      <x:c r="C150" s="32" t="str">
        <x:v>Multi-stack</x:v>
      </x:c>
      <x:c r="D150" s="32" t="str">
        <x:v>Backend stack profiles</x:v>
      </x:c>
      <x:c r="E150" s="32" t="str">
        <x:v>Offer Go, Python/FastAPI and optional Node/NestJS project templates.</x:v>
      </x:c>
      <x:c r="F150" s="32" t="str">
        <x:v>P1</x:v>
      </x:c>
      <x:c r="G150" s="32"/>
      <x:c r="H150" s="32" t="str">
        <x:v>Not Started</x:v>
      </x:c>
      <x:c r="I150" s="376" t="n">
        <x:v>0</x:v>
      </x:c>
      <x:c r="J150" s="32"/>
      <x:c r="K150" s="32"/>
      <x:c r="L150" s="32"/>
      <x:c r="M150" s="32"/>
    </x:row>
    <x:row r="151" s="40" customFormat="1" ht="34" customHeight="1">
      <x:c r="A151" s="32" t="str">
        <x:v>R-075</x:v>
      </x:c>
      <x:c r="B151" s="32" t="str">
        <x:v>MID</x:v>
      </x:c>
      <x:c r="C151" s="32" t="str">
        <x:v>Data</x:v>
      </x:c>
      <x:c r="D151" s="32" t="str">
        <x:v>Database profiles</x:v>
      </x:c>
      <x:c r="E151" s="32" t="str">
        <x:v>PostgreSQL default; optional MySQL, MongoDB, Supabase/Firebase connectors.</x:v>
      </x:c>
      <x:c r="F151" s="32" t="str">
        <x:v>P1</x:v>
      </x:c>
      <x:c r="G151" s="32"/>
      <x:c r="H151" s="32" t="str">
        <x:v>Not Started</x:v>
      </x:c>
      <x:c r="I151" s="376" t="n">
        <x:v>0</x:v>
      </x:c>
      <x:c r="J151" s="32"/>
      <x:c r="K151" s="32"/>
      <x:c r="L151" s="32"/>
      <x:c r="M151" s="32"/>
    </x:row>
    <x:row r="152" s="40" customFormat="1" ht="34" customHeight="1">
      <x:c r="A152" s="32" t="str">
        <x:v>R-076</x:v>
      </x:c>
      <x:c r="B152" s="32" t="str">
        <x:v>MID</x:v>
      </x:c>
      <x:c r="C152" s="32" t="str">
        <x:v>Developer UX</x:v>
      </x:c>
      <x:c r="D152" s="32" t="str">
        <x:v>Existing repo import</x:v>
      </x:c>
      <x:c r="E152" s="32" t="str">
        <x:v>Understand and modify non-generated projects safely.</x:v>
      </x:c>
      <x:c r="F152" s="32" t="str">
        <x:v>P1</x:v>
      </x:c>
      <x:c r="G152" s="32"/>
      <x:c r="H152" s="32" t="str">
        <x:v>Not Started</x:v>
      </x:c>
      <x:c r="I152" s="376" t="n">
        <x:v>0</x:v>
      </x:c>
      <x:c r="J152" s="32"/>
      <x:c r="K152" s="32"/>
      <x:c r="L152" s="32"/>
      <x:c r="M152" s="32"/>
    </x:row>
    <x:row r="153" s="40" customFormat="1" ht="34" customHeight="1">
      <x:c r="A153" s="32" t="str">
        <x:v>R-077</x:v>
      </x:c>
      <x:c r="B153" s="32" t="str">
        <x:v>MVP</x:v>
      </x:c>
      <x:c r="C153" s="32" t="str">
        <x:v>Mobile</x:v>
      </x:c>
      <x:c r="D153" s="32" t="str">
        <x:v>Flutter target (GA baseline)</x:v>
      </x:c>
      <x:c r="E153" s="32" t="str">
        <x:v>Generate one Dart codebase for Android/iOS; optional Flutter Web only when project profile fits.</x:v>
      </x:c>
      <x:c r="F153" s="32" t="str">
        <x:v>P0</x:v>
      </x:c>
      <x:c r="G153" s="32"/>
      <x:c r="H153" s="32" t="str">
        <x:v>Not Started</x:v>
      </x:c>
      <x:c r="I153" s="376" t="n">
        <x:v>0</x:v>
      </x:c>
      <x:c r="J153" s="32"/>
      <x:c r="K153" s="32"/>
      <x:c r="L153" s="32"/>
      <x:c r="M153" s="32"/>
    </x:row>
    <x:row r="154" s="40" customFormat="1" ht="34" customHeight="1">
      <x:c r="A154" s="32" t="str">
        <x:v>R-078</x:v>
      </x:c>
      <x:c r="B154" s="32" t="str">
        <x:v>MVP</x:v>
      </x:c>
      <x:c r="C154" s="32" t="str">
        <x:v>Mobile</x:v>
      </x:c>
      <x:c r="D154" s="32" t="str">
        <x:v>React Native target (GA/beta by team capacity)</x:v>
      </x:c>
      <x:c r="E154" s="32" t="str">
        <x:v>Generate one TypeScript/React Native codebase for Android/iOS; Expo optional; share TS logic/components with web where safe.</x:v>
      </x:c>
      <x:c r="F154" s="32" t="str">
        <x:v>P1</x:v>
      </x:c>
      <x:c r="G154" s="32"/>
      <x:c r="H154" s="32" t="str">
        <x:v>Not Started</x:v>
      </x:c>
      <x:c r="I154" s="376" t="n">
        <x:v>0</x:v>
      </x:c>
      <x:c r="J154" s="32"/>
      <x:c r="K154" s="32"/>
      <x:c r="L154" s="32"/>
      <x:c r="M154" s="32"/>
    </x:row>
    <x:row r="155" s="40" customFormat="1" ht="34" customHeight="1">
      <x:c r="A155" s="32" t="str">
        <x:v>R-079</x:v>
      </x:c>
      <x:c r="B155" s="32" t="str">
        <x:v>ADVANCED</x:v>
      </x:c>
      <x:c r="C155" s="32" t="str">
        <x:v>Models</x:v>
      </x:c>
      <x:c r="D155" s="32" t="str">
        <x:v>Model benchmark service</x:v>
      </x:c>
      <x:c r="E155" s="32" t="str">
        <x:v>Continuously score models on internal coding/repair/security tasks.</x:v>
      </x:c>
      <x:c r="F155" s="32" t="str">
        <x:v>P2</x:v>
      </x:c>
      <x:c r="G155" s="32"/>
      <x:c r="H155" s="32" t="str">
        <x:v>Not Started</x:v>
      </x:c>
      <x:c r="I155" s="376" t="n">
        <x:v>0</x:v>
      </x:c>
      <x:c r="J155" s="32"/>
      <x:c r="K155" s="32"/>
      <x:c r="L155" s="32"/>
      <x:c r="M155" s="32"/>
    </x:row>
    <x:row r="156" s="40" customFormat="1" ht="34" customHeight="1">
      <x:c r="A156" s="32" t="str">
        <x:v>R-080</x:v>
      </x:c>
      <x:c r="B156" s="32" t="str">
        <x:v>ADVANCED</x:v>
      </x:c>
      <x:c r="C156" s="32" t="str">
        <x:v>Models</x:v>
      </x:c>
      <x:c r="D156" s="32" t="str">
        <x:v>Self-hosted/local models</x:v>
      </x:c>
      <x:c r="E156" s="32" t="str">
        <x:v>Private model endpoints for enterprise or low-cost tasks.</x:v>
      </x:c>
      <x:c r="F156" s="32" t="str">
        <x:v>P2</x:v>
      </x:c>
      <x:c r="G156" s="32"/>
      <x:c r="H156" s="32" t="str">
        <x:v>Not Started</x:v>
      </x:c>
      <x:c r="I156" s="376" t="n">
        <x:v>0</x:v>
      </x:c>
      <x:c r="J156" s="32"/>
      <x:c r="K156" s="32"/>
      <x:c r="L156" s="32"/>
      <x:c r="M156" s="32"/>
    </x:row>
    <x:row r="157" s="40" customFormat="1" ht="34" customHeight="1">
      <x:c r="A157" s="32" t="str">
        <x:v>R-081</x:v>
      </x:c>
      <x:c r="B157" s="32" t="str">
        <x:v>ADVANCED</x:v>
      </x:c>
      <x:c r="C157" s="32" t="str">
        <x:v>Agents</x:v>
      </x:c>
      <x:c r="D157" s="32" t="str">
        <x:v>Specialist agent marketplace</x:v>
      </x:c>
      <x:c r="E157" s="32" t="str">
        <x:v>Versioned approved agents with capability and permission manifests.</x:v>
      </x:c>
      <x:c r="F157" s="32" t="str">
        <x:v>P2</x:v>
      </x:c>
      <x:c r="G157" s="32"/>
      <x:c r="H157" s="32" t="str">
        <x:v>Not Started</x:v>
      </x:c>
      <x:c r="I157" s="376" t="n">
        <x:v>0</x:v>
      </x:c>
      <x:c r="J157" s="32"/>
      <x:c r="K157" s="32"/>
      <x:c r="L157" s="32"/>
      <x:c r="M157" s="32"/>
    </x:row>
    <x:row r="158" s="40" customFormat="1" ht="34" customHeight="1">
      <x:c r="A158" s="32" t="str">
        <x:v>R-082</x:v>
      </x:c>
      <x:c r="B158" s="32" t="str">
        <x:v>ADVANCED</x:v>
      </x:c>
      <x:c r="C158" s="32" t="str">
        <x:v>Testing</x:v>
      </x:c>
      <x:c r="D158" s="32" t="str">
        <x:v>Physical device cloud</x:v>
      </x:c>
      <x:c r="E158" s="32" t="str">
        <x:v>Run selected flows on real iPhones/Android devices.</x:v>
      </x:c>
      <x:c r="F158" s="32" t="str">
        <x:v>P2</x:v>
      </x:c>
      <x:c r="G158" s="32"/>
      <x:c r="H158" s="32" t="str">
        <x:v>Not Started</x:v>
      </x:c>
      <x:c r="I158" s="376" t="n">
        <x:v>0</x:v>
      </x:c>
      <x:c r="J158" s="32"/>
      <x:c r="K158" s="32"/>
      <x:c r="L158" s="32"/>
      <x:c r="M158" s="32"/>
    </x:row>
    <x:row r="159" s="40" customFormat="1" ht="34" customHeight="1">
      <x:c r="A159" s="32" t="str">
        <x:v>R-083</x:v>
      </x:c>
      <x:c r="B159" s="32" t="str">
        <x:v>ADVANCED</x:v>
      </x:c>
      <x:c r="C159" s="32" t="str">
        <x:v>Infrastructure</x:v>
      </x:c>
      <x:c r="D159" s="32" t="str">
        <x:v>MicroVM sandbox</x:v>
      </x:c>
      <x:c r="E159" s="32" t="str">
        <x:v>Firecracker/Kata/gVisor isolation for higher-risk arbitrary code execution.</x:v>
      </x:c>
      <x:c r="F159" s="32" t="str">
        <x:v>P2</x:v>
      </x:c>
      <x:c r="G159" s="32"/>
      <x:c r="H159" s="32" t="str">
        <x:v>Not Started</x:v>
      </x:c>
      <x:c r="I159" s="376" t="n">
        <x:v>0</x:v>
      </x:c>
      <x:c r="J159" s="32"/>
      <x:c r="K159" s="32"/>
      <x:c r="L159" s="32"/>
      <x:c r="M159" s="32"/>
    </x:row>
    <x:row r="160" s="40" customFormat="1" ht="34" customHeight="1">
      <x:c r="A160" s="32" t="str">
        <x:v>R-084</x:v>
      </x:c>
      <x:c r="B160" s="32" t="str">
        <x:v>ADVANCED</x:v>
      </x:c>
      <x:c r="C160" s="32" t="str">
        <x:v>Infrastructure</x:v>
      </x:c>
      <x:c r="D160" s="32" t="str">
        <x:v>Multi-region build/control plane</x:v>
      </x:c>
      <x:c r="E160" s="32" t="str">
        <x:v>Regional workload placement and disaster recovery.</x:v>
      </x:c>
      <x:c r="F160" s="32" t="str">
        <x:v>P2</x:v>
      </x:c>
      <x:c r="G160" s="32"/>
      <x:c r="H160" s="32" t="str">
        <x:v>Not Started</x:v>
      </x:c>
      <x:c r="I160" s="376" t="n">
        <x:v>0</x:v>
      </x:c>
      <x:c r="J160" s="32"/>
      <x:c r="K160" s="32"/>
      <x:c r="L160" s="32"/>
      <x:c r="M160" s="32"/>
    </x:row>
    <x:row r="161" s="40" customFormat="1" ht="34" customHeight="1">
      <x:c r="A161" s="32" t="str">
        <x:v>R-085</x:v>
      </x:c>
      <x:c r="B161" s="32" t="str">
        <x:v>ADVANCED</x:v>
      </x:c>
      <x:c r="C161" s="32" t="str">
        <x:v>Enterprise</x:v>
      </x:c>
      <x:c r="D161" s="32" t="str">
        <x:v>BYOC</x:v>
      </x:c>
      <x:c r="E161" s="32" t="str">
        <x:v>Deploy sandboxes/build workers into customer cloud/VPC.</x:v>
      </x:c>
      <x:c r="F161" s="32" t="str">
        <x:v>P2</x:v>
      </x:c>
      <x:c r="G161" s="32"/>
      <x:c r="H161" s="32" t="str">
        <x:v>Not Started</x:v>
      </x:c>
      <x:c r="I161" s="376" t="n">
        <x:v>0</x:v>
      </x:c>
      <x:c r="J161" s="32"/>
      <x:c r="K161" s="32"/>
      <x:c r="L161" s="32"/>
      <x:c r="M161" s="32"/>
    </x:row>
    <x:row r="162" s="40" customFormat="1" ht="34" customHeight="1">
      <x:c r="A162" s="32" t="str">
        <x:v>R-086</x:v>
      </x:c>
      <x:c r="B162" s="32" t="str">
        <x:v>ADVANCED</x:v>
      </x:c>
      <x:c r="C162" s="32" t="str">
        <x:v>Enterprise</x:v>
      </x:c>
      <x:c r="D162" s="32" t="str">
        <x:v>Data residency controls</x:v>
      </x:c>
      <x:c r="E162" s="32" t="str">
        <x:v>Pin project data/logs/builds to approved regions.</x:v>
      </x:c>
      <x:c r="F162" s="32" t="str">
        <x:v>P2</x:v>
      </x:c>
      <x:c r="G162" s="32"/>
      <x:c r="H162" s="32" t="str">
        <x:v>Not Started</x:v>
      </x:c>
      <x:c r="I162" s="376" t="n">
        <x:v>0</x:v>
      </x:c>
      <x:c r="J162" s="32"/>
      <x:c r="K162" s="32"/>
      <x:c r="L162" s="32"/>
      <x:c r="M162" s="32"/>
    </x:row>
    <x:row r="163" s="40" customFormat="1" ht="34" customHeight="1">
      <x:c r="A163" s="32" t="str">
        <x:v>R-087</x:v>
      </x:c>
      <x:c r="B163" s="32" t="str">
        <x:v>ADVANCED</x:v>
      </x:c>
      <x:c r="C163" s="32" t="str">
        <x:v>Enterprise</x:v>
      </x:c>
      <x:c r="D163" s="32" t="str">
        <x:v>Policy-as-code</x:v>
      </x:c>
      <x:c r="E163" s="32" t="str">
        <x:v>Organization rules for models, packages, deployment, approvals and secrets.</x:v>
      </x:c>
      <x:c r="F163" s="32" t="str">
        <x:v>P2</x:v>
      </x:c>
      <x:c r="G163" s="32"/>
      <x:c r="H163" s="32" t="str">
        <x:v>Not Started</x:v>
      </x:c>
      <x:c r="I163" s="376" t="n">
        <x:v>0</x:v>
      </x:c>
      <x:c r="J163" s="32"/>
      <x:c r="K163" s="32"/>
      <x:c r="L163" s="32"/>
      <x:c r="M163" s="32"/>
    </x:row>
    <x:row r="164" s="40" customFormat="1" ht="34" customHeight="1">
      <x:c r="A164" s="32" t="str">
        <x:v>R-088</x:v>
      </x:c>
      <x:c r="B164" s="32" t="str">
        <x:v>ADVANCED</x:v>
      </x:c>
      <x:c r="C164" s="32" t="str">
        <x:v>Architecture</x:v>
      </x:c>
      <x:c r="D164" s="32" t="str">
        <x:v>Cross-platform consistency checker</x:v>
      </x:c>
      <x:c r="E164" s="32" t="str">
        <x:v>Ensure feature behavior/API semantics stay aligned across Android/iOS/web.</x:v>
      </x:c>
      <x:c r="F164" s="32" t="str">
        <x:v>P2</x:v>
      </x:c>
      <x:c r="G164" s="32"/>
      <x:c r="H164" s="32" t="str">
        <x:v>Not Started</x:v>
      </x:c>
      <x:c r="I164" s="376" t="n">
        <x:v>0</x:v>
      </x:c>
      <x:c r="J164" s="32"/>
      <x:c r="K164" s="32"/>
      <x:c r="L164" s="32"/>
      <x:c r="M164" s="32"/>
    </x:row>
    <x:row r="165" s="40" customFormat="1" ht="34" customHeight="1">
      <x:c r="A165" s="32" t="str">
        <x:v>R-089</x:v>
      </x:c>
      <x:c r="B165" s="32" t="str">
        <x:v>ADVANCED</x:v>
      </x:c>
      <x:c r="C165" s="32" t="str">
        <x:v>Architecture</x:v>
      </x:c>
      <x:c r="D165" s="32" t="str">
        <x:v>Automated refactoring planner</x:v>
      </x:c>
      <x:c r="E165" s="32" t="str">
        <x:v>Detect debt and create safe incremental refactor plans.</x:v>
      </x:c>
      <x:c r="F165" s="32" t="str">
        <x:v>P2</x:v>
      </x:c>
      <x:c r="G165" s="32"/>
      <x:c r="H165" s="32" t="str">
        <x:v>Not Started</x:v>
      </x:c>
      <x:c r="I165" s="376" t="n">
        <x:v>0</x:v>
      </x:c>
      <x:c r="J165" s="32"/>
      <x:c r="K165" s="32"/>
      <x:c r="L165" s="32"/>
      <x:c r="M165" s="32"/>
    </x:row>
    <x:row r="166" s="40" customFormat="1" ht="34" customHeight="1">
      <x:c r="A166" s="32" t="str">
        <x:v>R-090</x:v>
      </x:c>
      <x:c r="B166" s="32" t="str">
        <x:v>ADVANCED</x:v>
      </x:c>
      <x:c r="C166" s="32" t="str">
        <x:v>Quality</x:v>
      </x:c>
      <x:c r="D166" s="32" t="str">
        <x:v>Mutation/fuzz testing</x:v>
      </x:c>
      <x:c r="E166" s="32" t="str">
        <x:v>Higher assurance for critical services and parsers.</x:v>
      </x:c>
      <x:c r="F166" s="32" t="str">
        <x:v>P2</x:v>
      </x:c>
      <x:c r="G166" s="32"/>
      <x:c r="H166" s="32" t="str">
        <x:v>Not Started</x:v>
      </x:c>
      <x:c r="I166" s="376" t="n">
        <x:v>0</x:v>
      </x:c>
      <x:c r="J166" s="32"/>
      <x:c r="K166" s="32"/>
      <x:c r="L166" s="32"/>
      <x:c r="M166" s="32"/>
    </x:row>
    <x:row r="167" s="40" customFormat="1" ht="34" customHeight="1">
      <x:c r="A167" s="32" t="str">
        <x:v>R-091</x:v>
      </x:c>
      <x:c r="B167" s="32" t="str">
        <x:v>ADVANCED</x:v>
      </x:c>
      <x:c r="C167" s="32" t="str">
        <x:v>Cost</x:v>
      </x:c>
      <x:c r="D167" s="32" t="str">
        <x:v>Predictive capacity scheduler</x:v>
      </x:c>
      <x:c r="E167" s="32" t="str">
        <x:v>Prewarm Mac/Linux workers using demand forecasts.</x:v>
      </x:c>
      <x:c r="F167" s="32" t="str">
        <x:v>P2</x:v>
      </x:c>
      <x:c r="G167" s="32"/>
      <x:c r="H167" s="32" t="str">
        <x:v>Not Started</x:v>
      </x:c>
      <x:c r="I167" s="376" t="n">
        <x:v>0</x:v>
      </x:c>
      <x:c r="J167" s="32"/>
      <x:c r="K167" s="32"/>
      <x:c r="L167" s="32"/>
      <x:c r="M167" s="32"/>
    </x:row>
    <x:row r="168" s="40" customFormat="1" ht="34" customHeight="1">
      <x:c r="A168" s="32" t="str">
        <x:v>R-092</x:v>
      </x:c>
      <x:c r="B168" s="32" t="str">
        <x:v>ADVANCED</x:v>
      </x:c>
      <x:c r="C168" s="32" t="str">
        <x:v>Cost</x:v>
      </x:c>
      <x:c r="D168" s="32" t="str">
        <x:v>Spot/preemptible optimization</x:v>
      </x:c>
      <x:c r="E168" s="32" t="str">
        <x:v>Use interruptible compute for safe non-release workloads.</x:v>
      </x:c>
      <x:c r="F168" s="32" t="str">
        <x:v>P2</x:v>
      </x:c>
      <x:c r="G168" s="32"/>
      <x:c r="H168" s="32" t="str">
        <x:v>Not Started</x:v>
      </x:c>
      <x:c r="I168" s="376" t="n">
        <x:v>0</x:v>
      </x:c>
      <x:c r="J168" s="32"/>
      <x:c r="K168" s="32"/>
      <x:c r="L168" s="32"/>
      <x:c r="M168" s="32"/>
    </x:row>
    <x:row r="169" s="40" customFormat="1" ht="34" customHeight="1">
      <x:c r="A169" s="32" t="str">
        <x:v>R-093</x:v>
      </x:c>
      <x:c r="B169" s="32" t="str">
        <x:v>ADVANCED</x:v>
      </x:c>
      <x:c r="C169" s="32" t="str">
        <x:v>Analytics</x:v>
      </x:c>
      <x:c r="D169" s="32" t="str">
        <x:v>Quality trend analytics</x:v>
      </x:c>
      <x:c r="E169" s="32" t="str">
        <x:v>Track regression, debt and agent success by model/version/framework.</x:v>
      </x:c>
      <x:c r="F169" s="32" t="str">
        <x:v>P2</x:v>
      </x:c>
      <x:c r="G169" s="32"/>
      <x:c r="H169" s="32" t="str">
        <x:v>Not Started</x:v>
      </x:c>
      <x:c r="I169" s="376" t="n">
        <x:v>0</x:v>
      </x:c>
      <x:c r="J169" s="32"/>
      <x:c r="K169" s="32"/>
      <x:c r="L169" s="32"/>
      <x:c r="M169" s="32"/>
    </x:row>
    <x:row r="170" s="40" customFormat="1" ht="34" customHeight="1">
      <x:c r="A170" s="32" t="str">
        <x:v>R-094</x:v>
      </x:c>
      <x:c r="B170" s="32" t="str">
        <x:v>PRODUCTION</x:v>
      </x:c>
      <x:c r="C170" s="32" t="str">
        <x:v>Reliability</x:v>
      </x:c>
      <x:c r="D170" s="32" t="str">
        <x:v>SLO/SLA framework</x:v>
      </x:c>
      <x:c r="E170" s="32" t="str">
        <x:v>Define availability, task success, build latency and recovery objectives.</x:v>
      </x:c>
      <x:c r="F170" s="32" t="str">
        <x:v>P0</x:v>
      </x:c>
      <x:c r="G170" s="32"/>
      <x:c r="H170" s="32" t="str">
        <x:v>Not Started</x:v>
      </x:c>
      <x:c r="I170" s="376" t="n">
        <x:v>0</x:v>
      </x:c>
      <x:c r="J170" s="32"/>
      <x:c r="K170" s="32"/>
      <x:c r="L170" s="32"/>
      <x:c r="M170" s="32"/>
    </x:row>
    <x:row r="171" s="40" customFormat="1" ht="34" customHeight="1">
      <x:c r="A171" s="32" t="str">
        <x:v>R-095</x:v>
      </x:c>
      <x:c r="B171" s="32" t="str">
        <x:v>PRODUCTION</x:v>
      </x:c>
      <x:c r="C171" s="32" t="str">
        <x:v>Reliability</x:v>
      </x:c>
      <x:c r="D171" s="32" t="str">
        <x:v>HA control plane</x:v>
      </x:c>
      <x:c r="E171" s="32" t="str">
        <x:v>Remove single points of failure across API, queue, DB and model gateway.</x:v>
      </x:c>
      <x:c r="F171" s="32" t="str">
        <x:v>P0</x:v>
      </x:c>
      <x:c r="G171" s="32"/>
      <x:c r="H171" s="32" t="str">
        <x:v>Not Started</x:v>
      </x:c>
      <x:c r="I171" s="376" t="n">
        <x:v>0</x:v>
      </x:c>
      <x:c r="J171" s="32"/>
      <x:c r="K171" s="32"/>
      <x:c r="L171" s="32"/>
      <x:c r="M171" s="32"/>
    </x:row>
    <x:row r="172" s="40" customFormat="1" ht="34" customHeight="1">
      <x:c r="A172" s="32" t="str">
        <x:v>R-096</x:v>
      </x:c>
      <x:c r="B172" s="32" t="str">
        <x:v>PRODUCTION</x:v>
      </x:c>
      <x:c r="C172" s="32" t="str">
        <x:v>Reliability</x:v>
      </x:c>
      <x:c r="D172" s="32" t="str">
        <x:v>Backup + restore drills</x:v>
      </x:c>
      <x:c r="E172" s="32" t="str">
        <x:v>Automated backups plus regularly tested restoration.</x:v>
      </x:c>
      <x:c r="F172" s="32" t="str">
        <x:v>P0</x:v>
      </x:c>
      <x:c r="G172" s="32"/>
      <x:c r="H172" s="32" t="str">
        <x:v>Not Started</x:v>
      </x:c>
      <x:c r="I172" s="376" t="n">
        <x:v>0</x:v>
      </x:c>
      <x:c r="J172" s="32"/>
      <x:c r="K172" s="32"/>
      <x:c r="L172" s="32"/>
      <x:c r="M172" s="32"/>
    </x:row>
    <x:row r="173" s="40" customFormat="1" ht="34" customHeight="1">
      <x:c r="A173" s="32" t="str">
        <x:v>R-097</x:v>
      </x:c>
      <x:c r="B173" s="32" t="str">
        <x:v>PRODUCTION</x:v>
      </x:c>
      <x:c r="C173" s="32" t="str">
        <x:v>Reliability</x:v>
      </x:c>
      <x:c r="D173" s="32" t="str">
        <x:v>Disaster recovery</x:v>
      </x:c>
      <x:c r="E173" s="32" t="str">
        <x:v>Document and exercise regional recovery procedures.</x:v>
      </x:c>
      <x:c r="F173" s="32" t="str">
        <x:v>P0</x:v>
      </x:c>
      <x:c r="G173" s="32"/>
      <x:c r="H173" s="32" t="str">
        <x:v>Not Started</x:v>
      </x:c>
      <x:c r="I173" s="376" t="n">
        <x:v>0</x:v>
      </x:c>
      <x:c r="J173" s="32"/>
      <x:c r="K173" s="32"/>
      <x:c r="L173" s="32"/>
      <x:c r="M173" s="32"/>
    </x:row>
    <x:row r="174" s="40" customFormat="1" ht="34" customHeight="1">
      <x:c r="A174" s="32" t="str">
        <x:v>R-098</x:v>
      </x:c>
      <x:c r="B174" s="32" t="str">
        <x:v>PRODUCTION</x:v>
      </x:c>
      <x:c r="C174" s="32" t="str">
        <x:v>Security</x:v>
      </x:c>
      <x:c r="D174" s="32" t="str">
        <x:v>Independent penetration test</x:v>
      </x:c>
      <x:c r="E174" s="32" t="str">
        <x:v>External security assessment before broad enterprise launch.</x:v>
      </x:c>
      <x:c r="F174" s="32" t="str">
        <x:v>P0</x:v>
      </x:c>
      <x:c r="G174" s="32"/>
      <x:c r="H174" s="32" t="str">
        <x:v>Not Started</x:v>
      </x:c>
      <x:c r="I174" s="376" t="n">
        <x:v>0</x:v>
      </x:c>
      <x:c r="J174" s="32"/>
      <x:c r="K174" s="32"/>
      <x:c r="L174" s="32"/>
      <x:c r="M174" s="32"/>
    </x:row>
    <x:row r="175" s="40" customFormat="1" ht="34" customHeight="1">
      <x:c r="A175" s="32" t="str">
        <x:v>R-099</x:v>
      </x:c>
      <x:c r="B175" s="32" t="str">
        <x:v>PRODUCTION</x:v>
      </x:c>
      <x:c r="C175" s="32" t="str">
        <x:v>Security</x:v>
      </x:c>
      <x:c r="D175" s="32" t="str">
        <x:v>SOC 2 readiness controls</x:v>
      </x:c>
      <x:c r="E175" s="32" t="str">
        <x:v>Audit logging, access reviews, change management, incident response and evidence.</x:v>
      </x:c>
      <x:c r="F175" s="32" t="str">
        <x:v>P0</x:v>
      </x:c>
      <x:c r="G175" s="32"/>
      <x:c r="H175" s="32" t="str">
        <x:v>Not Started</x:v>
      </x:c>
      <x:c r="I175" s="376" t="n">
        <x:v>0</x:v>
      </x:c>
      <x:c r="J175" s="32"/>
      <x:c r="K175" s="32"/>
      <x:c r="L175" s="32"/>
      <x:c r="M175" s="32"/>
    </x:row>
    <x:row r="176" s="40" customFormat="1" ht="34" customHeight="1">
      <x:c r="A176" s="32" t="str">
        <x:v>R-100</x:v>
      </x:c>
      <x:c r="B176" s="32" t="str">
        <x:v>PRODUCTION</x:v>
      </x:c>
      <x:c r="C176" s="32" t="str">
        <x:v>Security</x:v>
      </x:c>
      <x:c r="D176" s="32" t="str">
        <x:v>Tenant isolation validation</x:v>
      </x:c>
      <x:c r="E176" s="32" t="str">
        <x:v>Automated tests prove data/secret/build isolation between tenants.</x:v>
      </x:c>
      <x:c r="F176" s="32" t="str">
        <x:v>P0</x:v>
      </x:c>
      <x:c r="G176" s="32"/>
      <x:c r="H176" s="32" t="str">
        <x:v>Not Started</x:v>
      </x:c>
      <x:c r="I176" s="376" t="n">
        <x:v>0</x:v>
      </x:c>
      <x:c r="J176" s="32"/>
      <x:c r="K176" s="32"/>
      <x:c r="L176" s="32"/>
      <x:c r="M176" s="32"/>
    </x:row>
    <x:row r="177" s="40" customFormat="1" ht="34" customHeight="1">
      <x:c r="A177" s="32" t="str">
        <x:v>R-101</x:v>
      </x:c>
      <x:c r="B177" s="32" t="str">
        <x:v>PRODUCTION</x:v>
      </x:c>
      <x:c r="C177" s="32" t="str">
        <x:v>Security</x:v>
      </x:c>
      <x:c r="D177" s="32" t="str">
        <x:v>Signing-key hardening</x:v>
      </x:c>
      <x:c r="E177" s="32" t="str">
        <x:v>KMS/HSM-backed signing workflows and strict operator access.</x:v>
      </x:c>
      <x:c r="F177" s="32" t="str">
        <x:v>P0</x:v>
      </x:c>
      <x:c r="G177" s="32"/>
      <x:c r="H177" s="32" t="str">
        <x:v>Not Started</x:v>
      </x:c>
      <x:c r="I177" s="376" t="n">
        <x:v>0</x:v>
      </x:c>
      <x:c r="J177" s="32"/>
      <x:c r="K177" s="32"/>
      <x:c r="L177" s="32"/>
      <x:c r="M177" s="32"/>
    </x:row>
    <x:row r="178" s="40" customFormat="1" ht="34" customHeight="1">
      <x:c r="A178" s="32" t="str">
        <x:v>R-102</x:v>
      </x:c>
      <x:c r="B178" s="32" t="str">
        <x:v>PRODUCTION</x:v>
      </x:c>
      <x:c r="C178" s="32" t="str">
        <x:v>Operations</x:v>
      </x:c>
      <x:c r="D178" s="32" t="str">
        <x:v>24x7 incident process</x:v>
      </x:c>
      <x:c r="E178" s="32" t="str">
        <x:v>On-call, severity levels, runbooks, status page and postmortems.</x:v>
      </x:c>
      <x:c r="F178" s="32" t="str">
        <x:v>P0</x:v>
      </x:c>
      <x:c r="G178" s="32"/>
      <x:c r="H178" s="32" t="str">
        <x:v>Not Started</x:v>
      </x:c>
      <x:c r="I178" s="376" t="n">
        <x:v>0</x:v>
      </x:c>
      <x:c r="J178" s="32"/>
      <x:c r="K178" s="32"/>
      <x:c r="L178" s="32"/>
      <x:c r="M178" s="32"/>
    </x:row>
    <x:row r="179" s="40" customFormat="1" ht="34" customHeight="1">
      <x:c r="A179" s="32" t="str">
        <x:v>R-103</x:v>
      </x:c>
      <x:c r="B179" s="32" t="str">
        <x:v>PRODUCTION</x:v>
      </x:c>
      <x:c r="C179" s="32" t="str">
        <x:v>Operations</x:v>
      </x:c>
      <x:c r="D179" s="32" t="str">
        <x:v>Capacity/load tests</x:v>
      </x:c>
      <x:c r="E179" s="32" t="str">
        <x:v>Prove planned concurrency for AI, sandboxes, builds and previews.</x:v>
      </x:c>
      <x:c r="F179" s="32" t="str">
        <x:v>P0</x:v>
      </x:c>
      <x:c r="G179" s="32"/>
      <x:c r="H179" s="32" t="str">
        <x:v>Not Started</x:v>
      </x:c>
      <x:c r="I179" s="376" t="n">
        <x:v>0</x:v>
      </x:c>
      <x:c r="J179" s="32"/>
      <x:c r="K179" s="32"/>
      <x:c r="L179" s="32"/>
      <x:c r="M179" s="32"/>
    </x:row>
    <x:row r="180" s="40" customFormat="1" ht="34" customHeight="1">
      <x:c r="A180" s="32" t="str">
        <x:v>R-104</x:v>
      </x:c>
      <x:c r="B180" s="32" t="str">
        <x:v>PRODUCTION</x:v>
      </x:c>
      <x:c r="C180" s="32" t="str">
        <x:v>Operations</x:v>
      </x:c>
      <x:c r="D180" s="32" t="str">
        <x:v>Cost guardrails</x:v>
      </x:c>
      <x:c r="E180" s="32" t="str">
        <x:v>Project/account spending caps, anomaly detection and kill switches.</x:v>
      </x:c>
      <x:c r="F180" s="32" t="str">
        <x:v>P0</x:v>
      </x:c>
      <x:c r="G180" s="32"/>
      <x:c r="H180" s="32" t="str">
        <x:v>Not Started</x:v>
      </x:c>
      <x:c r="I180" s="376" t="n">
        <x:v>0</x:v>
      </x:c>
      <x:c r="J180" s="32"/>
      <x:c r="K180" s="32"/>
      <x:c r="L180" s="32"/>
      <x:c r="M180" s="32"/>
    </x:row>
    <x:row r="181">
      <x:c r="A181" s="43" t="str">
        <x:v>R-105</x:v>
      </x:c>
      <x:c r="B181" s="43" t="str">
        <x:v>PRODUCTION</x:v>
      </x:c>
      <x:c r="C181" s="43" t="str">
        <x:v>Quality</x:v>
      </x:c>
      <x:c r="D181" s="43" t="str">
        <x:v>Release qualification suite</x:v>
      </x:c>
      <x:c r="E181" s="43" t="str">
        <x:v>Full regression across supported stack versions before platform releases.</x:v>
      </x:c>
      <x:c r="F181" s="43" t="str">
        <x:v>P0</x:v>
      </x:c>
      <x:c r="G181" s="43"/>
      <x:c r="H181" s="43" t="str">
        <x:v>Not Started</x:v>
      </x:c>
      <x:c r="I181" s="386" t="n">
        <x:v>0</x:v>
      </x:c>
      <x:c r="J181" s="43"/>
      <x:c r="K181" s="43"/>
      <x:c r="L181" s="43"/>
      <x:c r="M181" s="43"/>
    </x:row>
    <x:row r="182">
      <x:c r="A182" s="42" t="str">
        <x:v>R-106</x:v>
      </x:c>
      <x:c r="B182" s="42" t="str">
        <x:v>PRODUCTION</x:v>
      </x:c>
      <x:c r="C182" s="42" t="str">
        <x:v>Quality</x:v>
      </x:c>
      <x:c r="D182" s="42" t="str">
        <x:v>Canary platform releases</x:v>
      </x:c>
      <x:c r="E182" s="42" t="str">
        <x:v>Gradual rollout with automatic rollback on health regression.</x:v>
      </x:c>
      <x:c r="F182" s="42" t="str">
        <x:v>P0</x:v>
      </x:c>
      <x:c r="G182" s="42"/>
      <x:c r="H182" s="42" t="str">
        <x:v>Not Started</x:v>
      </x:c>
      <x:c r="I182" s="387" t="n">
        <x:v>0</x:v>
      </x:c>
      <x:c r="J182" s="42"/>
      <x:c r="K182" s="42"/>
      <x:c r="L182" s="42"/>
      <x:c r="M182" s="42"/>
    </x:row>
    <x:row r="183">
      <x:c r="A183" s="43" t="str">
        <x:v>R-107</x:v>
      </x:c>
      <x:c r="B183" s="43" t="str">
        <x:v>PRODUCTION</x:v>
      </x:c>
      <x:c r="C183" s="43" t="str">
        <x:v>Support</x:v>
      </x:c>
      <x:c r="D183" s="43" t="str">
        <x:v>Support tooling</x:v>
      </x:c>
      <x:c r="E183" s="43" t="str">
        <x:v>Project-safe diagnostic bundles with secrets redacted.</x:v>
      </x:c>
      <x:c r="F183" s="43" t="str">
        <x:v>P0</x:v>
      </x:c>
      <x:c r="G183" s="43"/>
      <x:c r="H183" s="43" t="str">
        <x:v>Not Started</x:v>
      </x:c>
      <x:c r="I183" s="386" t="n">
        <x:v>0</x:v>
      </x:c>
      <x:c r="J183" s="43"/>
      <x:c r="K183" s="43"/>
      <x:c r="L183" s="43"/>
      <x:c r="M183" s="43"/>
    </x:row>
    <x:row r="184">
      <x:c r="A184" s="42" t="str">
        <x:v>R-108</x:v>
      </x:c>
      <x:c r="B184" s="42" t="str">
        <x:v>PRODUCTION</x:v>
      </x:c>
      <x:c r="C184" s="42" t="str">
        <x:v>Legal/Privacy</x:v>
      </x:c>
      <x:c r="D184" s="42" t="str">
        <x:v>Privacy + retention controls</x:v>
      </x:c>
      <x:c r="E184" s="42" t="str">
        <x:v>Deletion, export, retention, DPA and subprocessors documented.</x:v>
      </x:c>
      <x:c r="F184" s="42" t="str">
        <x:v>P0</x:v>
      </x:c>
      <x:c r="G184" s="42"/>
      <x:c r="H184" s="42" t="str">
        <x:v>Not Started</x:v>
      </x:c>
      <x:c r="I184" s="387" t="n">
        <x:v>0</x:v>
      </x:c>
      <x:c r="J184" s="42"/>
      <x:c r="K184" s="42"/>
      <x:c r="L184" s="42"/>
      <x:c r="M184" s="42"/>
    </x:row>
    <x:row r="185">
      <x:c r="A185" s="43" t="str">
        <x:v>R-109</x:v>
      </x:c>
      <x:c r="B185" s="43" t="str">
        <x:v>PRODUCTION</x:v>
      </x:c>
      <x:c r="C185" s="43" t="str">
        <x:v>Business</x:v>
      </x:c>
      <x:c r="D185" s="43" t="str">
        <x:v>Plan entitlements</x:v>
      </x:c>
      <x:c r="E185" s="43" t="str">
        <x:v>Feature/compute/model limits enforced consistently across plans.</x:v>
      </x:c>
      <x:c r="F185" s="43" t="str">
        <x:v>P0</x:v>
      </x:c>
      <x:c r="G185" s="43"/>
      <x:c r="H185" s="43" t="str">
        <x:v>Not Started</x:v>
      </x:c>
      <x:c r="I185" s="386" t="n">
        <x:v>0</x:v>
      </x:c>
      <x:c r="J185" s="43"/>
      <x:c r="K185" s="43"/>
      <x:c r="L185" s="43"/>
      <x:c r="M185" s="43"/>
    </x:row>
    <x:row r="186">
      <x:c r="A186" s="42" t="str">
        <x:v>R-110</x:v>
      </x:c>
      <x:c r="B186" s="42" t="str">
        <x:v>PRODUCTION</x:v>
      </x:c>
      <x:c r="C186" s="42" t="str">
        <x:v>Business</x:v>
      </x:c>
      <x:c r="D186" s="42" t="str">
        <x:v>Unit economics dashboard</x:v>
      </x:c>
      <x:c r="E186" s="42" t="str">
        <x:v>Gross margin by plan, task type, model and compute class.</x:v>
      </x:c>
      <x:c r="F186" s="42" t="str">
        <x:v>P0</x:v>
      </x:c>
      <x:c r="G186" s="42"/>
      <x:c r="H186" s="42" t="str">
        <x:v>Not Started</x:v>
      </x:c>
      <x:c r="I186" s="387" t="n">
        <x:v>0</x:v>
      </x:c>
      <x:c r="J186" s="42"/>
      <x:c r="K186" s="42"/>
      <x:c r="L186" s="42"/>
      <x:c r="M186" s="42"/>
    </x:row>
    <x:row r="187">
      <x:c r="A187" s="43" t="str">
        <x:v>R-111</x:v>
      </x:c>
      <x:c r="B187" s="43" t="str">
        <x:v>MVP</x:v>
      </x:c>
      <x:c r="C187" s="43" t="str">
        <x:v>Framework Strategy</x:v>
      </x:c>
      <x:c r="D187" s="43" t="str">
        <x:v>Cross-platform Mobile Agent</x:v>
      </x:c>
      <x:c r="E187" s="43" t="str">
        <x:v>Generate/modify Flutter or React Native based on selected target adapter; activate only the chosen framework.</x:v>
      </x:c>
      <x:c r="F187" s="43" t="str">
        <x:v>P0</x:v>
      </x:c>
      <x:c r="G187" s="43"/>
      <x:c r="H187" s="43" t="str">
        <x:v>Not Started</x:v>
      </x:c>
      <x:c r="I187" s="386" t="n">
        <x:v>0</x:v>
      </x:c>
      <x:c r="J187" s="43" t="str">
        <x:v>Application IR v1</x:v>
      </x:c>
      <x:c r="K187" s="43"/>
      <x:c r="L187" s="43"/>
      <x:c r="M187" s="43"/>
    </x:row>
    <x:row r="188">
      <x:c r="A188" s="42" t="str">
        <x:v>R-112</x:v>
      </x:c>
      <x:c r="B188" s="42" t="str">
        <x:v>MVP</x:v>
      </x:c>
      <x:c r="C188" s="42" t="str">
        <x:v>Framework Strategy</x:v>
      </x:c>
      <x:c r="D188" s="42" t="str">
        <x:v>Framework recommendation engine</x:v>
      </x:c>
      <x:c r="E188" s="42" t="str">
        <x:v>Score project requirements and recommend Flutter, React Native, Native, or Web/PWA; do not decide only by industry label.</x:v>
      </x:c>
      <x:c r="F188" s="42" t="str">
        <x:v>P0</x:v>
      </x:c>
      <x:c r="G188" s="42"/>
      <x:c r="H188" s="42" t="str">
        <x:v>Not Started</x:v>
      </x:c>
      <x:c r="I188" s="387" t="n">
        <x:v>0</x:v>
      </x:c>
      <x:c r="J188" s="42" t="str">
        <x:v>Requirement specification step</x:v>
      </x:c>
      <x:c r="K188" s="42"/>
      <x:c r="L188" s="42"/>
      <x:c r="M188" s="42"/>
    </x:row>
    <x:row r="189">
      <x:c r="A189" s="43" t="str">
        <x:v>R-113</x:v>
      </x:c>
      <x:c r="B189" s="43" t="str">
        <x:v>MVP</x:v>
      </x:c>
      <x:c r="C189" s="43" t="str">
        <x:v>Framework Strategy</x:v>
      </x:c>
      <x:c r="D189" s="43" t="str">
        <x:v>Auto / Recommended project mode</x:v>
      </x:c>
      <x:c r="E189" s="43" t="str">
        <x:v>Default create-project option selects the cheapest safe architecture and explains why.</x:v>
      </x:c>
      <x:c r="F189" s="43" t="str">
        <x:v>P0</x:v>
      </x:c>
      <x:c r="G189" s="43"/>
      <x:c r="H189" s="43" t="str">
        <x:v>Not Started</x:v>
      </x:c>
      <x:c r="I189" s="386" t="n">
        <x:v>0</x:v>
      </x:c>
      <x:c r="J189" s="43" t="str">
        <x:v>Framework recommendation engine</x:v>
      </x:c>
      <x:c r="K189" s="43"/>
      <x:c r="L189" s="43"/>
      <x:c r="M189" s="43"/>
    </x:row>
    <x:row r="190">
      <x:c r="A190" s="42" t="str">
        <x:v>R-114</x:v>
      </x:c>
      <x:c r="B190" s="42" t="str">
        <x:v>MVP</x:v>
      </x:c>
      <x:c r="C190" s="42" t="str">
        <x:v>Framework Strategy</x:v>
      </x:c>
      <x:c r="D190" s="42" t="str">
        <x:v>Manual framework override</x:v>
      </x:c>
      <x:c r="E190" s="42" t="str">
        <x:v>User can choose Flutter, React Native or Native even when recommendation differs; show cost/risk warning.</x:v>
      </x:c>
      <x:c r="F190" s="42" t="str">
        <x:v>P1</x:v>
      </x:c>
      <x:c r="G190" s="42"/>
      <x:c r="H190" s="42" t="str">
        <x:v>Not Started</x:v>
      </x:c>
      <x:c r="I190" s="387" t="n">
        <x:v>0</x:v>
      </x:c>
      <x:c r="J190" s="42" t="str">
        <x:v>Framework recommendation engine</x:v>
      </x:c>
      <x:c r="K190" s="42"/>
      <x:c r="L190" s="42"/>
      <x:c r="M190" s="42"/>
    </x:row>
    <x:row r="191">
      <x:c r="A191" s="43" t="str">
        <x:v>R-115</x:v>
      </x:c>
      <x:c r="B191" s="43" t="str">
        <x:v>MVP</x:v>
      </x:c>
      <x:c r="C191" s="43" t="str">
        <x:v>Architecture</x:v>
      </x:c>
      <x:c r="D191" s="43" t="str">
        <x:v>Framework adapter contract</x:v>
      </x:c>
      <x:c r="E191" s="43" t="str">
        <x:v>Application IR feeds framework-specific generators through a stable adapter interface so new targets do not change product intent.</x:v>
      </x:c>
      <x:c r="F191" s="43" t="str">
        <x:v>P0</x:v>
      </x:c>
      <x:c r="G191" s="43"/>
      <x:c r="H191" s="43" t="str">
        <x:v>Not Started</x:v>
      </x:c>
      <x:c r="I191" s="386" t="n">
        <x:v>0</x:v>
      </x:c>
      <x:c r="J191" s="43" t="str">
        <x:v>Application IR v1</x:v>
      </x:c>
      <x:c r="K191" s="43"/>
      <x:c r="L191" s="43"/>
      <x:c r="M191" s="43"/>
    </x:row>
    <x:row r="192">
      <x:c r="A192" s="42" t="str">
        <x:v>R-116</x:v>
      </x:c>
      <x:c r="B192" s="42" t="str">
        <x:v>MVP</x:v>
      </x:c>
      <x:c r="C192" s="42" t="str">
        <x:v>Architecture</x:v>
      </x:c>
      <x:c r="D192" s="42" t="str">
        <x:v>Shared-code policy</x:v>
      </x:c>
      <x:c r="E192" s="42" t="str">
        <x:v>Share contracts, schemas, design tokens, validation and business rules first; share UI/runtime code only when framework safely supports it.</x:v>
      </x:c>
      <x:c r="F192" s="42" t="str">
        <x:v>P0</x:v>
      </x:c>
      <x:c r="G192" s="42"/>
      <x:c r="H192" s="42" t="str">
        <x:v>Not Started</x:v>
      </x:c>
      <x:c r="I192" s="387" t="n">
        <x:v>0</x:v>
      </x:c>
      <x:c r="J192" s="42" t="str">
        <x:v>Framework adapter contract</x:v>
      </x:c>
      <x:c r="K192" s="42"/>
      <x:c r="L192" s="42"/>
      <x:c r="M192" s="42"/>
    </x:row>
    <x:row r="193">
      <x:c r="A193" s="43" t="str">
        <x:v>R-117</x:v>
      </x:c>
      <x:c r="B193" s="43" t="str">
        <x:v>MVP</x:v>
      </x:c>
      <x:c r="C193" s="43" t="str">
        <x:v>Web/Admin</x:v>
      </x:c>
      <x:c r="D193" s="43" t="str">
        <x:v>Next.js web + admin default</x:v>
      </x:c>
      <x:c r="E193" s="43" t="str">
        <x:v>Use Next.js/TypeScript for customer web and admin by default for SEO, desktop UX, accessibility and maintainability.</x:v>
      </x:c>
      <x:c r="F193" s="43" t="str">
        <x:v>P0</x:v>
      </x:c>
      <x:c r="G193" s="43"/>
      <x:c r="H193" s="43" t="str">
        <x:v>Not Started</x:v>
      </x:c>
      <x:c r="I193" s="386" t="n">
        <x:v>0</x:v>
      </x:c>
      <x:c r="J193" s="43" t="str">
        <x:v>Web/Admin Agent</x:v>
      </x:c>
      <x:c r="K193" s="43"/>
      <x:c r="L193" s="43"/>
      <x:c r="M193" s="43"/>
    </x:row>
    <x:row r="194">
      <x:c r="A194" s="42" t="str">
        <x:v>R-118</x:v>
      </x:c>
      <x:c r="B194" s="42" t="str">
        <x:v>MID</x:v>
      </x:c>
      <x:c r="C194" s="42" t="str">
        <x:v>Web/Admin</x:v>
      </x:c>
      <x:c r="D194" s="42" t="str">
        <x:v>Flutter Web optional profile</x:v>
      </x:c>
      <x:c r="E194" s="42" t="str">
        <x:v>Allow Flutter Web for app-like browser experiences when SEO/desktop constraints are acceptable; never force admin panel onto Flutter.</x:v>
      </x:c>
      <x:c r="F194" s="42" t="str">
        <x:v>P1</x:v>
      </x:c>
      <x:c r="G194" s="42"/>
      <x:c r="H194" s="42" t="str">
        <x:v>Not Started</x:v>
      </x:c>
      <x:c r="I194" s="387" t="n">
        <x:v>0</x:v>
      </x:c>
      <x:c r="J194" s="42" t="str">
        <x:v>Flutter target (GA baseline)</x:v>
      </x:c>
      <x:c r="K194" s="42"/>
      <x:c r="L194" s="42"/>
      <x:c r="M194" s="42"/>
    </x:row>
    <x:row r="195">
      <x:c r="A195" s="43" t="str">
        <x:v>R-119</x:v>
      </x:c>
      <x:c r="B195" s="43" t="str">
        <x:v>MID</x:v>
      </x:c>
      <x:c r="C195" s="43" t="str">
        <x:v>Web/Admin</x:v>
      </x:c>
      <x:c r="D195" s="43" t="str">
        <x:v>React Native Web optional profile</x:v>
      </x:c>
      <x:c r="E195" s="43" t="str">
        <x:v>Allow Expo Web/React Native Web for high code-sharing projects; Next.js remains preferred for SEO-heavy public web and complex admin.</x:v>
      </x:c>
      <x:c r="F195" s="43" t="str">
        <x:v>P1</x:v>
      </x:c>
      <x:c r="G195" s="43"/>
      <x:c r="H195" s="43" t="str">
        <x:v>Not Started</x:v>
      </x:c>
      <x:c r="I195" s="386" t="n">
        <x:v>0</x:v>
      </x:c>
      <x:c r="J195" s="43" t="str">
        <x:v>React Native target (GA/beta by team capacity)</x:v>
      </x:c>
      <x:c r="K195" s="43"/>
      <x:c r="L195" s="43"/>
      <x:c r="M195" s="43"/>
    </x:row>
    <x:row r="196">
      <x:c r="A196" s="42" t="str">
        <x:v>R-120</x:v>
      </x:c>
      <x:c r="B196" s="42" t="str">
        <x:v>MVP</x:v>
      </x:c>
      <x:c r="C196" s="42" t="str">
        <x:v>Framework Strategy</x:v>
      </x:c>
      <x:c r="D196" s="42" t="str">
        <x:v>Native recommendation profile</x:v>
      </x:c>
      <x:c r="E196" s="42" t="str">
        <x:v>Recommend Kotlin + Swift when deep platform APIs, hardware, background execution, performance, platform UX or compliance needs justify extra cost.</x:v>
      </x:c>
      <x:c r="F196" s="42" t="str">
        <x:v>P0</x:v>
      </x:c>
      <x:c r="G196" s="42"/>
      <x:c r="H196" s="42" t="str">
        <x:v>Not Started</x:v>
      </x:c>
      <x:c r="I196" s="387" t="n">
        <x:v>0</x:v>
      </x:c>
      <x:c r="J196" s="42" t="str">
        <x:v>Framework recommendation engine</x:v>
      </x:c>
      <x:c r="K196" s="42"/>
      <x:c r="L196" s="42"/>
      <x:c r="M196" s="42"/>
    </x:row>
    <x:row r="197">
      <x:c r="A197" s="43" t="str">
        <x:v>R-121</x:v>
      </x:c>
      <x:c r="B197" s="43" t="str">
        <x:v>MVP</x:v>
      </x:c>
      <x:c r="C197" s="43" t="str">
        <x:v>Git/Repository</x:v>
      </x:c>
      <x:c r="D197" s="43" t="str">
        <x:v>Platform modular monorepo</x:v>
      </x:c>
      <x:c r="E197" s="43" t="str">
        <x:v>Start our own platform in one modular Git monorepo: console, Go services, Python AI services, workers, contracts, infra and docs.</x:v>
      </x:c>
      <x:c r="F197" s="43" t="str">
        <x:v>P0</x:v>
      </x:c>
      <x:c r="G197" s="43"/>
      <x:c r="H197" s="43" t="str">
        <x:v>Not Started</x:v>
      </x:c>
      <x:c r="I197" s="386" t="n">
        <x:v>0</x:v>
      </x:c>
      <x:c r="J197" s="43" t="str">
        <x:v>Project + workspace model</x:v>
      </x:c>
      <x:c r="K197" s="43"/>
      <x:c r="L197" s="43"/>
      <x:c r="M197" s="43"/>
    </x:row>
    <x:row r="198">
      <x:c r="A198" s="42" t="str">
        <x:v>R-122</x:v>
      </x:c>
      <x:c r="B198" s="42" t="str">
        <x:v>MVP</x:v>
      </x:c>
      <x:c r="C198" s="42" t="str">
        <x:v>Git/Repository</x:v>
      </x:c>
      <x:c r="D198" s="42" t="str">
        <x:v>One Git repo per customer project</x:v>
      </x:c>
      <x:c r="E198" s="42" t="str">
        <x:v>Never mix multiple customer apps in one source repo. Each generated project receives its own repository and access boundary.</x:v>
      </x:c>
      <x:c r="F198" s="42" t="str">
        <x:v>P0</x:v>
      </x:c>
      <x:c r="G198" s="42"/>
      <x:c r="H198" s="42" t="str">
        <x:v>Not Started</x:v>
      </x:c>
      <x:c r="I198" s="387" t="n">
        <x:v>0</x:v>
      </x:c>
      <x:c r="J198" s="42" t="str">
        <x:v>Project + workspace model</x:v>
      </x:c>
      <x:c r="K198" s="42"/>
      <x:c r="L198" s="42"/>
      <x:c r="M198" s="42"/>
    </x:row>
    <x:row r="199">
      <x:c r="A199" s="43" t="str">
        <x:v>R-123</x:v>
      </x:c>
      <x:c r="B199" s="43" t="str">
        <x:v>MVP</x:v>
      </x:c>
      <x:c r="C199" s="43" t="str">
        <x:v>Git/Repository</x:v>
      </x:c>
      <x:c r="D199" s="43" t="str">
        <x:v>Customer project monorepo default</x:v>
      </x:c>
      <x:c r="E199" s="43" t="str">
        <x:v>Keep mobile, web, admin, backend, database, contracts, infra and tests together so AI changes can be atomic across the product.</x:v>
      </x:c>
      <x:c r="F199" s="43" t="str">
        <x:v>P0</x:v>
      </x:c>
      <x:c r="G199" s="43"/>
      <x:c r="H199" s="43" t="str">
        <x:v>Not Started</x:v>
      </x:c>
      <x:c r="I199" s="386" t="n">
        <x:v>0</x:v>
      </x:c>
      <x:c r="J199" s="43" t="str">
        <x:v>One Git repo per customer project</x:v>
      </x:c>
      <x:c r="K199" s="43"/>
      <x:c r="L199" s="43"/>
      <x:c r="M199" s="43"/>
    </x:row>
    <x:row r="200">
      <x:c r="A200" s="42" t="str">
        <x:v>R-124</x:v>
      </x:c>
      <x:c r="B200" s="42" t="str">
        <x:v>MVP</x:v>
      </x:c>
      <x:c r="C200" s="42" t="str">
        <x:v>Git/Repository</x:v>
      </x:c>
      <x:c r="D200" s="42" t="str">
        <x:v>Repository naming convention</x:v>
      </x:c>
      <x:c r="E200" s="42" t="str">
        <x:v>Default repo name: project-&lt;project-slug&gt;; allow workspace prefix and customer-owned Git organization.</x:v>
      </x:c>
      <x:c r="F200" s="42" t="str">
        <x:v>P1</x:v>
      </x:c>
      <x:c r="G200" s="42"/>
      <x:c r="H200" s="42" t="str">
        <x:v>Not Started</x:v>
      </x:c>
      <x:c r="I200" s="387" t="n">
        <x:v>0</x:v>
      </x:c>
      <x:c r="J200" s="42" t="str">
        <x:v>One Git repo per customer project</x:v>
      </x:c>
      <x:c r="K200" s="42"/>
      <x:c r="L200" s="42"/>
      <x:c r="M200" s="42"/>
    </x:row>
    <x:row r="201">
      <x:c r="A201" s="43" t="str">
        <x:v>R-125</x:v>
      </x:c>
      <x:c r="B201" s="43" t="str">
        <x:v>MVP</x:v>
      </x:c>
      <x:c r="C201" s="43" t="str">
        <x:v>Git/Repository</x:v>
      </x:c>
      <x:c r="D201" s="43" t="str">
        <x:v>Branch + PR naming convention</x:v>
      </x:c>
      <x:c r="E201" s="43" t="str">
        <x:v>Use short-lived ai/&lt;task-id&gt;-&lt;slug&gt; branches, protected main, task-linked commits and one reviewable PR/change set per AI task.</x:v>
      </x:c>
      <x:c r="F201" s="43" t="str">
        <x:v>P0</x:v>
      </x:c>
      <x:c r="G201" s="43"/>
      <x:c r="H201" s="43" t="str">
        <x:v>Not Started</x:v>
      </x:c>
      <x:c r="I201" s="386" t="n">
        <x:v>0</x:v>
      </x:c>
      <x:c r="J201" s="43" t="str">
        <x:v>Branch per task</x:v>
      </x:c>
      <x:c r="K201" s="43"/>
      <x:c r="L201" s="43"/>
      <x:c r="M201" s="43"/>
    </x:row>
    <x:row r="202">
      <x:c r="A202" s="42" t="str">
        <x:v>R-126</x:v>
      </x:c>
      <x:c r="B202" s="42" t="str">
        <x:v>MVP</x:v>
      </x:c>
      <x:c r="C202" s="42" t="str">
        <x:v>Product Foundation</x:v>
      </x:c>
      <x:c r="D202" s="42" t="str">
        <x:v>Organization &gt; Workspace &gt; Project &gt; Environment model</x:v>
      </x:c>
      <x:c r="E202" s="42" t="str">
        <x:v>Canonical hierarchy for tenancy, billing, permissions, repositories, targets and deployments.</x:v>
      </x:c>
      <x:c r="F202" s="42" t="str">
        <x:v>P0</x:v>
      </x:c>
      <x:c r="G202" s="42"/>
      <x:c r="H202" s="42" t="str">
        <x:v>Not Started</x:v>
      </x:c>
      <x:c r="I202" s="387" t="n">
        <x:v>0</x:v>
      </x:c>
      <x:c r="J202" s="42" t="str">
        <x:v>Project + workspace model</x:v>
      </x:c>
      <x:c r="K202" s="42"/>
      <x:c r="L202" s="42"/>
      <x:c r="M202" s="42"/>
    </x:row>
    <x:row r="203">
      <x:c r="A203" s="43" t="str">
        <x:v>R-127</x:v>
      </x:c>
      <x:c r="B203" s="43" t="str">
        <x:v>MVP</x:v>
      </x:c>
      <x:c r="C203" s="43" t="str">
        <x:v>Architecture</x:v>
      </x:c>
      <x:c r="D203" s="43" t="str">
        <x:v>Shared contracts package</x:v>
      </x:c>
      <x:c r="E203" s="43" t="str">
        <x:v>Generate OpenAPI/AsyncAPI/schema contracts and typed clients for Flutter/Dart, TypeScript, Kotlin and Swift as needed.</x:v>
      </x:c>
      <x:c r="F203" s="43" t="str">
        <x:v>P0</x:v>
      </x:c>
      <x:c r="G203" s="43"/>
      <x:c r="H203" s="43" t="str">
        <x:v>Not Started</x:v>
      </x:c>
      <x:c r="I203" s="386" t="n">
        <x:v>0</x:v>
      </x:c>
      <x:c r="J203" s="43" t="str">
        <x:v>Application IR v1</x:v>
      </x:c>
      <x:c r="K203" s="43"/>
      <x:c r="L203" s="43"/>
      <x:c r="M203" s="43"/>
    </x:row>
    <x:row r="204">
      <x:c r="A204" s="42" t="str">
        <x:v>R-128</x:v>
      </x:c>
      <x:c r="B204" s="42" t="str">
        <x:v>MVP</x:v>
      </x:c>
      <x:c r="C204" s="42" t="str">
        <x:v>Git/Repository</x:v>
      </x:c>
      <x:c r="D204" s="42" t="str">
        <x:v>Cross-language monorepo orchestration</x:v>
      </x:c>
      <x:c r="E204" s="42" t="str">
        <x:v>Use root Taskfile/Make; pnpm/Turborepo for TypeScript, Go workspaces for Go and uv/Poetry for Python; avoid Bazel until scale demands it.</x:v>
      </x:c>
      <x:c r="F204" s="42" t="str">
        <x:v>P1</x:v>
      </x:c>
      <x:c r="G204" s="42"/>
      <x:c r="H204" s="42" t="str">
        <x:v>Not Started</x:v>
      </x:c>
      <x:c r="I204" s="387" t="n">
        <x:v>0</x:v>
      </x:c>
      <x:c r="J204" s="42" t="str">
        <x:v>Platform modular monorepo</x:v>
      </x:c>
      <x:c r="K204" s="42"/>
      <x:c r="L204" s="42"/>
      <x:c r="M204" s="42"/>
    </x:row>
    <x:row r="205">
      <x:c r="A205" s="66" t="str">
        <x:v>R-129</x:v>
      </x:c>
      <x:c r="B205" s="66" t="str">
        <x:v>MID</x:v>
      </x:c>
      <x:c r="C205" s="66" t="str">
        <x:v>Git/Repository</x:v>
      </x:c>
      <x:c r="D205" s="66" t="str">
        <x:v>Repository split decision policy</x:v>
      </x:c>
      <x:c r="E205" s="66" t="str">
        <x:v>Split a customer monorepo only for independent teams, compliance boundaries, release cadence, access control or measured build/repo scale.</x:v>
      </x:c>
      <x:c r="F205" s="66" t="str">
        <x:v>P1</x:v>
      </x:c>
      <x:c r="G205" s="66"/>
      <x:c r="H205" s="66" t="str">
        <x:v>Not Started</x:v>
      </x:c>
      <x:c r="I205" s="388" t="n">
        <x:v>0</x:v>
      </x:c>
      <x:c r="J205" s="66" t="str">
        <x:v>Customer project monorepo default</x:v>
      </x:c>
      <x:c r="K205" s="66"/>
      <x:c r="L205" s="66"/>
      <x:c r="M205" s="66"/>
    </x:row>
    <x:row r="206">
      <x:c r="A206" s="65" t="str">
        <x:v>R-130</x:v>
      </x:c>
      <x:c r="B206" s="65" t="str">
        <x:v>ADVANCED</x:v>
      </x:c>
      <x:c r="C206" s="65" t="str">
        <x:v>Git/Repository</x:v>
      </x:c>
      <x:c r="D206" s="65" t="str">
        <x:v>Enterprise multi-repo support</x:v>
      </x:c>
      <x:c r="E206" s="65" t="str">
        <x:v>Support service-per-repo or domain repos while preserving IR, contracts and cross-repo change orchestration.</x:v>
      </x:c>
      <x:c r="F206" s="65" t="str">
        <x:v>P2</x:v>
      </x:c>
      <x:c r="G206" s="65"/>
      <x:c r="H206" s="65" t="str">
        <x:v>Not Started</x:v>
      </x:c>
      <x:c r="I206" s="389" t="n">
        <x:v>0</x:v>
      </x:c>
      <x:c r="J206" s="65" t="str">
        <x:v>Repository split decision policy</x:v>
      </x:c>
      <x:c r="K206" s="65"/>
      <x:c r="L206" s="65"/>
      <x:c r="M206" s="65"/>
    </x:row>
    <x:row r="207">
      <x:c r="A207" s="66" t="str">
        <x:v>R-131</x:v>
      </x:c>
      <x:c r="B207" s="66" t="str">
        <x:v>MID</x:v>
      </x:c>
      <x:c r="C207" s="66" t="str">
        <x:v>Git/Repository</x:v>
      </x:c>
      <x:c r="D207" s="66" t="str">
        <x:v>CODEOWNERS + protected paths</x:v>
      </x:c>
      <x:c r="E207" s="66" t="str">
        <x:v>Require human/security ownership for sensitive modules, production infra, auth, billing and signing workflows.</x:v>
      </x:c>
      <x:c r="F207" s="66" t="str">
        <x:v>P1</x:v>
      </x:c>
      <x:c r="G207" s="66"/>
      <x:c r="H207" s="66" t="str">
        <x:v>Not Started</x:v>
      </x:c>
      <x:c r="I207" s="388" t="n">
        <x:v>0</x:v>
      </x:c>
      <x:c r="J207" s="66" t="str">
        <x:v>Branch + PR naming convention</x:v>
      </x:c>
      <x:c r="K207" s="66"/>
      <x:c r="L207" s="66"/>
      <x:c r="M207" s="66"/>
    </x:row>
    <x:row r="208">
      <x:c r="A208" s="65" t="str">
        <x:v>R-132</x:v>
      </x:c>
      <x:c r="B208" s="65" t="str">
        <x:v>MVP</x:v>
      </x:c>
      <x:c r="C208" s="65" t="str">
        <x:v>Git/Repository</x:v>
      </x:c>
      <x:c r="D208" s="65" t="str">
        <x:v>Framework-specific repo templates</x:v>
      </x:c>
      <x:c r="E208" s="65" t="str">
        <x:v>Provide Flutter, React Native and Native directory templates behind the same canonical project structure.</x:v>
      </x:c>
      <x:c r="F208" s="65" t="str">
        <x:v>P0</x:v>
      </x:c>
      <x:c r="G208" s="65"/>
      <x:c r="H208" s="65" t="str">
        <x:v>Not Started</x:v>
      </x:c>
      <x:c r="I208" s="389" t="n">
        <x:v>0</x:v>
      </x:c>
      <x:c r="J208" s="65" t="str">
        <x:v>Framework adapter contract</x:v>
      </x:c>
      <x:c r="K208" s="65"/>
      <x:c r="L208" s="65"/>
      <x:c r="M208" s="65"/>
    </x:row>
    <x:row r="209">
      <x:c r="A209" s="66" t="str">
        <x:v>R-133</x:v>
      </x:c>
      <x:c r="B209" s="66" t="str">
        <x:v>MVP</x:v>
      </x:c>
      <x:c r="C209" s="66" t="str">
        <x:v>Change Safety</x:v>
      </x:c>
      <x:c r="D209" s="66" t="str">
        <x:v>Atomic cross-platform change set</x:v>
      </x:c>
      <x:c r="E209" s="66" t="str">
        <x:v>One task can update mobile + web + backend + schema + tests in one branch; merge only if all required target gates pass.</x:v>
      </x:c>
      <x:c r="F209" s="66" t="str">
        <x:v>P0</x:v>
      </x:c>
      <x:c r="G209" s="66"/>
      <x:c r="H209" s="66" t="str">
        <x:v>Not Started</x:v>
      </x:c>
      <x:c r="I209" s="388" t="n">
        <x:v>0</x:v>
      </x:c>
      <x:c r="J209" s="66" t="str">
        <x:v>Customer project monorepo default</x:v>
      </x:c>
      <x:c r="K209" s="66"/>
      <x:c r="L209" s="66"/>
      <x:c r="M209" s="66"/>
    </x:row>
    <x:row r="210">
      <x:c r="A210" s="65" t="str">
        <x:v>R-134</x:v>
      </x:c>
      <x:c r="B210" s="65" t="str">
        <x:v>MID</x:v>
      </x:c>
      <x:c r="C210" s="65" t="str">
        <x:v>Analytics</x:v>
      </x:c>
      <x:c r="D210" s="65" t="str">
        <x:v>Repository/build health metrics</x:v>
      </x:c>
      <x:c r="E210" s="65" t="str">
        <x:v>Track repo size, dependency graph growth, build duration, cache hit rate and split-repo trigger thresholds.</x:v>
      </x:c>
      <x:c r="F210" s="65" t="str">
        <x:v>P1</x:v>
      </x:c>
      <x:c r="G210" s="65"/>
      <x:c r="H210" s="65" t="str">
        <x:v>Not Started</x:v>
      </x:c>
      <x:c r="I210" s="389" t="n">
        <x:v>0</x:v>
      </x:c>
      <x:c r="J210" s="65" t="str">
        <x:v>Build artifact caching</x:v>
      </x:c>
      <x:c r="K210" s="65"/>
      <x:c r="L210" s="65"/>
      <x:c r="M210" s="65"/>
    </x:row>
    <x:row r="211">
      <x:c r="A211" s="66" t="str">
        <x:v>R-135</x:v>
      </x:c>
      <x:c r="B211" s="66" t="str">
        <x:v>MVP</x:v>
      </x:c>
      <x:c r="C211" s="66" t="str">
        <x:v>Framework Strategy</x:v>
      </x:c>
      <x:c r="D211" s="66" t="str">
        <x:v>Stack selection wizard</x:v>
      </x:c>
      <x:c r="E211" s="66" t="str">
        <x:v>Before generation, show Auto / Flutter / React Native / Native / Web-only options with simple reasons, cost class and limitations.</x:v>
      </x:c>
      <x:c r="F211" s="66" t="str">
        <x:v>P0</x:v>
      </x:c>
      <x:c r="G211" s="66"/>
      <x:c r="H211" s="66" t="str">
        <x:v>Not Started</x:v>
      </x:c>
      <x:c r="I211" s="388" t="n">
        <x:v>0</x:v>
      </x:c>
      <x:c r="J211" s="66" t="str">
        <x:v>Framework recommendation engine</x:v>
      </x:c>
      <x:c r="K211" s="66"/>
      <x:c r="L211" s="66"/>
      <x:c r="M211" s="66" t="str">
        <x:v>V3</x:v>
      </x:c>
    </x:row>
    <x:row r="212">
      <x:c r="A212" s="65" t="str">
        <x:v>R-136</x:v>
      </x:c>
      <x:c r="B212" s="65" t="str">
        <x:v>MVP</x:v>
      </x:c>
      <x:c r="C212" s="65" t="str">
        <x:v>Framework Strategy</x:v>
      </x:c>
      <x:c r="D212" s="65" t="str">
        <x:v>Recommendation score model</x:v>
      </x:c>
      <x:c r="E212" s="65" t="str">
        <x:v>Score budget, team skills, web reuse, native APIs, background work, performance, hardware and platform UX. Store score/reasons in IR.</x:v>
      </x:c>
      <x:c r="F212" s="65" t="str">
        <x:v>P0</x:v>
      </x:c>
      <x:c r="G212" s="65"/>
      <x:c r="H212" s="65" t="str">
        <x:v>Not Started</x:v>
      </x:c>
      <x:c r="I212" s="389" t="n">
        <x:v>0</x:v>
      </x:c>
      <x:c r="J212" s="65" t="str">
        <x:v>Stack selection wizard</x:v>
      </x:c>
      <x:c r="K212" s="65"/>
      <x:c r="L212" s="65"/>
      <x:c r="M212" s="65" t="str">
        <x:v>Do not choose by industry label alone.</x:v>
      </x:c>
    </x:row>
    <x:row r="213">
      <x:c r="A213" s="66" t="str">
        <x:v>R-137</x:v>
      </x:c>
      <x:c r="B213" s="66" t="str">
        <x:v>MVP</x:v>
      </x:c>
      <x:c r="C213" s="66" t="str">
        <x:v>Architecture</x:v>
      </x:c>
      <x:c r="D213" s="66" t="str">
        <x:v>Code sharing policy</x:v>
      </x:c>
      <x:c r="E213" s="66" t="str">
        <x:v>Share IR, contracts, tokens, localization, analytics and compatible domain packages; never force 100% runtime sharing.</x:v>
      </x:c>
      <x:c r="F213" s="66" t="str">
        <x:v>P0</x:v>
      </x:c>
      <x:c r="G213" s="66"/>
      <x:c r="H213" s="66" t="str">
        <x:v>Not Started</x:v>
      </x:c>
      <x:c r="I213" s="388" t="n">
        <x:v>0</x:v>
      </x:c>
      <x:c r="J213" s="66" t="str">
        <x:v>Application IR v1</x:v>
      </x:c>
      <x:c r="K213" s="66"/>
      <x:c r="L213" s="66"/>
      <x:c r="M213" s="66" t="str">
        <x:v>Prevents bad Flutter/RN Web/admin decisions.</x:v>
      </x:c>
    </x:row>
    <x:row r="214">
      <x:c r="A214" s="65" t="str">
        <x:v>R-138</x:v>
      </x:c>
      <x:c r="B214" s="65" t="str">
        <x:v>MVP</x:v>
      </x:c>
      <x:c r="C214" s="65" t="str">
        <x:v>Architecture</x:v>
      </x:c>
      <x:c r="D214" s="65" t="str">
        <x:v>Canonical generated project root</x:v>
      </x:c>
      <x:c r="E214" s="65" t="str">
        <x:v>Standard root: .ai/, apps/, services/, packages/, database/, infra/, tests/, docs/, scripts/.</x:v>
      </x:c>
      <x:c r="F214" s="65" t="str">
        <x:v>P0</x:v>
      </x:c>
      <x:c r="G214" s="65"/>
      <x:c r="H214" s="65" t="str">
        <x:v>Not Started</x:v>
      </x:c>
      <x:c r="I214" s="389" t="n">
        <x:v>0</x:v>
      </x:c>
      <x:c r="J214" s="65" t="str">
        <x:v>Customer project monorepo default</x:v>
      </x:c>
      <x:c r="K214" s="65"/>
      <x:c r="L214" s="65"/>
      <x:c r="M214" s="65" t="str">
        <x:v>Stable paths improve AI context and developer onboarding.</x:v>
      </x:c>
    </x:row>
    <x:row r="215">
      <x:c r="A215" s="66" t="str">
        <x:v>R-139</x:v>
      </x:c>
      <x:c r="B215" s="66" t="str">
        <x:v>MVP</x:v>
      </x:c>
      <x:c r="C215" s="66" t="str">
        <x:v>Developer Experience</x:v>
      </x:c>
      <x:c r="D215" s="66" t="str">
        <x:v>Root task commands</x:v>
      </x:c>
      <x:c r="E215" s="66" t="str">
        <x:v>Every project exposes bootstrap, lint, test, build, check, preview and ci through Taskfile/Make.</x:v>
      </x:c>
      <x:c r="F215" s="66" t="str">
        <x:v>P1</x:v>
      </x:c>
      <x:c r="G215" s="66"/>
      <x:c r="H215" s="66" t="str">
        <x:v>Not Started</x:v>
      </x:c>
      <x:c r="I215" s="388" t="n">
        <x:v>0</x:v>
      </x:c>
      <x:c r="J215" s="66" t="str">
        <x:v>Canonical generated project root</x:v>
      </x:c>
      <x:c r="K215" s="66"/>
      <x:c r="L215" s="66"/>
      <x:c r="M215" s="66" t="str">
        <x:v>Framework-independent agent commands.</x:v>
      </x:c>
    </x:row>
    <x:row r="216">
      <x:c r="A216" s="65" t="str">
        <x:v>R-140</x:v>
      </x:c>
      <x:c r="B216" s="65" t="str">
        <x:v>MVP</x:v>
      </x:c>
      <x:c r="C216" s="65" t="str">
        <x:v>Templates</x:v>
      </x:c>
      <x:c r="D216" s="65" t="str">
        <x:v>Flutter lean template</x:v>
      </x:c>
      <x:c r="E216" s="65" t="str">
        <x:v>Feature-first Flutter template with app/core/design_system/features/test; avoid unnecessary domain layers in simple apps.</x:v>
      </x:c>
      <x:c r="F216" s="65" t="str">
        <x:v>P0</x:v>
      </x:c>
      <x:c r="G216" s="65"/>
      <x:c r="H216" s="65" t="str">
        <x:v>Not Started</x:v>
      </x:c>
      <x:c r="I216" s="389" t="n">
        <x:v>0</x:v>
      </x:c>
      <x:c r="J216" s="65" t="str">
        <x:v>Framework-specific repo templates</x:v>
      </x:c>
      <x:c r="K216" s="65"/>
      <x:c r="L216" s="65"/>
      <x:c r="M216" s="65" t="str">
        <x:v>Stable target.</x:v>
      </x:c>
    </x:row>
    <x:row r="217">
      <x:c r="A217" s="66" t="str">
        <x:v>R-141</x:v>
      </x:c>
      <x:c r="B217" s="66" t="str">
        <x:v>MID</x:v>
      </x:c>
      <x:c r="C217" s="66" t="str">
        <x:v>Templates</x:v>
      </x:c>
      <x:c r="D217" s="66" t="str">
        <x:v>Flutter scaled template</x:v>
      </x:c>
      <x:c r="E217" s="66" t="str">
        <x:v>Scaled Flutter structure with stronger feature/domain boundaries and approved native adapters.</x:v>
      </x:c>
      <x:c r="F217" s="66" t="str">
        <x:v>P1</x:v>
      </x:c>
      <x:c r="G217" s="66"/>
      <x:c r="H217" s="66" t="str">
        <x:v>Not Started</x:v>
      </x:c>
      <x:c r="I217" s="388" t="n">
        <x:v>0</x:v>
      </x:c>
      <x:c r="J217" s="66" t="str">
        <x:v>Flutter lean template</x:v>
      </x:c>
      <x:c r="K217" s="66"/>
      <x:c r="L217" s="66"/>
      <x:c r="M217" s="66" t="str">
        <x:v>Use only when complexity warrants.</x:v>
      </x:c>
    </x:row>
    <x:row r="218">
      <x:c r="A218" s="65" t="str">
        <x:v>R-142</x:v>
      </x:c>
      <x:c r="B218" s="65" t="str">
        <x:v>MVP</x:v>
      </x:c>
      <x:c r="C218" s="65" t="str">
        <x:v>Templates</x:v>
      </x:c>
      <x:c r="D218" s="65" t="str">
        <x:v>React Native TypeScript template</x:v>
      </x:c>
      <x:c r="E218" s="65" t="str">
        <x:v>Feature-first RN template with app/features/shared/design-system and explicit native module boundaries.</x:v>
      </x:c>
      <x:c r="F218" s="65" t="str">
        <x:v>P0</x:v>
      </x:c>
      <x:c r="G218" s="65"/>
      <x:c r="H218" s="65" t="str">
        <x:v>Not Started</x:v>
      </x:c>
      <x:c r="I218" s="389" t="n">
        <x:v>0</x:v>
      </x:c>
      <x:c r="J218" s="65" t="str">
        <x:v>Framework-specific repo templates</x:v>
      </x:c>
      <x:c r="K218" s="65"/>
      <x:c r="L218" s="65"/>
      <x:c r="M218" s="65" t="str">
        <x:v>Expo profile when capabilities fit.</x:v>
      </x:c>
    </x:row>
    <x:row r="219">
      <x:c r="A219" s="66" t="str">
        <x:v>R-143</x:v>
      </x:c>
      <x:c r="B219" s="66" t="str">
        <x:v>MVP</x:v>
      </x:c>
      <x:c r="C219" s="66" t="str">
        <x:v>Templates</x:v>
      </x:c>
      <x:c r="D219" s="66" t="str">
        <x:v>React Native shared TS packages</x:v>
      </x:c>
      <x:c r="E219" s="66" t="str">
        <x:v>Root contracts/validation/api-client packages reusable by RN and Next.js where runtime compatibility is safe.</x:v>
      </x:c>
      <x:c r="F219" s="66" t="str">
        <x:v>P1</x:v>
      </x:c>
      <x:c r="G219" s="66"/>
      <x:c r="H219" s="66" t="str">
        <x:v>Not Started</x:v>
      </x:c>
      <x:c r="I219" s="388" t="n">
        <x:v>0</x:v>
      </x:c>
      <x:c r="J219" s="66" t="str">
        <x:v>Shared contracts package</x:v>
      </x:c>
      <x:c r="K219" s="66"/>
      <x:c r="L219" s="66"/>
      <x:c r="M219" s="66" t="str">
        <x:v>Do not share UI blindly.</x:v>
      </x:c>
    </x:row>
    <x:row r="220">
      <x:c r="A220" s="65" t="str">
        <x:v>R-144</x:v>
      </x:c>
      <x:c r="B220" s="65" t="str">
        <x:v>MVP</x:v>
      </x:c>
      <x:c r="C220" s="65" t="str">
        <x:v>Templates</x:v>
      </x:c>
      <x:c r="D220" s="65" t="str">
        <x:v>Native Android lean template</x:v>
      </x:c>
      <x:c r="E220" s="65" t="str">
        <x:v>Kotlin/Compose template with thin app + core infrastructure and feature-first structure; avoid over-modularization.</x:v>
      </x:c>
      <x:c r="F220" s="65" t="str">
        <x:v>P0</x:v>
      </x:c>
      <x:c r="G220" s="65"/>
      <x:c r="H220" s="65" t="str">
        <x:v>Not Started</x:v>
      </x:c>
      <x:c r="I220" s="389" t="n">
        <x:v>0</x:v>
      </x:c>
      <x:c r="J220" s="65" t="str">
        <x:v>Native Android Agent</x:v>
      </x:c>
      <x:c r="K220" s="65"/>
      <x:c r="L220" s="65"/>
      <x:c r="M220" s="65" t="str">
        <x:v>Native selectable beta.</x:v>
      </x:c>
    </x:row>
    <x:row r="221">
      <x:c r="A221" s="66" t="str">
        <x:v>R-145</x:v>
      </x:c>
      <x:c r="B221" s="66" t="str">
        <x:v>MID</x:v>
      </x:c>
      <x:c r="C221" s="66" t="str">
        <x:v>Templates</x:v>
      </x:c>
      <x:c r="D221" s="66" t="str">
        <x:v>Native Android scaled modules</x:v>
      </x:c>
      <x:c r="E221" s="66" t="str">
        <x:v>Add core/designsystem/network/database/testing + feature modules + Gradle convention plugins/version catalog when scale justifies.</x:v>
      </x:c>
      <x:c r="F221" s="66" t="str">
        <x:v>P1</x:v>
      </x:c>
      <x:c r="G221" s="66"/>
      <x:c r="H221" s="66" t="str">
        <x:v>Not Started</x:v>
      </x:c>
      <x:c r="I221" s="388" t="n">
        <x:v>0</x:v>
      </x:c>
      <x:c r="J221" s="66" t="str">
        <x:v>Native Android lean template</x:v>
      </x:c>
      <x:c r="K221" s="66"/>
      <x:c r="L221" s="66"/>
      <x:c r="M221" s="66" t="str">
        <x:v>Experienced team structure.</x:v>
      </x:c>
    </x:row>
    <x:row r="222">
      <x:c r="A222" s="65" t="str">
        <x:v>R-146</x:v>
      </x:c>
      <x:c r="B222" s="65" t="str">
        <x:v>MVP</x:v>
      </x:c>
      <x:c r="C222" s="65" t="str">
        <x:v>Templates</x:v>
      </x:c>
      <x:c r="D222" s="65" t="str">
        <x:v>Native iOS lean template</x:v>
      </x:c>
      <x:c r="E222" s="65" t="str">
        <x:v>SwiftUI template with App/Core/Features/Tests, async-await, Keychain, DI composition roots.</x:v>
      </x:c>
      <x:c r="F222" s="65" t="str">
        <x:v>P0</x:v>
      </x:c>
      <x:c r="G222" s="65"/>
      <x:c r="H222" s="65" t="str">
        <x:v>Not Started</x:v>
      </x:c>
      <x:c r="I222" s="389" t="n">
        <x:v>0</x:v>
      </x:c>
      <x:c r="J222" s="65" t="str">
        <x:v>Native iOS Agent</x:v>
      </x:c>
      <x:c r="K222" s="65"/>
      <x:c r="L222" s="65"/>
      <x:c r="M222" s="65" t="str">
        <x:v>Native selectable beta.</x:v>
      </x:c>
    </x:row>
    <x:row r="223">
      <x:c r="A223" s="66" t="str">
        <x:v>R-147</x:v>
      </x:c>
      <x:c r="B223" s="66" t="str">
        <x:v>MID</x:v>
      </x:c>
      <x:c r="C223" s="66" t="str">
        <x:v>Templates</x:v>
      </x:c>
      <x:c r="D223" s="66" t="str">
        <x:v>Native iOS scaled Swift Packages</x:v>
      </x:c>
      <x:c r="E223" s="66" t="str">
        <x:v>Move stable cores/features to local Swift Packages when build/team size benefits.</x:v>
      </x:c>
      <x:c r="F223" s="66" t="str">
        <x:v>P1</x:v>
      </x:c>
      <x:c r="G223" s="66"/>
      <x:c r="H223" s="66" t="str">
        <x:v>Not Started</x:v>
      </x:c>
      <x:c r="I223" s="388" t="n">
        <x:v>0</x:v>
      </x:c>
      <x:c r="J223" s="66" t="str">
        <x:v>Native iOS lean template</x:v>
      </x:c>
      <x:c r="K223" s="66"/>
      <x:c r="L223" s="66"/>
      <x:c r="M223" s="66" t="str">
        <x:v>Do not force Tuist/XcodeGen in earliest template.</x:v>
      </x:c>
    </x:row>
    <x:row r="224">
      <x:c r="A224" s="65" t="str">
        <x:v>R-148</x:v>
      </x:c>
      <x:c r="B224" s="65" t="str">
        <x:v>MVP</x:v>
      </x:c>
      <x:c r="C224" s="65" t="str">
        <x:v>Templates</x:v>
      </x:c>
      <x:c r="D224" s="65" t="str">
        <x:v>Next.js public web template</x:v>
      </x:c>
      <x:c r="E224" s="65" t="str">
        <x:v>App Router, feature-first, server/client boundaries, SEO/accessibility/performance gates.</x:v>
      </x:c>
      <x:c r="F224" s="65" t="str">
        <x:v>P0</x:v>
      </x:c>
      <x:c r="G224" s="65"/>
      <x:c r="H224" s="65" t="str">
        <x:v>Not Started</x:v>
      </x:c>
      <x:c r="I224" s="389" t="n">
        <x:v>0</x:v>
      </x:c>
      <x:c r="J224" s="65" t="str">
        <x:v>Next.js web + admin default</x:v>
      </x:c>
      <x:c r="K224" s="65"/>
      <x:c r="L224" s="65"/>
      <x:c r="M224" s="65" t="str">
        <x:v>Web optimized independently.</x:v>
      </x:c>
    </x:row>
    <x:row r="225">
      <x:c r="A225" s="66" t="str">
        <x:v>R-149</x:v>
      </x:c>
      <x:c r="B225" s="66" t="str">
        <x:v>MVP</x:v>
      </x:c>
      <x:c r="C225" s="66" t="str">
        <x:v>Templates</x:v>
      </x:c>
      <x:c r="D225" s="66" t="str">
        <x:v>Next.js admin template</x:v>
      </x:c>
      <x:c r="E225" s="66" t="str">
        <x:v>Desktop-first modules, RBAC/ABAC, audit trail, data grids, filters, confirmations and async exports.</x:v>
      </x:c>
      <x:c r="F225" s="66" t="str">
        <x:v>P0</x:v>
      </x:c>
      <x:c r="G225" s="66"/>
      <x:c r="H225" s="66" t="str">
        <x:v>Not Started</x:v>
      </x:c>
      <x:c r="I225" s="388" t="n">
        <x:v>0</x:v>
      </x:c>
      <x:c r="J225" s="66" t="str">
        <x:v>Next.js web + admin default</x:v>
      </x:c>
      <x:c r="K225" s="66"/>
      <x:c r="L225" s="66"/>
      <x:c r="M225" s="66" t="str">
        <x:v>Never force admin onto Flutter/RN Web.</x:v>
      </x:c>
    </x:row>
    <x:row r="226">
      <x:c r="A226" s="65" t="str">
        <x:v>R-150</x:v>
      </x:c>
      <x:c r="B226" s="65" t="str">
        <x:v>MVP</x:v>
      </x:c>
      <x:c r="C226" s="65" t="str">
        <x:v>Templates</x:v>
      </x:c>
      <x:c r="D226" s="65" t="str">
        <x:v>Go backend standard template</x:v>
      </x:c>
      <x:c r="E226" s="65" t="str">
        <x:v>Domain/application/adapters structure, explicit transactions, idempotency, timeouts and observability.</x:v>
      </x:c>
      <x:c r="F226" s="65" t="str">
        <x:v>P0</x:v>
      </x:c>
      <x:c r="G226" s="65"/>
      <x:c r="H226" s="65" t="str">
        <x:v>Not Started</x:v>
      </x:c>
      <x:c r="I226" s="389" t="n">
        <x:v>0</x:v>
      </x:c>
      <x:c r="J226" s="65" t="str">
        <x:v>Backend Agent</x:v>
      </x:c>
      <x:c r="K226" s="65"/>
      <x:c r="L226" s="65"/>
      <x:c r="M226" s="65" t="str">
        <x:v>Default backend profile.</x:v>
      </x:c>
    </x:row>
    <x:row r="227">
      <x:c r="A227" s="66" t="str">
        <x:v>R-151</x:v>
      </x:c>
      <x:c r="B227" s="66" t="str">
        <x:v>MVP</x:v>
      </x:c>
      <x:c r="C227" s="66" t="str">
        <x:v>Templates</x:v>
      </x:c>
      <x:c r="D227" s="66" t="str">
        <x:v>Python backend standard template</x:v>
      </x:c>
      <x:c r="E227" s="66" t="str">
        <x:v>Typed domain/application/infrastructure structure; thin routes; migration and async discipline.</x:v>
      </x:c>
      <x:c r="F227" s="66" t="str">
        <x:v>P0</x:v>
      </x:c>
      <x:c r="G227" s="66"/>
      <x:c r="H227" s="66" t="str">
        <x:v>Not Started</x:v>
      </x:c>
      <x:c r="I227" s="388" t="n">
        <x:v>0</x:v>
      </x:c>
      <x:c r="J227" s="66" t="str">
        <x:v>Backend Agent</x:v>
      </x:c>
      <x:c r="K227" s="66"/>
      <x:c r="L227" s="66"/>
      <x:c r="M227" s="66" t="str">
        <x:v>Alternative default backend profile.</x:v>
      </x:c>
    </x:row>
    <x:row r="228">
      <x:c r="A228" s="65" t="str">
        <x:v>R-152</x:v>
      </x:c>
      <x:c r="B228" s="65" t="str">
        <x:v>MVP</x:v>
      </x:c>
      <x:c r="C228" s="65" t="str">
        <x:v>Contracts</x:v>
      </x:c>
      <x:c r="D228" s="65" t="str">
        <x:v>Generated client matrix</x:v>
      </x:c>
      <x:c r="E228" s="65" t="str">
        <x:v>Generate Dart, TypeScript, Kotlin and Swift API clients only for selected targets; generated code is deterministic and not hand-edited.</x:v>
      </x:c>
      <x:c r="F228" s="65" t="str">
        <x:v>P0</x:v>
      </x:c>
      <x:c r="G228" s="65"/>
      <x:c r="H228" s="65" t="str">
        <x:v>Not Started</x:v>
      </x:c>
      <x:c r="I228" s="389" t="n">
        <x:v>0</x:v>
      </x:c>
      <x:c r="J228" s="65" t="str">
        <x:v>Shared contracts package</x:v>
      </x:c>
      <x:c r="K228" s="65"/>
      <x:c r="L228" s="65"/>
      <x:c r="M228" s="65" t="str">
        <x:v>Contract-first consistency.</x:v>
      </x:c>
    </x:row>
    <x:row r="229">
      <x:c r="A229" s="66" t="str">
        <x:v>R-153</x:v>
      </x:c>
      <x:c r="B229" s="66" t="str">
        <x:v>MVP</x:v>
      </x:c>
      <x:c r="C229" s="66" t="str">
        <x:v>Templates</x:v>
      </x:c>
      <x:c r="D229" s="66" t="str">
        <x:v>Template manifest + maturity</x:v>
      </x:c>
      <x:c r="E229" s="66" t="str">
        <x:v>Every template has ID, version, maturity, supported platforms and mandatory checks.</x:v>
      </x:c>
      <x:c r="F229" s="66" t="str">
        <x:v>P0</x:v>
      </x:c>
      <x:c r="G229" s="66"/>
      <x:c r="H229" s="66" t="str">
        <x:v>Not Started</x:v>
      </x:c>
      <x:c r="I229" s="388" t="n">
        <x:v>0</x:v>
      </x:c>
      <x:c r="J229" s="66" t="str">
        <x:v>Framework-specific repo templates</x:v>
      </x:c>
      <x:c r="K229" s="66"/>
      <x:c r="L229" s="66"/>
      <x:c r="M229" s="66" t="str">
        <x:v>Stable/Beta/Experimental visible to user.</x:v>
      </x:c>
    </x:row>
    <x:row r="230">
      <x:c r="A230" s="65" t="str">
        <x:v>R-154</x:v>
      </x:c>
      <x:c r="B230" s="65" t="str">
        <x:v>MVP</x:v>
      </x:c>
      <x:c r="C230" s="65" t="str">
        <x:v>Dependencies</x:v>
      </x:c>
      <x:c r="D230" s="65" t="str">
        <x:v>Approved dependency catalog</x:v>
      </x:c>
      <x:c r="E230" s="65" t="str">
        <x:v>Dependency additions pass license/security/maintenance policy; lockfiles committed.</x:v>
      </x:c>
      <x:c r="F230" s="65" t="str">
        <x:v>P0</x:v>
      </x:c>
      <x:c r="G230" s="65"/>
      <x:c r="H230" s="65" t="str">
        <x:v>Not Started</x:v>
      </x:c>
      <x:c r="I230" s="389" t="n">
        <x:v>0</x:v>
      </x:c>
      <x:c r="J230" s="65" t="str">
        <x:v>Template manifest + maturity</x:v>
      </x:c>
      <x:c r="K230" s="65"/>
      <x:c r="L230" s="65"/>
      <x:c r="M230" s="65" t="str">
        <x:v>Prevents dependency explosion.</x:v>
      </x:c>
    </x:row>
    <x:row r="231">
      <x:c r="A231" s="66" t="str">
        <x:v>R-155</x:v>
      </x:c>
      <x:c r="B231" s="66" t="str">
        <x:v>MVP</x:v>
      </x:c>
      <x:c r="C231" s="66" t="str">
        <x:v>Platform Architecture</x:v>
      </x:c>
      <x:c r="D231" s="66" t="str">
        <x:v>Go control plane modular monolith</x:v>
      </x:c>
      <x:c r="E231" s="66" t="str">
        <x:v>Keep auth/org/workspace/project/jobs/Git/usage/audit/basic billing in one Go service initially.</x:v>
      </x:c>
      <x:c r="F231" s="66" t="str">
        <x:v>P0</x:v>
      </x:c>
      <x:c r="G231" s="66"/>
      <x:c r="H231" s="66" t="str">
        <x:v>Not Started</x:v>
      </x:c>
      <x:c r="I231" s="388" t="n">
        <x:v>0</x:v>
      </x:c>
      <x:c r="J231" s="66" t="str">
        <x:v>Platform modular monorepo</x:v>
      </x:c>
      <x:c r="K231" s="66"/>
      <x:c r="L231" s="66"/>
      <x:c r="M231" s="66" t="str">
        <x:v>Avoid premature microservices.</x:v>
      </x:c>
    </x:row>
    <x:row r="232">
      <x:c r="A232" s="65" t="str">
        <x:v>R-156</x:v>
      </x:c>
      <x:c r="B232" s="65" t="str">
        <x:v>MVP</x:v>
      </x:c>
      <x:c r="C232" s="65" t="str">
        <x:v>Platform Architecture</x:v>
      </x:c>
      <x:c r="D232" s="65" t="str">
        <x:v>Python agent engine boundary</x:v>
      </x:c>
      <x:c r="E232" s="65" t="str">
        <x:v>Planning, model gateway, context/RAG, tools and evals live in a separate Python service.</x:v>
      </x:c>
      <x:c r="F232" s="65" t="str">
        <x:v>P0</x:v>
      </x:c>
      <x:c r="G232" s="65"/>
      <x:c r="H232" s="65" t="str">
        <x:v>Not Started</x:v>
      </x:c>
      <x:c r="I232" s="389" t="n">
        <x:v>0</x:v>
      </x:c>
      <x:c r="J232" s="65" t="str">
        <x:v>Model gateway</x:v>
      </x:c>
      <x:c r="K232" s="65"/>
      <x:c r="L232" s="65"/>
      <x:c r="M232" s="65" t="str">
        <x:v>Different ecosystem/iteration cadence.</x:v>
      </x:c>
    </x:row>
    <x:row r="233">
      <x:c r="A233" s="66" t="str">
        <x:v>R-157</x:v>
      </x:c>
      <x:c r="B233" s="66" t="str">
        <x:v>MVP</x:v>
      </x:c>
      <x:c r="C233" s="66" t="str">
        <x:v>Platform Architecture</x:v>
      </x:c>
      <x:c r="D233" s="66" t="str">
        <x:v>Runner manager boundary</x:v>
      </x:c>
      <x:c r="E233" s="66" t="str">
        <x:v>Go service schedules Linux/Android/Web/macOS jobs with quotas, timeouts and isolation.</x:v>
      </x:c>
      <x:c r="F233" s="66" t="str">
        <x:v>P0</x:v>
      </x:c>
      <x:c r="G233" s="66"/>
      <x:c r="H233" s="66" t="str">
        <x:v>Not Started</x:v>
      </x:c>
      <x:c r="I233" s="388" t="n">
        <x:v>0</x:v>
      </x:c>
      <x:c r="J233" s="66" t="str">
        <x:v>Ephemeral Linux sandbox</x:v>
      </x:c>
      <x:c r="K233" s="66"/>
      <x:c r="L233" s="66"/>
      <x:c r="M233" s="66" t="str">
        <x:v>Central execution control.</x:v>
      </x:c>
    </x:row>
    <x:row r="234">
      <x:c r="A234" s="65" t="str">
        <x:v>R-158</x:v>
      </x:c>
      <x:c r="B234" s="65" t="str">
        <x:v>MVP</x:v>
      </x:c>
      <x:c r="C234" s="65" t="str">
        <x:v>CI/CD</x:v>
      </x:c>
      <x:c r="D234" s="65" t="str">
        <x:v>Unified PR pipeline</x:v>
      </x:c>
      <x:c r="E234" s="65" t="str">
        <x:v>IR/policy -&gt; lint -&gt; static -&gt; tests -&gt; contract -&gt; affected builds -&gt; security -&gt; E2E/visual -&gt; AI review.</x:v>
      </x:c>
      <x:c r="F234" s="65" t="str">
        <x:v>P0</x:v>
      </x:c>
      <x:c r="G234" s="65"/>
      <x:c r="H234" s="65" t="str">
        <x:v>Not Started</x:v>
      </x:c>
      <x:c r="I234" s="389" t="n">
        <x:v>0</x:v>
      </x:c>
      <x:c r="J234" s="65" t="str">
        <x:v>Atomic cross-platform change set</x:v>
      </x:c>
      <x:c r="K234" s="65"/>
      <x:c r="L234" s="65"/>
      <x:c r="M234" s="65" t="str">
        <x:v>Real iOS compile uses macOS.</x:v>
      </x:c>
    </x:row>
    <x:row r="235">
      <x:c r="A235" s="66" t="str">
        <x:v>R-159</x:v>
      </x:c>
      <x:c r="B235" s="66" t="str">
        <x:v>MVP</x:v>
      </x:c>
      <x:c r="C235" s="66" t="str">
        <x:v>CI/CD</x:v>
      </x:c>
      <x:c r="D235" s="66" t="str">
        <x:v>Immutable build promotion</x:v>
      </x:c>
      <x:c r="E235" s="66" t="str">
        <x:v>Build artifact once after merge and promote through preview/staging/production instead of rebuilding per environment.</x:v>
      </x:c>
      <x:c r="F235" s="66" t="str">
        <x:v>P1</x:v>
      </x:c>
      <x:c r="G235" s="66"/>
      <x:c r="H235" s="66" t="str">
        <x:v>Not Started</x:v>
      </x:c>
      <x:c r="I235" s="388" t="n">
        <x:v>0</x:v>
      </x:c>
      <x:c r="J235" s="66" t="str">
        <x:v>Deployment Agent</x:v>
      </x:c>
      <x:c r="K235" s="66"/>
      <x:c r="L235" s="66"/>
      <x:c r="M235" s="66" t="str">
        <x:v>Reduces preview/production mismatch.</x:v>
      </x:c>
    </x:row>
    <x:row r="236">
      <x:c r="A236" s="65" t="str">
        <x:v>R-160</x:v>
      </x:c>
      <x:c r="B236" s="65" t="str">
        <x:v>MID</x:v>
      </x:c>
      <x:c r="C236" s="65" t="str">
        <x:v>Developer Experience</x:v>
      </x:c>
      <x:c r="D236" s="65" t="str">
        <x:v>Framework upgrade workflow</x:v>
      </x:c>
      <x:c r="E236" s="65" t="str">
        <x:v>Controlled template upgrade task with compatibility tests and ADR; agents cannot randomly switch state/DI/navigation/networking frameworks.</x:v>
      </x:c>
      <x:c r="F236" s="65" t="str">
        <x:v>P1</x:v>
      </x:c>
      <x:c r="G236" s="65"/>
      <x:c r="H236" s="65" t="str">
        <x:v>Not Started</x:v>
      </x:c>
      <x:c r="I236" s="389" t="n">
        <x:v>0</x:v>
      </x:c>
      <x:c r="J236" s="65" t="str">
        <x:v>Template manifest + maturity</x:v>
      </x:c>
      <x:c r="K236" s="65"/>
      <x:c r="L236" s="65"/>
      <x:c r="M236" s="65"/>
    </x:row>
    <x:row r="237">
      <x:c r="A237" s="66" t="str">
        <x:v>R-161</x:v>
      </x:c>
      <x:c r="B237" s="66" t="str">
        <x:v>MID</x:v>
      </x:c>
      <x:c r="C237" s="66" t="str">
        <x:v>Preview</x:v>
      </x:c>
      <x:c r="D237" s="66" t="str">
        <x:v>Local Mac Agent productized</x:v>
      </x:c>
      <x:c r="E237" s="66" t="str">
        <x:v>Optional signed Mac helper runs Xcode/simulator locally after explicit user permission; cloud Mac remains available.</x:v>
      </x:c>
      <x:c r="F237" s="66" t="str">
        <x:v>P1</x:v>
      </x:c>
      <x:c r="G237" s="66"/>
      <x:c r="H237" s="66" t="str">
        <x:v>Not Started</x:v>
      </x:c>
      <x:c r="I237" s="388" t="n">
        <x:v>0</x:v>
      </x:c>
      <x:c r="J237" s="66" t="str">
        <x:v>Local Mac Agent</x:v>
      </x:c>
      <x:c r="K237" s="66"/>
      <x:c r="L237" s="66"/>
      <x:c r="M237" s="66" t="str">
        <x:v>Reduces cloud Mac cost.</x:v>
      </x:c>
    </x:row>
    <x:row r="238">
      <x:c r="A238" s="65" t="str">
        <x:v>R-162</x:v>
      </x:c>
      <x:c r="B238" s="65" t="str">
        <x:v>MID</x:v>
      </x:c>
      <x:c r="C238" s="65" t="str">
        <x:v>Preview</x:v>
      </x:c>
      <x:c r="D238" s="65" t="str">
        <x:v>Interactive cloud simulator metering</x:v>
      </x:c>
      <x:c r="E238" s="65" t="str">
        <x:v>Cloud native iOS simulator sessions are explicit premium compute; browser preview stays included.</x:v>
      </x:c>
      <x:c r="F238" s="65" t="str">
        <x:v>P1</x:v>
      </x:c>
      <x:c r="G238" s="65"/>
      <x:c r="H238" s="65" t="str">
        <x:v>Not Started</x:v>
      </x:c>
      <x:c r="I238" s="389" t="n">
        <x:v>0</x:v>
      </x:c>
      <x:c r="J238" s="65" t="str">
        <x:v>Real iOS Simulator</x:v>
      </x:c>
      <x:c r="K238" s="65"/>
      <x:c r="L238" s="65"/>
      <x:c r="M238" s="65" t="str">
        <x:v>Separate verification build cost from interactive session cost.</x:v>
      </x:c>
    </x:row>
    <x:row r="239">
      <x:c r="A239" s="66" t="str">
        <x:v>R-163</x:v>
      </x:c>
      <x:c r="B239" s="66" t="str">
        <x:v>MID</x:v>
      </x:c>
      <x:c r="C239" s="66" t="str">
        <x:v>Framework Strategy</x:v>
      </x:c>
      <x:c r="D239" s="66" t="str">
        <x:v>Native module adapter path</x:v>
      </x:c>
      <x:c r="E239" s="66" t="str">
        <x:v>Before full migration, allow an approved small native module/plugin when one capability exceeds Flutter/RN limits.</x:v>
      </x:c>
      <x:c r="F239" s="66" t="str">
        <x:v>P1</x:v>
      </x:c>
      <x:c r="G239" s="66"/>
      <x:c r="H239" s="66" t="str">
        <x:v>Not Started</x:v>
      </x:c>
      <x:c r="I239" s="388" t="n">
        <x:v>0</x:v>
      </x:c>
      <x:c r="J239" s="66" t="str">
        <x:v>Framework adapter contract</x:v>
      </x:c>
      <x:c r="K239" s="66"/>
      <x:c r="L239" s="66"/>
      <x:c r="M239" s="66" t="str">
        <x:v>Measure before rewrite.</x:v>
      </x:c>
    </x:row>
    <x:row r="240">
      <x:c r="A240" s="65" t="str">
        <x:v>R-164</x:v>
      </x:c>
      <x:c r="B240" s="65" t="str">
        <x:v>MID</x:v>
      </x:c>
      <x:c r="C240" s="65" t="str">
        <x:v>Analytics</x:v>
      </x:c>
      <x:c r="D240" s="65" t="str">
        <x:v>Template/repo health dashboard</x:v>
      </x:c>
      <x:c r="E240" s="65" t="str">
        <x:v>Track template version, dependency drift, build duration, cache hit, repo size, module growth and native bridge count.</x:v>
      </x:c>
      <x:c r="F240" s="65" t="str">
        <x:v>P1</x:v>
      </x:c>
      <x:c r="G240" s="65"/>
      <x:c r="H240" s="65" t="str">
        <x:v>Not Started</x:v>
      </x:c>
      <x:c r="I240" s="389" t="n">
        <x:v>0</x:v>
      </x:c>
      <x:c r="J240" s="65" t="str">
        <x:v>Repository/build health metrics</x:v>
      </x:c>
      <x:c r="K240" s="65"/>
      <x:c r="L240" s="65"/>
      <x:c r="M240" s="65" t="str">
        <x:v>Use data to trigger architecture review.</x:v>
      </x:c>
    </x:row>
    <x:row r="241">
      <x:c r="A241" s="127" t="str">
        <x:v>R-165</x:v>
      </x:c>
      <x:c r="B241" s="127" t="str">
        <x:v>ADVANCED</x:v>
      </x:c>
      <x:c r="C241" s="127" t="str">
        <x:v>Migration</x:v>
      </x:c>
      <x:c r="D241" s="127" t="str">
        <x:v>Cross-platform to native migration engine</x:v>
      </x:c>
      <x:c r="E241" s="127" t="str">
        <x:v>Generate parallel native target from IR/contracts, parity-test it and migrate gradually when measured constraints justify.</x:v>
      </x:c>
      <x:c r="F241" s="127" t="str">
        <x:v>P1</x:v>
      </x:c>
      <x:c r="G241" s="127"/>
      <x:c r="H241" s="127" t="str">
        <x:v>Not Started</x:v>
      </x:c>
      <x:c r="I241" s="390" t="n">
        <x:v>0</x:v>
      </x:c>
      <x:c r="J241" s="127" t="str">
        <x:v>Native module adapter path</x:v>
      </x:c>
      <x:c r="K241" s="127"/>
      <x:c r="L241" s="127"/>
      <x:c r="M241" s="127" t="str">
        <x:v>Prevents framework lock-in.</x:v>
      </x:c>
    </x:row>
    <x:row r="242">
      <x:c r="A242" s="127" t="str">
        <x:v>R-166</x:v>
      </x:c>
      <x:c r="B242" s="127" t="str">
        <x:v>ADVANCED</x:v>
      </x:c>
      <x:c r="C242" s="127" t="str">
        <x:v>Git/Repository</x:v>
      </x:c>
      <x:c r="D242" s="127" t="str">
        <x:v>Cross-repo task coordinator</x:v>
      </x:c>
      <x:c r="E242" s="127" t="str">
        <x:v>For enterprise multi-repo, produce linked branches/PRs with shared task ID, contract version and merge ordering.</x:v>
      </x:c>
      <x:c r="F242" s="127" t="str">
        <x:v>P2</x:v>
      </x:c>
      <x:c r="G242" s="127"/>
      <x:c r="H242" s="127" t="str">
        <x:v>Not Started</x:v>
      </x:c>
      <x:c r="I242" s="390" t="n">
        <x:v>0</x:v>
      </x:c>
      <x:c r="J242" s="127" t="str">
        <x:v>Enterprise multi-repo support</x:v>
      </x:c>
      <x:c r="K242" s="127"/>
      <x:c r="L242" s="127"/>
      <x:c r="M242" s="127"/>
    </x:row>
    <x:row r="243">
      <x:c r="A243" s="127" t="str">
        <x:v>R-167</x:v>
      </x:c>
      <x:c r="B243" s="127" t="str">
        <x:v>ADVANCED</x:v>
      </x:c>
      <x:c r="C243" s="127" t="str">
        <x:v>Infrastructure</x:v>
      </x:c>
      <x:c r="D243" s="127" t="str">
        <x:v>BYOC / private runners</x:v>
      </x:c>
      <x:c r="E243" s="127" t="str">
        <x:v>Allow enterprise customers to execute builds/agents in approved customer cloud/VPC while platform keeps orchestration.</x:v>
      </x:c>
      <x:c r="F243" s="127" t="str">
        <x:v>P2</x:v>
      </x:c>
      <x:c r="G243" s="127"/>
      <x:c r="H243" s="127" t="str">
        <x:v>Not Started</x:v>
      </x:c>
      <x:c r="I243" s="390" t="n">
        <x:v>0</x:v>
      </x:c>
      <x:c r="J243" s="127" t="str">
        <x:v>Enterprise workload isolation</x:v>
      </x:c>
      <x:c r="K243" s="127"/>
      <x:c r="L243" s="127"/>
      <x:c r="M243" s="127"/>
    </x:row>
    <x:row r="244">
      <x:c r="A244" s="127" t="str">
        <x:v>R-168</x:v>
      </x:c>
      <x:c r="B244" s="127" t="str">
        <x:v>ADVANCED</x:v>
      </x:c>
      <x:c r="C244" s="127" t="str">
        <x:v>Testing</x:v>
      </x:c>
      <x:c r="D244" s="127" t="str">
        <x:v>Physical device cloud integration</x:v>
      </x:c>
      <x:c r="E244" s="127" t="str">
        <x:v>Run selected releases/tests on real iPhone/Android devices after emulator/simulator gates.</x:v>
      </x:c>
      <x:c r="F244" s="127" t="str">
        <x:v>P2</x:v>
      </x:c>
      <x:c r="G244" s="127"/>
      <x:c r="H244" s="127" t="str">
        <x:v>Not Started</x:v>
      </x:c>
      <x:c r="I244" s="390" t="n">
        <x:v>0</x:v>
      </x:c>
      <x:c r="J244" s="127" t="str">
        <x:v>Real iOS Simulator</x:v>
      </x:c>
      <x:c r="K244" s="127"/>
      <x:c r="L244" s="127"/>
      <x:c r="M244" s="127"/>
    </x:row>
    <x:row r="245">
      <x:c r="A245" s="127" t="str">
        <x:v>R-169</x:v>
      </x:c>
      <x:c r="B245" s="127" t="str">
        <x:v>PRODUCTION</x:v>
      </x:c>
      <x:c r="C245" s="127" t="str">
        <x:v>Templates</x:v>
      </x:c>
      <x:c r="D245" s="127" t="str">
        <x:v>Template support lifecycle</x:v>
      </x:c>
      <x:c r="E245" s="127" t="str">
        <x:v>Publish supported template versions, security patch policy, upgrade windows and deprecation/migration rules.</x:v>
      </x:c>
      <x:c r="F245" s="127" t="str">
        <x:v>P1</x:v>
      </x:c>
      <x:c r="G245" s="127"/>
      <x:c r="H245" s="127" t="str">
        <x:v>Not Started</x:v>
      </x:c>
      <x:c r="I245" s="390" t="n">
        <x:v>0</x:v>
      </x:c>
      <x:c r="J245" s="127" t="str">
        <x:v>Framework upgrade workflow</x:v>
      </x:c>
      <x:c r="K245" s="127"/>
      <x:c r="L245" s="127"/>
      <x:c r="M245" s="127"/>
    </x:row>
    <x:row r="246">
      <x:c r="A246" s="127" t="str">
        <x:v>R-170</x:v>
      </x:c>
      <x:c r="B246" s="127" t="str">
        <x:v>PRODUCTION</x:v>
      </x:c>
      <x:c r="C246" s="127" t="str">
        <x:v>Reliability</x:v>
      </x:c>
      <x:c r="D246" s="127" t="str">
        <x:v>Framework/toolchain production SLO</x:v>
      </x:c>
      <x:c r="E246" s="127" t="str">
        <x:v>Track build success and regression by Flutter/RN/Android/iOS/Web/backend template and block bad template releases.</x:v>
      </x:c>
      <x:c r="F246" s="127" t="str">
        <x:v>P0</x:v>
      </x:c>
      <x:c r="G246" s="127"/>
      <x:c r="H246" s="127" t="str">
        <x:v>Not Started</x:v>
      </x:c>
      <x:c r="I246" s="390" t="n">
        <x:v>0</x:v>
      </x:c>
      <x:c r="J246" s="127" t="str">
        <x:v>Template/repo health dashboard</x:v>
      </x:c>
      <x:c r="K246" s="127"/>
      <x:c r="L246" s="127"/>
      <x:c r="M246" s="127" t="str">
        <x:v>Production readiness is measured, not assumed.</x:v>
      </x:c>
    </x:row>
    <x:row r="247">
      <x:c r="A247" s="127" t="str">
        <x:v>R-171</x:v>
      </x:c>
      <x:c r="B247" s="127" t="str">
        <x:v>MVP</x:v>
      </x:c>
      <x:c r="C247" s="127" t="str">
        <x:v>Runtime</x:v>
      </x:c>
      <x:c r="D247" s="127" t="str">
        <x:v>SandboxProvider abstraction</x:v>
      </x:c>
      <x:c r="E247" s="127" t="str">
        <x:v>Define platform-owned execution interface for create/exec/files/ports/snapshot/artifacts/terminate.</x:v>
      </x:c>
      <x:c r="F247" s="127" t="str">
        <x:v>P0</x:v>
      </x:c>
      <x:c r="G247" s="127"/>
      <x:c r="H247" s="127" t="str">
        <x:v>Not Started</x:v>
      </x:c>
      <x:c r="I247" s="390" t="n">
        <x:v>0</x:v>
      </x:c>
      <x:c r="J247" s="127" t="str">
        <x:v>Ephemeral Linux sandbox</x:v>
      </x:c>
      <x:c r="K247" s="127"/>
      <x:c r="L247" s="127"/>
      <x:c r="M247" s="127" t="str">
        <x:v>No agent-to-vendor SDK coupling.</x:v>
      </x:c>
    </x:row>
    <x:row r="248">
      <x:c r="A248" s="127" t="str">
        <x:v>R-172</x:v>
      </x:c>
      <x:c r="B248" s="127" t="str">
        <x:v>MVP</x:v>
      </x:c>
      <x:c r="C248" s="127" t="str">
        <x:v>Runtime</x:v>
      </x:c>
      <x:c r="D248" s="127" t="str">
        <x:v>Managed Linux sandbox adapter</x:v>
      </x:c>
      <x:c r="E248" s="127" t="str">
        <x:v>Implement first real Linux sandbox provider behind SandboxProvider.</x:v>
      </x:c>
      <x:c r="F248" s="127" t="str">
        <x:v>P0</x:v>
      </x:c>
      <x:c r="G248" s="127"/>
      <x:c r="H248" s="127" t="str">
        <x:v>Not Started</x:v>
      </x:c>
      <x:c r="I248" s="390" t="n">
        <x:v>0</x:v>
      </x:c>
      <x:c r="J248" s="127" t="str">
        <x:v>SandboxProvider abstraction</x:v>
      </x:c>
      <x:c r="K248" s="127"/>
      <x:c r="L248" s="127"/>
      <x:c r="M248" s="127" t="str">
        <x:v>Benchmark E2B/Daytona/equivalent.</x:v>
      </x:c>
    </x:row>
    <x:row r="249">
      <x:c r="A249" s="127" t="str">
        <x:v>R-173</x:v>
      </x:c>
      <x:c r="B249" s="127" t="str">
        <x:v>MVP</x:v>
      </x:c>
      <x:c r="C249" s="127" t="str">
        <x:v>Runtime</x:v>
      </x:c>
      <x:c r="D249" s="127" t="str">
        <x:v>Capability resolver</x:v>
      </x:c>
      <x:c r="E249" s="127" t="str">
        <x:v>Choose Browser/Linux/macOS/local runtime from task capability, trust and cost.</x:v>
      </x:c>
      <x:c r="F249" s="127" t="str">
        <x:v>P0</x:v>
      </x:c>
      <x:c r="G249" s="127"/>
      <x:c r="H249" s="127" t="str">
        <x:v>Not Started</x:v>
      </x:c>
      <x:c r="I249" s="390" t="n">
        <x:v>0</x:v>
      </x:c>
      <x:c r="J249" s="127" t="str">
        <x:v>SandboxProvider abstraction</x:v>
      </x:c>
      <x:c r="K249" s="127"/>
      <x:c r="L249" s="127"/>
      <x:c r="M249" s="127" t="str">
        <x:v>Cheapest safe runtime wins.</x:v>
      </x:c>
    </x:row>
    <x:row r="250">
      <x:c r="A250" s="127" t="str">
        <x:v>R-174</x:v>
      </x:c>
      <x:c r="B250" s="127" t="str">
        <x:v>MVP</x:v>
      </x:c>
      <x:c r="C250" s="127" t="str">
        <x:v>Runtime</x:v>
      </x:c>
      <x:c r="D250" s="127" t="str">
        <x:v>Browser runtime PoC</x:v>
      </x:c>
      <x:c r="E250" s="127" t="str">
        <x:v>Use WebContainer/WASM-style runtime only for eligible JS/TS/Node preview/tasks.</x:v>
      </x:c>
      <x:c r="F250" s="127" t="str">
        <x:v>P1</x:v>
      </x:c>
      <x:c r="G250" s="127"/>
      <x:c r="H250" s="127" t="str">
        <x:v>Not Started</x:v>
      </x:c>
      <x:c r="I250" s="390" t="n">
        <x:v>0</x:v>
      </x:c>
      <x:c r="J250" s="127" t="str">
        <x:v>Capability resolver</x:v>
      </x:c>
      <x:c r="K250" s="127"/>
      <x:c r="L250" s="127"/>
      <x:c r="M250" s="127" t="str">
        <x:v>Not universal sandbox.</x:v>
      </x:c>
    </x:row>
    <x:row r="251">
      <x:c r="A251" s="127" t="str">
        <x:v>R-175</x:v>
      </x:c>
      <x:c r="B251" s="127" t="str">
        <x:v>MVP</x:v>
      </x:c>
      <x:c r="C251" s="127" t="str">
        <x:v>Runtime</x:v>
      </x:c>
      <x:c r="D251" s="127" t="str">
        <x:v>Runtime quotas and metering</x:v>
      </x:c>
      <x:c r="E251" s="127" t="str">
        <x:v>CPU/RAM/disk/network/time/cost limits per workspace and task.</x:v>
      </x:c>
      <x:c r="F251" s="127" t="str">
        <x:v>P0</x:v>
      </x:c>
      <x:c r="G251" s="127"/>
      <x:c r="H251" s="127" t="str">
        <x:v>Not Started</x:v>
      </x:c>
      <x:c r="I251" s="390" t="n">
        <x:v>0</x:v>
      </x:c>
      <x:c r="J251" s="127" t="str">
        <x:v>Managed Linux sandbox adapter</x:v>
      </x:c>
      <x:c r="K251" s="127"/>
      <x:c r="L251" s="127"/>
      <x:c r="M251" s="127" t="str">
        <x:v>Required for cost and abuse control.</x:v>
      </x:c>
    </x:row>
    <x:row r="252">
      <x:c r="A252" s="127" t="str">
        <x:v>R-176</x:v>
      </x:c>
      <x:c r="B252" s="127" t="str">
        <x:v>MVP</x:v>
      </x:c>
      <x:c r="C252" s="127" t="str">
        <x:v>Agents</x:v>
      </x:c>
      <x:c r="D252" s="127" t="str">
        <x:v>Durable run state machine</x:v>
      </x:c>
      <x:c r="E252" s="127" t="str">
        <x:v>Persist task lifecycle from CREATED through planning/execution/verification/merge/deploy.</x:v>
      </x:c>
      <x:c r="F252" s="127" t="str">
        <x:v>P0</x:v>
      </x:c>
      <x:c r="G252" s="127"/>
      <x:c r="H252" s="127" t="str">
        <x:v>Not Started</x:v>
      </x:c>
      <x:c r="I252" s="390" t="n">
        <x:v>0</x:v>
      </x:c>
      <x:c r="J252" s="127" t="str">
        <x:v>Supervisor / orchestrator</x:v>
      </x:c>
      <x:c r="K252" s="127"/>
      <x:c r="L252" s="127"/>
      <x:c r="M252" s="127" t="str">
        <x:v>Platform-owned state schema.</x:v>
      </x:c>
    </x:row>
    <x:row r="253">
      <x:c r="A253" s="127" t="str">
        <x:v>R-177</x:v>
      </x:c>
      <x:c r="B253" s="127" t="str">
        <x:v>MVP</x:v>
      </x:c>
      <x:c r="C253" s="127" t="str">
        <x:v>Agents</x:v>
      </x:c>
      <x:c r="D253" s="127" t="str">
        <x:v>Checkpoint and resume</x:v>
      </x:c>
      <x:c r="E253" s="127" t="str">
        <x:v>Resume long tasks from last verified checkpoint after refresh/crash/provider failure.</x:v>
      </x:c>
      <x:c r="F253" s="127" t="str">
        <x:v>P0</x:v>
      </x:c>
      <x:c r="G253" s="127"/>
      <x:c r="H253" s="127" t="str">
        <x:v>Not Started</x:v>
      </x:c>
      <x:c r="I253" s="390" t="n">
        <x:v>0</x:v>
      </x:c>
      <x:c r="J253" s="127" t="str">
        <x:v>Durable run state machine</x:v>
      </x:c>
      <x:c r="K253" s="127"/>
      <x:c r="L253" s="127"/>
      <x:c r="M253" s="127" t="str">
        <x:v>No full restart by default.</x:v>
      </x:c>
    </x:row>
    <x:row r="254">
      <x:c r="A254" s="127" t="str">
        <x:v>R-178</x:v>
      </x:c>
      <x:c r="B254" s="127" t="str">
        <x:v>MVP</x:v>
      </x:c>
      <x:c r="C254" s="127" t="str">
        <x:v>Agents</x:v>
      </x:c>
      <x:c r="D254" s="127" t="str">
        <x:v>Tool idempotency keys</x:v>
      </x:c>
      <x:c r="E254" s="127" t="str">
        <x:v>Every side-effecting tool step carries run/task/step IDs and idempotency key.</x:v>
      </x:c>
      <x:c r="F254" s="127" t="str">
        <x:v>P0</x:v>
      </x:c>
      <x:c r="G254" s="127"/>
      <x:c r="H254" s="127" t="str">
        <x:v>Not Started</x:v>
      </x:c>
      <x:c r="I254" s="390" t="n">
        <x:v>0</x:v>
      </x:c>
      <x:c r="J254" s="127" t="str">
        <x:v>Checkpoint and resume</x:v>
      </x:c>
      <x:c r="K254" s="127"/>
      <x:c r="L254" s="127"/>
      <x:c r="M254" s="127" t="str">
        <x:v>Prevent duplicate side effects.</x:v>
      </x:c>
    </x:row>
    <x:row r="255">
      <x:c r="A255" s="127" t="str">
        <x:v>R-179</x:v>
      </x:c>
      <x:c r="B255" s="127" t="str">
        <x:v>MVP</x:v>
      </x:c>
      <x:c r="C255" s="127" t="str">
        <x:v>Observability</x:v>
      </x:c>
      <x:c r="D255" s="127" t="str">
        <x:v>Agent event ledger</x:v>
      </x:c>
      <x:c r="E255" s="127" t="str">
        <x:v>Persist ordered agent/tool/build/test/approval events; large artifacts in object storage.</x:v>
      </x:c>
      <x:c r="F255" s="127" t="str">
        <x:v>P0</x:v>
      </x:c>
      <x:c r="G255" s="127"/>
      <x:c r="H255" s="127" t="str">
        <x:v>Not Started</x:v>
      </x:c>
      <x:c r="I255" s="390" t="n">
        <x:v>0</x:v>
      </x:c>
      <x:c r="J255" s="127" t="str">
        <x:v>Durable run state machine</x:v>
      </x:c>
      <x:c r="K255" s="127"/>
      <x:c r="L255" s="127"/>
      <x:c r="M255" s="127" t="str">
        <x:v>Supports replay, audit and debugging.</x:v>
      </x:c>
    </x:row>
    <x:row r="256">
      <x:c r="A256" s="127" t="str">
        <x:v>R-180</x:v>
      </x:c>
      <x:c r="B256" s="127" t="str">
        <x:v>MVP</x:v>
      </x:c>
      <x:c r="C256" s="127" t="str">
        <x:v>Agents</x:v>
      </x:c>
      <x:c r="D256" s="127" t="str">
        <x:v>Orchestrator Adapter</x:v>
      </x:c>
      <x:c r="E256" s="127" t="str">
        <x:v>Hide LangGraph/CrewAI/other orchestration frameworks behind platform-owned interface.</x:v>
      </x:c>
      <x:c r="F256" s="127" t="str">
        <x:v>P0</x:v>
      </x:c>
      <x:c r="G256" s="127"/>
      <x:c r="H256" s="127" t="str">
        <x:v>Not Started</x:v>
      </x:c>
      <x:c r="I256" s="390" t="n">
        <x:v>0</x:v>
      </x:c>
      <x:c r="J256" s="127" t="str">
        <x:v>Durable run state machine</x:v>
      </x:c>
      <x:c r="K256" s="127"/>
      <x:c r="L256" s="127"/>
      <x:c r="M256" s="127" t="str">
        <x:v>LangGraph may be first implementation.</x:v>
      </x:c>
    </x:row>
    <x:row r="257">
      <x:c r="A257" s="127" t="str">
        <x:v>R-181</x:v>
      </x:c>
      <x:c r="B257" s="127" t="str">
        <x:v>MVP</x:v>
      </x:c>
      <x:c r="C257" s="127" t="str">
        <x:v>Realtime</x:v>
      </x:c>
      <x:c r="D257" s="127" t="str">
        <x:v>Platform event protocol</x:v>
      </x:c>
      <x:c r="E257" s="127" t="str">
        <x:v>Normalize agent/model/tool progress into a stable event envelope.</x:v>
      </x:c>
      <x:c r="F257" s="127" t="str">
        <x:v>P0</x:v>
      </x:c>
      <x:c r="G257" s="127"/>
      <x:c r="H257" s="127" t="str">
        <x:v>Not Started</x:v>
      </x:c>
      <x:c r="I257" s="390" t="n">
        <x:v>0</x:v>
      </x:c>
      <x:c r="J257" s="127" t="str">
        <x:v>Agent event ledger</x:v>
      </x:c>
      <x:c r="K257" s="127"/>
      <x:c r="L257" s="127"/>
      <x:c r="M257" s="127" t="str">
        <x:v>Frontend never parses provider-specific streams.</x:v>
      </x:c>
    </x:row>
    <x:row r="258">
      <x:c r="A258" s="127" t="str">
        <x:v>R-182</x:v>
      </x:c>
      <x:c r="B258" s="127" t="str">
        <x:v>MVP</x:v>
      </x:c>
      <x:c r="C258" s="127" t="str">
        <x:v>Realtime</x:v>
      </x:c>
      <x:c r="D258" s="127" t="str">
        <x:v>WebSocket reconnect and replay</x:v>
      </x:c>
      <x:c r="E258" s="127" t="str">
        <x:v>Bidirectional agent sessions with sequence replay after reconnect.</x:v>
      </x:c>
      <x:c r="F258" s="127" t="str">
        <x:v>P0</x:v>
      </x:c>
      <x:c r="G258" s="127"/>
      <x:c r="H258" s="127" t="str">
        <x:v>Not Started</x:v>
      </x:c>
      <x:c r="I258" s="390" t="n">
        <x:v>0</x:v>
      </x:c>
      <x:c r="J258" s="127" t="str">
        <x:v>Platform event protocol</x:v>
      </x:c>
      <x:c r="K258" s="127"/>
      <x:c r="L258" s="127"/>
      <x:c r="M258" s="127" t="str">
        <x:v>SSE allowed for simple one-way streams.</x:v>
      </x:c>
    </x:row>
    <x:row r="259">
      <x:c r="A259" s="127" t="str">
        <x:v>R-183</x:v>
      </x:c>
      <x:c r="B259" s="127" t="str">
        <x:v>MVP</x:v>
      </x:c>
      <x:c r="C259" s="127" t="str">
        <x:v>Approvals</x:v>
      </x:c>
      <x:c r="D259" s="127" t="str">
        <x:v>Risk classification L0-L4</x:v>
      </x:c>
      <x:c r="E259" s="127" t="str">
        <x:v>Classify actions from read-only to critical enterprise side effects.</x:v>
      </x:c>
      <x:c r="F259" s="127" t="str">
        <x:v>P0</x:v>
      </x:c>
      <x:c r="G259" s="127"/>
      <x:c r="H259" s="127" t="str">
        <x:v>Not Started</x:v>
      </x:c>
      <x:c r="I259" s="390" t="n">
        <x:v>0</x:v>
      </x:c>
      <x:c r="J259" s="127" t="str">
        <x:v>Agent permission model</x:v>
      </x:c>
      <x:c r="K259" s="127"/>
      <x:c r="L259" s="127"/>
      <x:c r="M259" s="127" t="str">
        <x:v>Approval based on risk.</x:v>
      </x:c>
    </x:row>
    <x:row r="260">
      <x:c r="A260" s="127" t="str">
        <x:v>R-184</x:v>
      </x:c>
      <x:c r="B260" s="127" t="str">
        <x:v>MVP</x:v>
      </x:c>
      <x:c r="C260" s="127" t="str">
        <x:v>Approvals</x:v>
      </x:c>
      <x:c r="D260" s="127" t="str">
        <x:v>Approval object and immutable audit</x:v>
      </x:c>
      <x:c r="E260" s="127" t="str">
        <x:v>Store action, risk, environment, scope, cost, rollback, approver and expiry.</x:v>
      </x:c>
      <x:c r="F260" s="127" t="str">
        <x:v>P0</x:v>
      </x:c>
      <x:c r="G260" s="127"/>
      <x:c r="H260" s="127" t="str">
        <x:v>Not Started</x:v>
      </x:c>
      <x:c r="I260" s="390" t="n">
        <x:v>0</x:v>
      </x:c>
      <x:c r="J260" s="127" t="str">
        <x:v>Risk classification L0-L4</x:v>
      </x:c>
      <x:c r="K260" s="127"/>
      <x:c r="L260" s="127"/>
      <x:c r="M260" s="127" t="str">
        <x:v>Production/destructive actions auditable.</x:v>
      </x:c>
    </x:row>
    <x:row r="261">
      <x:c r="A261" s="127" t="str">
        <x:v>R-185</x:v>
      </x:c>
      <x:c r="B261" s="127" t="str">
        <x:v>MVP</x:v>
      </x:c>
      <x:c r="C261" s="127" t="str">
        <x:v>Tools</x:v>
      </x:c>
      <x:c r="D261" s="127" t="str">
        <x:v>First-party Tool Registry</x:v>
      </x:c>
      <x:c r="E261" s="127" t="str">
        <x:v>Central registry for tool identity, schema, permissions, risk, secrets, limits and audit.</x:v>
      </x:c>
      <x:c r="F261" s="127" t="str">
        <x:v>P0</x:v>
      </x:c>
      <x:c r="G261" s="127"/>
      <x:c r="H261" s="127" t="str">
        <x:v>Not Started</x:v>
      </x:c>
      <x:c r="I261" s="390" t="n">
        <x:v>0</x:v>
      </x:c>
      <x:c r="J261" s="127" t="str">
        <x:v>Agent permission model</x:v>
      </x:c>
      <x:c r="K261" s="127"/>
      <x:c r="L261" s="127"/>
      <x:c r="M261" s="127" t="str">
        <x:v>Deny by default.</x:v>
      </x:c>
    </x:row>
    <x:row r="262">
      <x:c r="A262" s="127" t="str">
        <x:v>R-186</x:v>
      </x:c>
      <x:c r="B262" s="127" t="str">
        <x:v>MVP</x:v>
      </x:c>
      <x:c r="C262" s="127" t="str">
        <x:v>Tools</x:v>
      </x:c>
      <x:c r="D262" s="127" t="str">
        <x:v>MCP Gateway foundation</x:v>
      </x:c>
      <x:c r="E262" s="127" t="str">
        <x:v>All MCP traffic passes through Tool Registry/policy; unverified servers disabled by default.</x:v>
      </x:c>
      <x:c r="F262" s="127" t="str">
        <x:v>P1</x:v>
      </x:c>
      <x:c r="G262" s="127"/>
      <x:c r="H262" s="127" t="str">
        <x:v>Not Started</x:v>
      </x:c>
      <x:c r="I262" s="390" t="n">
        <x:v>0</x:v>
      </x:c>
      <x:c r="J262" s="127" t="str">
        <x:v>First-party Tool Registry</x:v>
      </x:c>
      <x:c r="K262" s="127"/>
      <x:c r="L262" s="127"/>
      <x:c r="M262" s="127" t="str">
        <x:v>No arbitrary agent-to-MCP connections.</x:v>
      </x:c>
    </x:row>
    <x:row r="263">
      <x:c r="A263" s="127" t="str">
        <x:v>R-187</x:v>
      </x:c>
      <x:c r="B263" s="127" t="str">
        <x:v>MVP</x:v>
      </x:c>
      <x:c r="C263" s="127" t="str">
        <x:v>Tools</x:v>
      </x:c>
      <x:c r="D263" s="127" t="str">
        <x:v>Tool secret broker</x:v>
      </x:c>
      <x:c r="E263" s="127" t="str">
        <x:v>Provide short-lived scoped credentials to tools without placing raw secrets in prompts.</x:v>
      </x:c>
      <x:c r="F263" s="127" t="str">
        <x:v>P0</x:v>
      </x:c>
      <x:c r="G263" s="127"/>
      <x:c r="H263" s="127" t="str">
        <x:v>Not Started</x:v>
      </x:c>
      <x:c r="I263" s="390" t="n">
        <x:v>0</x:v>
      </x:c>
      <x:c r="J263" s="127" t="str">
        <x:v>First-party Tool Registry</x:v>
      </x:c>
      <x:c r="K263" s="127"/>
      <x:c r="L263" s="127"/>
      <x:c r="M263" s="127" t="str">
        <x:v>Audit every secret grant.</x:v>
      </x:c>
    </x:row>
    <x:row r="264">
      <x:c r="A264" s="127" t="str">
        <x:v>R-188</x:v>
      </x:c>
      <x:c r="B264" s="127" t="str">
        <x:v>MVP</x:v>
      </x:c>
      <x:c r="C264" s="127" t="str">
        <x:v>Backend Strategy</x:v>
      </x:c>
      <x:c r="D264" s="127" t="str">
        <x:v>Rapid BaaS profile design</x:v>
      </x:c>
      <x:c r="E264" s="127" t="str">
        <x:v>Define optional Supabase/Firebase-style generated backend for suitable small/medium apps.</x:v>
      </x:c>
      <x:c r="F264" s="127" t="str">
        <x:v>P1</x:v>
      </x:c>
      <x:c r="G264" s="127"/>
      <x:c r="H264" s="127" t="str">
        <x:v>Not Started</x:v>
      </x:c>
      <x:c r="I264" s="390" t="n">
        <x:v>0</x:v>
      </x:c>
      <x:c r="J264" s="127" t="str">
        <x:v>Application IR v1</x:v>
      </x:c>
      <x:c r="K264" s="127"/>
      <x:c r="L264" s="127"/>
      <x:c r="M264" s="127" t="str">
        <x:v>Not platform core.</x:v>
      </x:c>
    </x:row>
    <x:row r="265">
      <x:c r="A265" s="127" t="str">
        <x:v>R-189</x:v>
      </x:c>
      <x:c r="B265" s="127" t="str">
        <x:v>MVP</x:v>
      </x:c>
      <x:c r="C265" s="127" t="str">
        <x:v>Architecture</x:v>
      </x:c>
      <x:c r="D265" s="127" t="str">
        <x:v>Build-vs-Buy benchmark process</x:v>
      </x:c>
      <x:c r="E265" s="127" t="str">
        <x:v>Benchmark major providers/frameworks before adoption and record evidence in ADR.</x:v>
      </x:c>
      <x:c r="F265" s="127" t="str">
        <x:v>P0</x:v>
      </x:c>
      <x:c r="G265" s="127"/>
      <x:c r="H265" s="127" t="str">
        <x:v>Not Started</x:v>
      </x:c>
      <x:c r="I265" s="390" t="n">
        <x:v>0</x:v>
      </x:c>
      <x:c r="J265" s="127" t="str">
        <x:v>Architecture decision records</x:v>
      </x:c>
      <x:c r="K265" s="127"/>
      <x:c r="L265" s="127"/>
      <x:c r="M265" s="127" t="str">
        <x:v>References inform; benchmarks decide.</x:v>
      </x:c>
    </x:row>
    <x:row r="266">
      <x:c r="A266" s="127" t="str">
        <x:v>R-190</x:v>
      </x:c>
      <x:c r="B266" s="127" t="str">
        <x:v>MVP</x:v>
      </x:c>
      <x:c r="C266" s="127" t="str">
        <x:v>Governance</x:v>
      </x:c>
      <x:c r="D266" s="127" t="str">
        <x:v>Open-source license review</x:v>
      </x:c>
      <x:c r="E266" s="127" t="str">
        <x:v>Track repo/commit/license before reuse; require legal approval for source reuse.</x:v>
      </x:c>
      <x:c r="F266" s="127" t="str">
        <x:v>P0</x:v>
      </x:c>
      <x:c r="G266" s="127"/>
      <x:c r="H266" s="127" t="str">
        <x:v>Not Started</x:v>
      </x:c>
      <x:c r="I266" s="390" t="n">
        <x:v>0</x:v>
      </x:c>
      <x:c r="J266" s="127" t="str">
        <x:v>Build-vs-Buy benchmark process</x:v>
      </x:c>
      <x:c r="K266" s="127"/>
      <x:c r="L266" s="127"/>
      <x:c r="M266" s="127" t="str">
        <x:v>Architectural learning != code copying.</x:v>
      </x:c>
    </x:row>
    <x:row r="267">
      <x:c r="A267" s="127" t="str">
        <x:v>R-191</x:v>
      </x:c>
      <x:c r="B267" s="127" t="str">
        <x:v>MVP</x:v>
      </x:c>
      <x:c r="C267" s="127" t="str">
        <x:v>Team</x:v>
      </x:c>
      <x:c r="D267" s="127" t="str">
        <x:v>Shared engineering glossary</x:v>
      </x:c>
      <x:c r="E267" s="127" t="str">
        <x:v>Publish common definitions for agent/tool/sandbox/MCP/HITL/checkpoint/BYOC/BaaS/ADR.</x:v>
      </x:c>
      <x:c r="F267" s="127" t="str">
        <x:v>P2</x:v>
      </x:c>
      <x:c r="G267" s="127"/>
      <x:c r="H267" s="127" t="str">
        <x:v>Not Started</x:v>
      </x:c>
      <x:c r="I267" s="390" t="n">
        <x:v>0</x:v>
      </x:c>
      <x:c r="J267" s="127"/>
      <x:c r="K267" s="127"/>
      <x:c r="L267" s="127"/>
      <x:c r="M267" s="127" t="str">
        <x:v>Use in docs and AI prompts.</x:v>
      </x:c>
    </x:row>
    <x:row r="268">
      <x:c r="A268" s="127" t="str">
        <x:v>R-192</x:v>
      </x:c>
      <x:c r="B268" s="127" t="str">
        <x:v>MID</x:v>
      </x:c>
      <x:c r="C268" s="127" t="str">
        <x:v>Tools</x:v>
      </x:c>
      <x:c r="D268" s="127" t="str">
        <x:v>Verified MCP install flow</x:v>
      </x:c>
      <x:c r="E268" s="127" t="str">
        <x:v>Install verified third-party MCP servers with consent, version identity and scopes.</x:v>
      </x:c>
      <x:c r="F268" s="127" t="str">
        <x:v>P1</x:v>
      </x:c>
      <x:c r="G268" s="127"/>
      <x:c r="H268" s="127" t="str">
        <x:v>Not Started</x:v>
      </x:c>
      <x:c r="I268" s="390" t="n">
        <x:v>0</x:v>
      </x:c>
      <x:c r="J268" s="127" t="str">
        <x:v>MCP Gateway foundation</x:v>
      </x:c>
      <x:c r="K268" s="127"/>
      <x:c r="L268" s="127"/>
      <x:c r="M268" s="127" t="str">
        <x:v>Marketplace later.</x:v>
      </x:c>
    </x:row>
    <x:row r="269">
      <x:c r="A269" s="127" t="str">
        <x:v>R-193</x:v>
      </x:c>
      <x:c r="B269" s="127" t="str">
        <x:v>MID</x:v>
      </x:c>
      <x:c r="C269" s="127" t="str">
        <x:v>Execution</x:v>
      </x:c>
      <x:c r="D269" s="127" t="str">
        <x:v>Cross-platform Local Agent</x:v>
      </x:c>
      <x:c r="E269" s="127" t="str">
        <x:v>Signed local agent for Mac/Windows/Linux with explicit workspace grants.</x:v>
      </x:c>
      <x:c r="F269" s="127" t="str">
        <x:v>P1</x:v>
      </x:c>
      <x:c r="G269" s="127"/>
      <x:c r="H269" s="127" t="str">
        <x:v>Not Started</x:v>
      </x:c>
      <x:c r="I269" s="390" t="n">
        <x:v>0</x:v>
      </x:c>
      <x:c r="J269" s="127" t="str">
        <x:v>Local Mac Agent productized</x:v>
      </x:c>
      <x:c r="K269" s="127"/>
      <x:c r="L269" s="127"/>
      <x:c r="M269" s="127" t="str">
        <x:v>Extends local mode beyond Mac.</x:v>
      </x:c>
    </x:row>
    <x:row r="270">
      <x:c r="A270" s="127" t="str">
        <x:v>R-194</x:v>
      </x:c>
      <x:c r="B270" s="127" t="str">
        <x:v>MID</x:v>
      </x:c>
      <x:c r="C270" s="127" t="str">
        <x:v>Execution</x:v>
      </x:c>
      <x:c r="D270" s="127" t="str">
        <x:v>Hybrid BYOK/local mode</x:v>
      </x:c>
      <x:c r="E270" s="127" t="str">
        <x:v>Allow customer model key and selected local execution while preserving central policy.</x:v>
      </x:c>
      <x:c r="F270" s="127" t="str">
        <x:v>P1</x:v>
      </x:c>
      <x:c r="G270" s="127"/>
      <x:c r="H270" s="127" t="str">
        <x:v>Not Started</x:v>
      </x:c>
      <x:c r="I270" s="390" t="n">
        <x:v>0</x:v>
      </x:c>
      <x:c r="J270" s="127" t="str">
        <x:v>Cross-platform Local Agent</x:v>
      </x:c>
      <x:c r="K270" s="127"/>
      <x:c r="L270" s="127"/>
      <x:c r="M270" s="127" t="str">
        <x:v>Privacy + cost option.</x:v>
      </x:c>
    </x:row>
    <x:row r="271">
      <x:c r="A271" s="127" t="str">
        <x:v>R-195</x:v>
      </x:c>
      <x:c r="B271" s="127" t="str">
        <x:v>MID</x:v>
      </x:c>
      <x:c r="C271" s="127" t="str">
        <x:v>Runtime</x:v>
      </x:c>
      <x:c r="D271" s="127" t="str">
        <x:v>Second sandbox provider adapter</x:v>
      </x:c>
      <x:c r="E271" s="127" t="str">
        <x:v>Add alternate managed sandbox and provider health abstraction.</x:v>
      </x:c>
      <x:c r="F271" s="127" t="str">
        <x:v>P1</x:v>
      </x:c>
      <x:c r="G271" s="127"/>
      <x:c r="H271" s="127" t="str">
        <x:v>Not Started</x:v>
      </x:c>
      <x:c r="I271" s="390" t="n">
        <x:v>0</x:v>
      </x:c>
      <x:c r="J271" s="127" t="str">
        <x:v>Managed Linux sandbox adapter</x:v>
      </x:c>
      <x:c r="K271" s="127"/>
      <x:c r="L271" s="127"/>
      <x:c r="M271" s="127" t="str">
        <x:v>Validate portability/failover.</x:v>
      </x:c>
    </x:row>
    <x:row r="272">
      <x:c r="A272" s="127" t="str">
        <x:v>R-196</x:v>
      </x:c>
      <x:c r="B272" s="127" t="str">
        <x:v>MID</x:v>
      </x:c>
      <x:c r="C272" s="127" t="str">
        <x:v>Runtime</x:v>
      </x:c>
      <x:c r="D272" s="127" t="str">
        <x:v>Sandbox snapshots and warm pools</x:v>
      </x:c>
      <x:c r="E272" s="127" t="str">
        <x:v>Use snapshots/prewarming where metrics prove latency/cost benefit.</x:v>
      </x:c>
      <x:c r="F272" s="127" t="str">
        <x:v>P2</x:v>
      </x:c>
      <x:c r="G272" s="127"/>
      <x:c r="H272" s="127" t="str">
        <x:v>Not Started</x:v>
      </x:c>
      <x:c r="I272" s="390" t="n">
        <x:v>0</x:v>
      </x:c>
      <x:c r="J272" s="127" t="str">
        <x:v>Second sandbox provider adapter</x:v>
      </x:c>
      <x:c r="K272" s="127"/>
      <x:c r="L272" s="127"/>
      <x:c r="M272" s="127" t="str">
        <x:v>Do not optimize blindly.</x:v>
      </x:c>
    </x:row>
    <x:row r="273">
      <x:c r="A273" s="127" t="str">
        <x:v>R-197</x:v>
      </x:c>
      <x:c r="B273" s="127" t="str">
        <x:v>MID</x:v>
      </x:c>
      <x:c r="C273" s="127" t="str">
        <x:v>Developer Experience</x:v>
      </x:c>
      <x:c r="D273" s="127" t="str">
        <x:v>Agent time-travel debugging</x:v>
      </x:c>
      <x:c r="E273" s="127" t="str">
        <x:v>Inspect checkpoints, event ledger, tool calls and recovery path for a run.</x:v>
      </x:c>
      <x:c r="F273" s="127" t="str">
        <x:v>P1</x:v>
      </x:c>
      <x:c r="G273" s="127"/>
      <x:c r="H273" s="127" t="str">
        <x:v>Not Started</x:v>
      </x:c>
      <x:c r="I273" s="390" t="n">
        <x:v>0</x:v>
      </x:c>
      <x:c r="J273" s="127" t="str">
        <x:v>Agent event ledger</x:v>
      </x:c>
      <x:c r="K273" s="127"/>
      <x:c r="L273" s="127"/>
      <x:c r="M273" s="127" t="str">
        <x:v>Operator and developer debugging.</x:v>
      </x:c>
    </x:row>
    <x:row r="274">
      <x:c r="A274" s="127" t="str">
        <x:v>R-198</x:v>
      </x:c>
      <x:c r="B274" s="127" t="str">
        <x:v>MID</x:v>
      </x:c>
      <x:c r="C274" s="127" t="str">
        <x:v>Tools</x:v>
      </x:c>
      <x:c r="D274" s="127" t="str">
        <x:v>Tool marketplace verification</x:v>
      </x:c>
      <x:c r="E274" s="127" t="str">
        <x:v>Security/license/schema/reliability review before external tool publication.</x:v>
      </x:c>
      <x:c r="F274" s="127" t="str">
        <x:v>P2</x:v>
      </x:c>
      <x:c r="G274" s="127"/>
      <x:c r="H274" s="127" t="str">
        <x:v>Not Started</x:v>
      </x:c>
      <x:c r="I274" s="390" t="n">
        <x:v>0</x:v>
      </x:c>
      <x:c r="J274" s="127" t="str">
        <x:v>Verified MCP install flow</x:v>
      </x:c>
      <x:c r="K274" s="127"/>
      <x:c r="L274" s="127"/>
      <x:c r="M274" s="127" t="str">
        <x:v>Verified badge is evidence-based.</x:v>
      </x:c>
    </x:row>
    <x:row r="275">
      <x:c r="A275" s="127" t="str">
        <x:v>R-199</x:v>
      </x:c>
      <x:c r="B275" s="127" t="str">
        <x:v>MID</x:v>
      </x:c>
      <x:c r="C275" s="127" t="str">
        <x:v>Routing</x:v>
      </x:c>
      <x:c r="D275" s="127" t="str">
        <x:v>Runtime provider cost-latency routing</x:v>
      </x:c>
      <x:c r="E275" s="127" t="str">
        <x:v>Route among eligible providers using health, latency, region and cost.</x:v>
      </x:c>
      <x:c r="F275" s="127" t="str">
        <x:v>P1</x:v>
      </x:c>
      <x:c r="G275" s="127"/>
      <x:c r="H275" s="127" t="str">
        <x:v>Not Started</x:v>
      </x:c>
      <x:c r="I275" s="390" t="n">
        <x:v>0</x:v>
      </x:c>
      <x:c r="J275" s="127" t="str">
        <x:v>Second sandbox provider adapter</x:v>
      </x:c>
      <x:c r="K275" s="127"/>
      <x:c r="L275" s="127"/>
      <x:c r="M275" s="127" t="str">
        <x:v>Policy can override cheapest route.</x:v>
      </x:c>
    </x:row>
    <x:row r="276">
      <x:c r="A276" s="127" t="str">
        <x:v>R-200</x:v>
      </x:c>
      <x:c r="B276" s="127" t="str">
        <x:v>MID</x:v>
      </x:c>
      <x:c r="C276" s="127" t="str">
        <x:v>Backend Strategy</x:v>
      </x:c>
      <x:c r="D276" s="127" t="str">
        <x:v>BaaS provider expansion</x:v>
      </x:c>
      <x:c r="E276" s="127" t="str">
        <x:v>Support second Rapid BaaS provider behind backend profile contract.</x:v>
      </x:c>
      <x:c r="F276" s="127" t="str">
        <x:v>P2</x:v>
      </x:c>
      <x:c r="G276" s="127"/>
      <x:c r="H276" s="127" t="str">
        <x:v>Not Started</x:v>
      </x:c>
      <x:c r="I276" s="390" t="n">
        <x:v>0</x:v>
      </x:c>
      <x:c r="J276" s="127" t="str">
        <x:v>Rapid BaaS profile design</x:v>
      </x:c>
      <x:c r="K276" s="127"/>
      <x:c r="L276" s="127"/>
      <x:c r="M276" s="127" t="str">
        <x:v>Keep portability via IR/contracts.</x:v>
      </x:c>
    </x:row>
    <x:row r="277">
      <x:c r="A277" s="127" t="str">
        <x:v>R-201</x:v>
      </x:c>
      <x:c r="B277" s="127" t="str">
        <x:v>ADVANCED</x:v>
      </x:c>
      <x:c r="C277" s="127" t="str">
        <x:v>Tools</x:v>
      </x:c>
      <x:c r="D277" s="127" t="str">
        <x:v>Customer private MCP servers</x:v>
      </x:c>
      <x:c r="E277" s="127" t="str">
        <x:v>Allow customer-owned MCP endpoints with private scopes and network policy.</x:v>
      </x:c>
      <x:c r="F277" s="127" t="str">
        <x:v>P2</x:v>
      </x:c>
      <x:c r="G277" s="127"/>
      <x:c r="H277" s="127" t="str">
        <x:v>Not Started</x:v>
      </x:c>
      <x:c r="I277" s="390" t="n">
        <x:v>0</x:v>
      </x:c>
      <x:c r="J277" s="127" t="str">
        <x:v>Verified MCP install flow</x:v>
      </x:c>
      <x:c r="K277" s="127"/>
      <x:c r="L277" s="127"/>
      <x:c r="M277" s="127" t="str">
        <x:v>Enterprise feature.</x:v>
      </x:c>
    </x:row>
    <x:row r="278">
      <x:c r="A278" s="127" t="str">
        <x:v>R-202</x:v>
      </x:c>
      <x:c r="B278" s="127" t="str">
        <x:v>ADVANCED</x:v>
      </x:c>
      <x:c r="C278" s="127" t="str">
        <x:v>Execution</x:v>
      </x:c>
      <x:c r="D278" s="127" t="str">
        <x:v>Private BYOC runners</x:v>
      </x:c>
      <x:c r="E278" s="127" t="str">
        <x:v>Run sandboxes/builds in customer VPC/private infrastructure.</x:v>
      </x:c>
      <x:c r="F278" s="127" t="str">
        <x:v>P1</x:v>
      </x:c>
      <x:c r="G278" s="127"/>
      <x:c r="H278" s="127" t="str">
        <x:v>Not Started</x:v>
      </x:c>
      <x:c r="I278" s="390" t="n">
        <x:v>0</x:v>
      </x:c>
      <x:c r="J278" s="127" t="str">
        <x:v>BYOC / private runners</x:v>
      </x:c>
      <x:c r="K278" s="127"/>
      <x:c r="L278" s="127"/>
      <x:c r="M278" s="127" t="str">
        <x:v>Central policy + audit remain.</x:v>
      </x:c>
    </x:row>
    <x:row r="279">
      <x:c r="A279" s="127" t="str">
        <x:v>R-203</x:v>
      </x:c>
      <x:c r="B279" s="127" t="str">
        <x:v>ADVANCED</x:v>
      </x:c>
      <x:c r="C279" s="127" t="str">
        <x:v>Runtime</x:v>
      </x:c>
      <x:c r="D279" s="127" t="str">
        <x:v>Cross-region runtime scheduler</x:v>
      </x:c>
      <x:c r="E279" s="127" t="str">
        <x:v>Select execution region by policy, residency, availability and latency.</x:v>
      </x:c>
      <x:c r="F279" s="127" t="str">
        <x:v>P2</x:v>
      </x:c>
      <x:c r="G279" s="127"/>
      <x:c r="H279" s="127" t="str">
        <x:v>Not Started</x:v>
      </x:c>
      <x:c r="I279" s="390" t="n">
        <x:v>0</x:v>
      </x:c>
      <x:c r="J279" s="127" t="str">
        <x:v>Private BYOC runners</x:v>
      </x:c>
      <x:c r="K279" s="127"/>
      <x:c r="L279" s="127"/>
      <x:c r="M279" s="127" t="str">
        <x:v>Enterprise scale.</x:v>
      </x:c>
    </x:row>
    <x:row r="280">
      <x:c r="A280" s="127" t="str">
        <x:v>R-204</x:v>
      </x:c>
      <x:c r="B280" s="127" t="str">
        <x:v>ADVANCED</x:v>
      </x:c>
      <x:c r="C280" s="127" t="str">
        <x:v>Runtime</x:v>
      </x:c>
      <x:c r="D280" s="127" t="str">
        <x:v>Hardened microVM runner fleet</x:v>
      </x:c>
      <x:c r="E280" s="127" t="str">
        <x:v>Own isolated runner fleet only when security/economics justify operational burden.</x:v>
      </x:c>
      <x:c r="F280" s="127" t="str">
        <x:v>P2</x:v>
      </x:c>
      <x:c r="G280" s="127"/>
      <x:c r="H280" s="127" t="str">
        <x:v>Not Started</x:v>
      </x:c>
      <x:c r="I280" s="390" t="n">
        <x:v>0</x:v>
      </x:c>
      <x:c r="J280" s="127" t="str">
        <x:v>Provider cost-latency routing</x:v>
      </x:c>
      <x:c r="K280" s="127"/>
      <x:c r="L280" s="127"/>
      <x:c r="M280" s="127" t="str">
        <x:v>Do not build before benchmark.</x:v>
      </x:c>
    </x:row>
    <x:row r="281">
      <x:c r="A281" s="127" t="str">
        <x:v>R-205</x:v>
      </x:c>
      <x:c r="B281" s="127" t="str">
        <x:v>ADVANCED</x:v>
      </x:c>
      <x:c r="C281" s="127" t="str">
        <x:v>Reliability</x:v>
      </x:c>
      <x:c r="D281" s="127" t="str">
        <x:v>Multi-provider sandbox failover</x:v>
      </x:c>
      <x:c r="E281" s="127" t="str">
        <x:v>Retry eligible tasks on alternate provider without duplicating side effects.</x:v>
      </x:c>
      <x:c r="F281" s="127" t="str">
        <x:v>P1</x:v>
      </x:c>
      <x:c r="G281" s="127"/>
      <x:c r="H281" s="127" t="str">
        <x:v>Not Started</x:v>
      </x:c>
      <x:c r="I281" s="390" t="n">
        <x:v>0</x:v>
      </x:c>
      <x:c r="J281" s="127" t="str">
        <x:v>Tool idempotency keys</x:v>
      </x:c>
      <x:c r="K281" s="127"/>
      <x:c r="L281" s="127"/>
      <x:c r="M281" s="127" t="str">
        <x:v>Checkpoint-aware failover.</x:v>
      </x:c>
    </x:row>
    <x:row r="282">
      <x:c r="A282" s="127" t="str">
        <x:v>R-206</x:v>
      </x:c>
      <x:c r="B282" s="127" t="str">
        <x:v>ADVANCED</x:v>
      </x:c>
      <x:c r="C282" s="127" t="str">
        <x:v>Governance</x:v>
      </x:c>
      <x:c r="D282" s="127" t="str">
        <x:v>Policy-as-code approvals</x:v>
      </x:c>
      <x:c r="E282" s="127" t="str">
        <x:v>Version risk/action/approval policies as tested configuration.</x:v>
      </x:c>
      <x:c r="F282" s="127" t="str">
        <x:v>P1</x:v>
      </x:c>
      <x:c r="G282" s="127"/>
      <x:c r="H282" s="127" t="str">
        <x:v>Not Started</x:v>
      </x:c>
      <x:c r="I282" s="390" t="n">
        <x:v>0</x:v>
      </x:c>
      <x:c r="J282" s="127" t="str">
        <x:v>Approval object and immutable audit</x:v>
      </x:c>
      <x:c r="K282" s="127"/>
      <x:c r="L282" s="127"/>
      <x:c r="M282" s="127" t="str">
        <x:v>Enterprise override support.</x:v>
      </x:c>
    </x:row>
    <x:row r="283">
      <x:c r="A283" s="127" t="str">
        <x:v>R-207</x:v>
      </x:c>
      <x:c r="B283" s="127" t="str">
        <x:v>ADVANCED</x:v>
      </x:c>
      <x:c r="C283" s="127" t="str">
        <x:v>Governance</x:v>
      </x:c>
      <x:c r="D283" s="127" t="str">
        <x:v>Two-person critical approval</x:v>
      </x:c>
      <x:c r="E283" s="127" t="str">
        <x:v>Optional dual approval for L4 actions.</x:v>
      </x:c>
      <x:c r="F283" s="127" t="str">
        <x:v>P2</x:v>
      </x:c>
      <x:c r="G283" s="127"/>
      <x:c r="H283" s="127" t="str">
        <x:v>Not Started</x:v>
      </x:c>
      <x:c r="I283" s="390" t="n">
        <x:v>0</x:v>
      </x:c>
      <x:c r="J283" s="127" t="str">
        <x:v>Policy-as-code approvals</x:v>
      </x:c>
      <x:c r="K283" s="127"/>
      <x:c r="L283" s="127"/>
      <x:c r="M283" s="127" t="str">
        <x:v>High-risk enterprise.</x:v>
      </x:c>
    </x:row>
    <x:row r="284">
      <x:c r="A284" s="127" t="str">
        <x:v>R-208</x:v>
      </x:c>
      <x:c r="B284" s="127" t="str">
        <x:v>ADVANCED</x:v>
      </x:c>
      <x:c r="C284" s="127" t="str">
        <x:v>Models</x:v>
      </x:c>
      <x:c r="D284" s="127" t="str">
        <x:v>Customer private model endpoints</x:v>
      </x:c>
      <x:c r="E284" s="127" t="str">
        <x:v>Support approved VPC/private model endpoints behind Model Gateway.</x:v>
      </x:c>
      <x:c r="F284" s="127" t="str">
        <x:v>P2</x:v>
      </x:c>
      <x:c r="G284" s="127"/>
      <x:c r="H284" s="127" t="str">
        <x:v>Not Started</x:v>
      </x:c>
      <x:c r="I284" s="390" t="n">
        <x:v>0</x:v>
      </x:c>
      <x:c r="J284" s="127" t="str">
        <x:v>BYOK</x:v>
      </x:c>
      <x:c r="K284" s="127"/>
      <x:c r="L284" s="127"/>
      <x:c r="M284" s="127" t="str">
        <x:v>No direct client-to-model coupling.</x:v>
      </x:c>
    </x:row>
    <x:row r="285">
      <x:c r="A285" s="127" t="str">
        <x:v>R-209</x:v>
      </x:c>
      <x:c r="B285" s="127" t="str">
        <x:v>ADVANCED</x:v>
      </x:c>
      <x:c r="C285" s="127" t="str">
        <x:v>Architecture</x:v>
      </x:c>
      <x:c r="D285" s="127" t="str">
        <x:v>Automated provider benchmark suite</x:v>
      </x:c>
      <x:c r="E285" s="127" t="str">
        <x:v>Continuously measure model/runtime/tool providers for cost, latency and reliability.</x:v>
      </x:c>
      <x:c r="F285" s="127" t="str">
        <x:v>P2</x:v>
      </x:c>
      <x:c r="G285" s="127"/>
      <x:c r="H285" s="127" t="str">
        <x:v>Not Started</x:v>
      </x:c>
      <x:c r="I285" s="390" t="n">
        <x:v>0</x:v>
      </x:c>
      <x:c r="J285" s="127" t="str">
        <x:v>Build-vs-Buy benchmark process</x:v>
      </x:c>
      <x:c r="K285" s="127"/>
      <x:c r="L285" s="127"/>
      <x:c r="M285" s="127" t="str">
        <x:v>Feeds routing/ADR reviews.</x:v>
      </x:c>
    </x:row>
    <x:row r="286">
      <x:c r="A286" s="127" t="str">
        <x:v>R-210</x:v>
      </x:c>
      <x:c r="B286" s="127" t="str">
        <x:v>PRODUCTION</x:v>
      </x:c>
      <x:c r="C286" s="127" t="str">
        <x:v>Reliability</x:v>
      </x:c>
      <x:c r="D286" s="127" t="str">
        <x:v>Crash-resume production test</x:v>
      </x:c>
      <x:c r="E286" s="127" t="str">
        <x:v>Prove tasks resume after worker/provider failure from last verified checkpoint.</x:v>
      </x:c>
      <x:c r="F286" s="127" t="str">
        <x:v>P0</x:v>
      </x:c>
      <x:c r="G286" s="127"/>
      <x:c r="H286" s="127" t="str">
        <x:v>Not Started</x:v>
      </x:c>
      <x:c r="I286" s="390" t="n">
        <x:v>0</x:v>
      </x:c>
      <x:c r="J286" s="127" t="str">
        <x:v>Checkpoint and resume</x:v>
      </x:c>
      <x:c r="K286" s="127"/>
      <x:c r="L286" s="127"/>
      <x:c r="M286" s="127" t="str">
        <x:v>Production gate.</x:v>
      </x:c>
    </x:row>
    <x:row r="287">
      <x:c r="A287" s="127" t="str">
        <x:v>R-211</x:v>
      </x:c>
      <x:c r="B287" s="127" t="str">
        <x:v>PRODUCTION</x:v>
      </x:c>
      <x:c r="C287" s="127" t="str">
        <x:v>Reliability</x:v>
      </x:c>
      <x:c r="D287" s="127" t="str">
        <x:v>Duplicate side-effect prevention test</x:v>
      </x:c>
      <x:c r="E287" s="127" t="str">
        <x:v>Prove retry/resume/failover cannot duplicate external mutations.</x:v>
      </x:c>
      <x:c r="F287" s="127" t="str">
        <x:v>P0</x:v>
      </x:c>
      <x:c r="G287" s="127"/>
      <x:c r="H287" s="127" t="str">
        <x:v>Not Started</x:v>
      </x:c>
      <x:c r="I287" s="390" t="n">
        <x:v>0</x:v>
      </x:c>
      <x:c r="J287" s="127" t="str">
        <x:v>Tool idempotency keys</x:v>
      </x:c>
      <x:c r="K287" s="127"/>
      <x:c r="L287" s="127"/>
      <x:c r="M287" s="127" t="str">
        <x:v>Production gate.</x:v>
      </x:c>
    </x:row>
    <x:row r="288">
      <x:c r="A288" s="127" t="str">
        <x:v>R-212</x:v>
      </x:c>
      <x:c r="B288" s="127" t="str">
        <x:v>PRODUCTION</x:v>
      </x:c>
      <x:c r="C288" s="127" t="str">
        <x:v>Realtime</x:v>
      </x:c>
      <x:c r="D288" s="127" t="str">
        <x:v>WebSocket replay correctness SLO</x:v>
      </x:c>
      <x:c r="E288" s="127" t="str">
        <x:v>Prove ordered reconnect/replay with no missing or duplicated critical events.</x:v>
      </x:c>
      <x:c r="F288" s="127" t="str">
        <x:v>P0</x:v>
      </x:c>
      <x:c r="G288" s="127"/>
      <x:c r="H288" s="127" t="str">
        <x:v>Not Started</x:v>
      </x:c>
      <x:c r="I288" s="390" t="n">
        <x:v>0</x:v>
      </x:c>
      <x:c r="J288" s="127" t="str">
        <x:v>WebSocket reconnect and replay</x:v>
      </x:c>
      <x:c r="K288" s="127"/>
      <x:c r="L288" s="127"/>
      <x:c r="M288" s="127" t="str">
        <x:v>Production gate.</x:v>
      </x:c>
    </x:row>
    <x:row r="289">
      <x:c r="A289" s="127" t="str">
        <x:v>R-213</x:v>
      </x:c>
      <x:c r="B289" s="127" t="str">
        <x:v>PRODUCTION</x:v>
      </x:c>
      <x:c r="C289" s="127" t="str">
        <x:v>Security</x:v>
      </x:c>
      <x:c r="D289" s="127" t="str">
        <x:v>MCP isolation and prompt-injection test</x:v>
      </x:c>
      <x:c r="E289" s="127" t="str">
        <x:v>Prove tool output cannot override policy and workspace/tool scopes are isolated.</x:v>
      </x:c>
      <x:c r="F289" s="127" t="str">
        <x:v>P0</x:v>
      </x:c>
      <x:c r="G289" s="127"/>
      <x:c r="H289" s="127" t="str">
        <x:v>Not Started</x:v>
      </x:c>
      <x:c r="I289" s="390" t="n">
        <x:v>0</x:v>
      </x:c>
      <x:c r="J289" s="127" t="str">
        <x:v>MCP Gateway foundation</x:v>
      </x:c>
      <x:c r="K289" s="127"/>
      <x:c r="L289" s="127"/>
      <x:c r="M289" s="127" t="str">
        <x:v>Production gate.</x:v>
      </x:c>
    </x:row>
    <x:row r="290">
      <x:c r="A290" t="str">
        <x:v>R-214</x:v>
      </x:c>
      <x:c r="B290" t="str">
        <x:v>PRODUCTION</x:v>
      </x:c>
      <x:c r="C290" t="str">
        <x:v>Security</x:v>
      </x:c>
      <x:c r="D290" t="str">
        <x:v>Sandbox tenant isolation test</x:v>
      </x:c>
      <x:c r="E290" t="str">
        <x:v>Prove no cross-tenant filesystem/process/network/secret access.</x:v>
      </x:c>
      <x:c r="F290" t="str">
        <x:v>P0</x:v>
      </x:c>
      <x:c r="G290"/>
      <x:c r="H290" t="str">
        <x:v>Not Started</x:v>
      </x:c>
      <x:c r="I290" t="n">
        <x:v>0</x:v>
      </x:c>
      <x:c r="J290" t="str">
        <x:v>SandboxProvider abstraction</x:v>
      </x:c>
      <x:c r="K290"/>
      <x:c r="L290"/>
      <x:c r="M290" t="str">
        <x:v>Production gate.</x:v>
      </x:c>
    </x:row>
    <x:row r="291">
      <x:c r="A291" t="str">
        <x:v>R-215</x:v>
      </x:c>
      <x:c r="B291" t="str">
        <x:v>PRODUCTION</x:v>
      </x:c>
      <x:c r="C291" t="str">
        <x:v>Reliability</x:v>
      </x:c>
      <x:c r="D291" t="str">
        <x:v>Runtime provider outage failover</x:v>
      </x:c>
      <x:c r="E291" t="str">
        <x:v>Prove eligible jobs fail over safely during provider outage.</x:v>
      </x:c>
      <x:c r="F291" t="str">
        <x:v>P0</x:v>
      </x:c>
      <x:c r="G291"/>
      <x:c r="H291" t="str">
        <x:v>Not Started</x:v>
      </x:c>
      <x:c r="I291" t="n">
        <x:v>0</x:v>
      </x:c>
      <x:c r="J291" t="str">
        <x:v>Multi-provider sandbox failover</x:v>
      </x:c>
      <x:c r="K291"/>
      <x:c r="L291"/>
      <x:c r="M291" t="str">
        <x:v>Production gate.</x:v>
      </x:c>
    </x:row>
    <x:row r="292">
      <x:c r="A292" t="str">
        <x:v>R-216</x:v>
      </x:c>
      <x:c r="B292" t="str">
        <x:v>PRODUCTION</x:v>
      </x:c>
      <x:c r="C292" t="str">
        <x:v>Governance</x:v>
      </x:c>
      <x:c r="D292" t="str">
        <x:v>Approval auditability test</x:v>
      </x:c>
      <x:c r="E292" t="str">
        <x:v>Prove who approved what, when, scope, risk, environment and expiration.</x:v>
      </x:c>
      <x:c r="F292" t="str">
        <x:v>P0</x:v>
      </x:c>
      <x:c r="G292"/>
      <x:c r="H292" t="str">
        <x:v>Not Started</x:v>
      </x:c>
      <x:c r="I292" t="n">
        <x:v>0</x:v>
      </x:c>
      <x:c r="J292" t="str">
        <x:v>Approval object and immutable audit</x:v>
      </x:c>
      <x:c r="K292"/>
      <x:c r="L292"/>
      <x:c r="M292" t="str">
        <x:v>Production gate.</x:v>
      </x:c>
    </x:row>
    <x:row r="293">
      <x:c r="A293" t="str">
        <x:v>R-217</x:v>
      </x:c>
      <x:c r="B293" t="str">
        <x:v>PRODUCTION</x:v>
      </x:c>
      <x:c r="C293" t="str">
        <x:v>Backend Strategy</x:v>
      </x:c>
      <x:c r="D293" t="str">
        <x:v>BaaS to custom migration test</x:v>
      </x:c>
      <x:c r="E293" t="str">
        <x:v>Prove project can migrate backend profile using IR/contracts without rediscovering product behavior.</x:v>
      </x:c>
      <x:c r="F293" t="str">
        <x:v>P1</x:v>
      </x:c>
      <x:c r="G293"/>
      <x:c r="H293" t="str">
        <x:v>Not Started</x:v>
      </x:c>
      <x:c r="I293" t="n">
        <x:v>0</x:v>
      </x:c>
      <x:c r="J293" t="str">
        <x:v>BaaS provider expansion</x:v>
      </x:c>
      <x:c r="K293"/>
      <x:c r="L293"/>
      <x:c r="M293" t="str">
        <x:v>Avoid backend lock-in.</x:v>
      </x:c>
    </x:row>
    <x:row r="294">
      <x:c r="A294" t="str">
        <x:v>R-218</x:v>
      </x:c>
      <x:c r="B294" t="str">
        <x:v>PRODUCTION</x:v>
      </x:c>
      <x:c r="C294" t="str">
        <x:v>Security</x:v>
      </x:c>
      <x:c r="D294" t="str">
        <x:v>Local Agent security lifecycle</x:v>
      </x:c>
      <x:c r="E294" t="str">
        <x:v>Signed install/update, folder grant, revoke/uninstall and local log controls verified.</x:v>
      </x:c>
      <x:c r="F294" t="str">
        <x:v>P0</x:v>
      </x:c>
      <x:c r="G294"/>
      <x:c r="H294" t="str">
        <x:v>Not Started</x:v>
      </x:c>
      <x:c r="I294" t="n">
        <x:v>0</x:v>
      </x:c>
      <x:c r="J294" t="str">
        <x:v>Cross-platform Local Agent</x:v>
      </x:c>
      <x:c r="K294"/>
      <x:c r="L294"/>
      <x:c r="M294" t="str">
        <x:v>Production gate.</x:v>
      </x:c>
    </x:row>
    <x:row r="295">
      <x:c r="A295" t="str">
        <x:v>R-219</x:v>
      </x:c>
      <x:c r="B295" t="str">
        <x:v>PRODUCTION</x:v>
      </x:c>
      <x:c r="C295" t="str">
        <x:v>Compliance</x:v>
      </x:c>
      <x:c r="D295" t="str">
        <x:v>OSS license and SBOM gate</x:v>
      </x:c>
      <x:c r="E295" t="str">
        <x:v>Block release when third-party license/SBOM obligations are unresolved.</x:v>
      </x:c>
      <x:c r="F295" t="str">
        <x:v>P0</x:v>
      </x:c>
      <x:c r="G295"/>
      <x:c r="H295" t="str">
        <x:v>Not Started</x:v>
      </x:c>
      <x:c r="I295" t="n">
        <x:v>0</x:v>
      </x:c>
      <x:c r="J295" t="str">
        <x:v>Open-source license review</x:v>
      </x:c>
      <x:c r="K295"/>
      <x:c r="L295"/>
      <x:c r="M295" t="str">
        <x:v>Production gate.</x:v>
      </x:c>
    </x:row>
  </x:sheetData>
  <x:mergeCells>
    <x:mergeCell ref="A2:M2"/>
    <x:mergeCell ref="A1:M1"/>
  </x:mergeCells>
  <x:conditionalFormatting sqref="H4:H180">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conditionalFormatting sqref="H4:H291">
    <x:cfRule type="expression" dxfId="48" priority="5">
      <x:formula>H4="Done"</x:formula>
    </x:cfRule>
    <x:cfRule type="expression" dxfId="49" priority="6">
      <x:formula>H4="In Progress"</x:formula>
    </x:cfRule>
    <x:cfRule type="expression" dxfId="50" priority="7">
      <x:formula>H4="Blocked"</x:formula>
    </x:cfRule>
    <x:cfRule type="expression" dxfId="51" priority="8">
      <x:formula>H4="Deferred"</x:formula>
    </x:cfRule>
  </x:conditionalFormatting>
  <x:conditionalFormatting sqref="H292:H292">
    <x:cfRule type="expression" dxfId="52" priority="9">
      <x:formula>H255="Done"</x:formula>
    </x:cfRule>
    <x:cfRule type="expression" dxfId="53" priority="10">
      <x:formula>H255="In Progress"</x:formula>
    </x:cfRule>
    <x:cfRule type="expression" dxfId="54" priority="11">
      <x:formula>H255="Blocked"</x:formula>
    </x:cfRule>
    <x:cfRule type="expression" dxfId="55" priority="12">
      <x:formula>H255="Deferred"</x:formula>
    </x:cfRule>
  </x:conditionalFormatting>
  <x:conditionalFormatting sqref="H293:H293">
    <x:cfRule type="expression" dxfId="56" priority="13">
      <x:formula>H292="Done"</x:formula>
    </x:cfRule>
    <x:cfRule type="expression" dxfId="57" priority="14">
      <x:formula>H292="In Progress"</x:formula>
    </x:cfRule>
    <x:cfRule type="expression" dxfId="58" priority="15">
      <x:formula>H292="Blocked"</x:formula>
    </x:cfRule>
    <x:cfRule type="expression" dxfId="59" priority="16">
      <x:formula>H292="Deferred"</x:formula>
    </x:cfRule>
  </x:conditionalFormatting>
  <x:conditionalFormatting sqref="H294:H294">
    <x:cfRule type="expression" dxfId="60" priority="17">
      <x:formula>H293="Done"</x:formula>
    </x:cfRule>
    <x:cfRule type="expression" dxfId="61" priority="18">
      <x:formula>H293="In Progress"</x:formula>
    </x:cfRule>
    <x:cfRule type="expression" dxfId="62" priority="19">
      <x:formula>H293="Blocked"</x:formula>
    </x:cfRule>
    <x:cfRule type="expression" dxfId="63" priority="20">
      <x:formula>H293="Deferred"</x:formula>
    </x:cfRule>
  </x:conditionalFormatting>
  <x:conditionalFormatting sqref="H295:H295">
    <x:cfRule type="expression" dxfId="64" priority="21">
      <x:formula>H294="Done"</x:formula>
    </x:cfRule>
    <x:cfRule type="expression" dxfId="65" priority="22">
      <x:formula>H294="In Progress"</x:formula>
    </x:cfRule>
    <x:cfRule type="expression" dxfId="66" priority="23">
      <x:formula>H294="Blocked"</x:formula>
    </x:cfRule>
    <x:cfRule type="expression" dxfId="67" priority="24">
      <x:formula>H294="Deferred"</x:formula>
    </x:cfRule>
  </x:conditionalFormatting>
  <x:dataValidations count="25">
    <x:dataValidation type="list" allowBlank="0" showDropDown="0" showInputMessage="0" showErrorMessage="0" sqref="B4:B180">
      <x:formula1>"MVP,MID,ADVANCED,PRODUCTION"</x:formula1>
    </x:dataValidation>
    <x:dataValidation type="list" allowBlank="0" showDropDown="0" showInputMessage="0" showErrorMessage="0" sqref="F4:F180">
      <x:formula1>"P0,P1,P2,P3"</x:formula1>
    </x:dataValidation>
    <x:dataValidation type="list" allowBlank="0" showDropDown="0" showInputMessage="0" showErrorMessage="0" sqref="H4:H180">
      <x:formula1>"Not Started,In Progress,Blocked,Done,Deferred"</x:formula1>
    </x:dataValidation>
    <x:dataValidation type="list" allowBlank="0" showDropDown="0" showInputMessage="0" showErrorMessage="0" sqref="B181:B204">
      <x:formula1>"MVP,MID,ADVANCED,PRODUCTION"</x:formula1>
    </x:dataValidation>
    <x:dataValidation type="list" allowBlank="0" showDropDown="0" showInputMessage="0" showErrorMessage="0" sqref="F181:F204">
      <x:formula1>"P0,P1,P2,P3"</x:formula1>
    </x:dataValidation>
    <x:dataValidation type="list" allowBlank="0" showDropDown="0" showInputMessage="0" showErrorMessage="0" sqref="H181:H204">
      <x:formula1>"Not Started,In Progress,Blocked,Done,Deferred"</x:formula1>
    </x:dataValidation>
    <x:dataValidation type="list" allowBlank="0" showDropDown="0" showInputMessage="0" showErrorMessage="0" sqref="F205:F240">
      <x:formula1>"P0,P1,P2,P3"</x:formula1>
    </x:dataValidation>
    <x:dataValidation type="list" allowBlank="0" showDropDown="0" showInputMessage="0" showErrorMessage="0" sqref="H205:H240">
      <x:formula1>"Not Started,In Progress,Blocked,Done,Deferred"</x:formula1>
    </x:dataValidation>
    <x:dataValidation type="list" allowBlank="0" showDropDown="0" showInputMessage="0" showErrorMessage="0" sqref="H4:H289">
      <x:formula1>"Not Started,In Progress,Blocked,Done,Deferred"</x:formula1>
    </x:dataValidation>
    <x:dataValidation type="list" allowBlank="0" showDropDown="0" showInputMessage="0" showErrorMessage="0" sqref="F4:F289">
      <x:formula1>"P0,P1,P2,P3"</x:formula1>
    </x:dataValidation>
    <x:dataValidation type="list" sqref="B4:B291">
      <x:formula1>"MVP,MID,ADVANCED,PRODUCTION"</x:formula1>
    </x:dataValidation>
    <x:dataValidation type="list" sqref="F4:F291">
      <x:formula1>"P0,P1,P2,P3"</x:formula1>
    </x:dataValidation>
    <x:dataValidation type="list" sqref="H4:H291">
      <x:formula1>"Not Started,In Progress,Blocked,Done,Deferred"</x:formula1>
    </x:dataValidation>
    <x:dataValidation type="list" sqref="B292">
      <x:formula1>"MVP,MID,ADVANCED,PRODUCTION"</x:formula1>
    </x:dataValidation>
    <x:dataValidation type="list" sqref="F292">
      <x:formula1>"P0,P1,P2,P3"</x:formula1>
    </x:dataValidation>
    <x:dataValidation type="list" sqref="H292">
      <x:formula1>"Not Started,In Progress,Blocked,Done,Deferred"</x:formula1>
    </x:dataValidation>
    <x:dataValidation type="list" sqref="B293">
      <x:formula1>"MVP,MID,ADVANCED,PRODUCTION"</x:formula1>
    </x:dataValidation>
    <x:dataValidation type="list" sqref="F293">
      <x:formula1>"P0,P1,P2,P3"</x:formula1>
    </x:dataValidation>
    <x:dataValidation type="list" sqref="H293">
      <x:formula1>"Not Started,In Progress,Blocked,Done,Deferred"</x:formula1>
    </x:dataValidation>
    <x:dataValidation type="list" sqref="B294">
      <x:formula1>"MVP,MID,ADVANCED,PRODUCTION"</x:formula1>
    </x:dataValidation>
    <x:dataValidation type="list" sqref="F294">
      <x:formula1>"P0,P1,P2,P3"</x:formula1>
    </x:dataValidation>
    <x:dataValidation type="list" sqref="H294">
      <x:formula1>"Not Started,In Progress,Blocked,Done,Deferred"</x:formula1>
    </x:dataValidation>
    <x:dataValidation type="list" sqref="B295">
      <x:formula1>"MVP,MID,ADVANCED,PRODUCTION"</x:formula1>
    </x:dataValidation>
    <x:dataValidation type="list" sqref="F295">
      <x:formula1>"P0,P1,P2,P3"</x:formula1>
    </x:dataValidation>
    <x:dataValidation type="list" sqref="H295">
      <x:formula1>"Not Started,In Progress,Blocked,Done,Deferred"</x:formula1>
    </x:dataValidation>
  </x:dataValidations>
  <x:pageMargins left="0.7" right="0.7" top="0.75" bottom="0.75" header="0.3" footer="0.3"/>
  <x:tableParts count="1">
    <x:tablePart xmlns:r="http://schemas.openxmlformats.org/officeDocument/2006/relationships" r:id="Rf2197a1005b24be1"/>
  </x:tableParts>
</x:worksheet>
</file>

<file path=xl/worksheets/sheet3.xml><?xml version="1.0" encoding="utf-8"?>
<x:worksheet xmlns:x="http://schemas.openxmlformats.org/spreadsheetml/2006/main">
  <x:sheetFormatPr baseColWidth="8" defaultRowHeight="15"/>
  <x:cols>
    <x:col min="1" max="1" width="8" style="40" customWidth="1"/>
    <x:col min="2" max="2" width="25" style="40" customWidth="1"/>
    <x:col min="3" max="3" width="42" style="40" customWidth="1"/>
    <x:col min="4" max="4" width="12" style="40" customWidth="1"/>
    <x:col min="5" max="5" width="12" style="40" customWidth="1"/>
    <x:col min="6" max="6" width="12" style="40" customWidth="1"/>
    <x:col min="7" max="7" width="31" style="40" customWidth="1"/>
    <x:col min="8" max="8" width="28" style="40" customWidth="1"/>
    <x:col min="9" max="9" width="24" style="40" customWidth="1"/>
  </x:cols>
  <x:sheetData>
    <x:row r="1" s="40" customFormat="1" ht="30" customHeight="1">
      <x:c r="A1" s="380" t="inlineStr">
        <x:is>
          <x:t xml:space="preserve">OmniStackAI V5 — Product UI</x:t>
        </x:is>
      </x:c>
      <x:c r="B1" s="375" t="n"/>
      <x:c r="C1" s="375" t="n"/>
      <x:c r="D1" s="375" t="n"/>
      <x:c r="E1" s="375" t="n"/>
      <x:c r="F1" s="375" t="n"/>
      <x:c r="G1" s="375" t="n"/>
      <x:c r="H1" s="375" t="n"/>
      <x:c r="I1" s="375" t="n"/>
    </x:row>
    <x:row r="2" s="40" customFormat="1" ht="34" customHeight="1">
      <x:c r="A2" s="381" t="inlineStr">
        <x:is>
          <x:t xml:space="preserve">The Preview page must visibly preserve the order: Instant Browser Preview -&gt; Real Device -&gt; Cloud Android -&gt; Cloud iOS.</x:t>
        </x:is>
      </x:c>
      <x:c r="B2" s="375" t="n"/>
      <x:c r="C2" s="375" t="n"/>
      <x:c r="D2" s="375" t="n"/>
      <x:c r="E2" s="375" t="n"/>
      <x:c r="F2" s="375" t="n"/>
      <x:c r="G2" s="375" t="n"/>
      <x:c r="H2" s="375" t="n"/>
      <x:c r="I2" s="375" t="n"/>
    </x:row>
    <x:row r="3" s="40" customFormat="1" ht="28" customHeight="1">
      <x:c r="A3" s="20" t="n"/>
      <x:c r="B3" s="20" t="n"/>
      <x:c r="C3" s="20" t="n"/>
      <x:c r="D3" s="20" t="n"/>
      <x:c r="E3" s="20" t="n"/>
      <x:c r="F3" s="20" t="n"/>
      <x:c r="G3" s="20" t="n"/>
      <x:c r="H3" s="20" t="n"/>
      <x:c r="I3" s="20" t="n"/>
    </x:row>
    <x:row r="4" s="40" customFormat="1" ht="28" customHeight="1">
      <x:c r="A4" s="141" t="inlineStr">
        <x:is>
          <x:t xml:space="preserve">Order</x:t>
        </x:is>
      </x:c>
      <x:c r="B4" s="142" t="inlineStr">
        <x:is>
          <x:t xml:space="preserve">Tab / Area</x:t>
        </x:is>
      </x:c>
      <x:c r="C4" s="142" t="inlineStr">
        <x:is>
          <x:t xml:space="preserve">Purpose</x:t>
        </x:is>
      </x:c>
      <x:c r="D4" s="142" t="inlineStr">
        <x:is>
          <x:t xml:space="preserve">MVP</x:t>
        </x:is>
      </x:c>
      <x:c r="E4" s="142" t="inlineStr">
        <x:is>
          <x:t xml:space="preserve">MID</x:t>
        </x:is>
      </x:c>
      <x:c r="F4" s="142" t="inlineStr">
        <x:is>
          <x:t xml:space="preserve">Advanced</x:t>
        </x:is>
      </x:c>
      <x:c r="G4" s="142" t="inlineStr">
        <x:is>
          <x:t xml:space="preserve">Key Cost Rule</x:t>
        </x:is>
      </x:c>
      <x:c r="H4" s="142" t="inlineStr">
        <x:is>
          <x:t xml:space="preserve">Security / Approval</x:t>
        </x:is>
      </x:c>
      <x:c r="I4" s="143" t="inlineStr">
        <x:is>
          <x:t xml:space="preserve">Notes</x:t>
        </x:is>
      </x:c>
    </x:row>
    <x:row r="5" s="40" customFormat="1" ht="42" customHeight="1">
      <x:c r="A5" s="144" t="n">
        <x:v>1</x:v>
      </x:c>
      <x:c r="B5" s="145" t="inlineStr">
        <x:is>
          <x:t xml:space="preserve">Dashboard</x:t>
        </x:is>
      </x:c>
      <x:c r="C5" s="145" t="inlineStr">
        <x:is>
          <x:t xml:space="preserve">Project health, progress, usage, cost</x:t>
        </x:is>
      </x:c>
      <x:c r="D5" s="145" t="inlineStr">
        <x:is>
          <x:t xml:space="preserve">Yes</x:t>
        </x:is>
      </x:c>
      <x:c r="E5" s="145" t="inlineStr">
        <x:is>
          <x:t xml:space="preserve">Enhance</x:t>
        </x:is>
      </x:c>
      <x:c r="F5" s="145" t="inlineStr">
        <x:is>
          <x:t xml:space="preserve">Enhance</x:t>
        </x:is>
      </x:c>
      <x:c r="G5" s="145" t="inlineStr">
        <x:is>
          <x:t xml:space="preserve">show cost per successful task</x:t>
        </x:is>
      </x:c>
      <x:c r="H5" s="145" t="inlineStr">
        <x:is>
          <x:t xml:space="preserve">RBAC</x:t>
        </x:is>
      </x:c>
      <x:c r="I5" s="146" t="str"/>
    </x:row>
    <x:row r="6" s="40" customFormat="1" ht="42" customHeight="1">
      <x:c r="A6" s="147" t="n">
        <x:v>2</x:v>
      </x:c>
      <x:c r="B6" s="148" t="inlineStr">
        <x:is>
          <x:t xml:space="preserve">Create Project / Stack</x:t>
        </x:is>
      </x:c>
      <x:c r="C6" s="148" t="inlineStr">
        <x:is>
          <x:t xml:space="preserve">Framework/backend/database/execution selection</x:t>
        </x:is>
      </x:c>
      <x:c r="D6" s="148" t="inlineStr">
        <x:is>
          <x:t xml:space="preserve">Yes</x:t>
        </x:is>
      </x:c>
      <x:c r="E6" s="148" t="inlineStr">
        <x:is>
          <x:t xml:space="preserve">Enhance</x:t>
        </x:is>
      </x:c>
      <x:c r="F6" s="148" t="inlineStr">
        <x:is>
          <x:t xml:space="preserve">Enhance</x:t>
        </x:is>
      </x:c>
      <x:c r="G6" s="148" t="inlineStr">
        <x:is>
          <x:t xml:space="preserve">recommend cheapest safe profile</x:t>
        </x:is>
      </x:c>
      <x:c r="H6" s="148" t="inlineStr">
        <x:is>
          <x:t xml:space="preserve">override audited</x:t>
        </x:is>
      </x:c>
      <x:c r="I6" s="149" t="inlineStr">
        <x:is>
          <x:t xml:space="preserve">Auto/Recommended default</x:t>
        </x:is>
      </x:c>
    </x:row>
    <x:row r="7" s="40" customFormat="1" ht="42" customHeight="1">
      <x:c r="A7" s="147" t="n">
        <x:v>3</x:v>
      </x:c>
      <x:c r="B7" s="148" t="inlineStr">
        <x:is>
          <x:t xml:space="preserve">AI Chat / Requirements</x:t>
        </x:is>
      </x:c>
      <x:c r="C7" s="148" t="inlineStr">
        <x:is>
          <x:t xml:space="preserve">Natural-language interface; accepted decisions promoted to memory</x:t>
        </x:is>
      </x:c>
      <x:c r="D7" s="148" t="inlineStr">
        <x:is>
          <x:t xml:space="preserve">Yes</x:t>
        </x:is>
      </x:c>
      <x:c r="E7" s="148" t="inlineStr">
        <x:is>
          <x:t xml:space="preserve">Enhance</x:t>
        </x:is>
      </x:c>
      <x:c r="F7" s="148" t="inlineStr">
        <x:is>
          <x:t xml:space="preserve">Enhance</x:t>
        </x:is>
      </x:c>
      <x:c r="G7" s="148" t="inlineStr">
        <x:is>
          <x:t xml:space="preserve">chat is not memory</x:t>
        </x:is>
      </x:c>
      <x:c r="H7" s="148" t="inlineStr">
        <x:is>
          <x:t xml:space="preserve">policy context protected</x:t>
        </x:is>
      </x:c>
      <x:c r="I7" s="149" t="str"/>
    </x:row>
    <x:row r="8" s="40" customFormat="1" ht="42" customHeight="1">
      <x:c r="A8" s="147" t="n">
        <x:v>4</x:v>
      </x:c>
      <x:c r="B8" s="148" t="inlineStr">
        <x:is>
          <x:t xml:space="preserve">Plan</x:t>
        </x:is>
      </x:c>
      <x:c r="C8" s="148" t="inlineStr">
        <x:is>
          <x:t xml:space="preserve">Requirements, acceptance, task graph</x:t>
        </x:is>
      </x:c>
      <x:c r="D8" s="148" t="inlineStr">
        <x:is>
          <x:t xml:space="preserve">Yes</x:t>
        </x:is>
      </x:c>
      <x:c r="E8" s="148" t="inlineStr">
        <x:is>
          <x:t xml:space="preserve">Enhance</x:t>
        </x:is>
      </x:c>
      <x:c r="F8" s="148" t="inlineStr">
        <x:is>
          <x:t xml:space="preserve">Enhance</x:t>
        </x:is>
      </x:c>
      <x:c r="G8" s="148" t="inlineStr">
        <x:is>
          <x:t xml:space="preserve">plan before expensive build</x:t>
        </x:is>
      </x:c>
      <x:c r="H8" s="148" t="inlineStr">
        <x:is>
          <x:t xml:space="preserve">risk approval</x:t>
        </x:is>
      </x:c>
      <x:c r="I8" s="149" t="str"/>
    </x:row>
    <x:row r="9" s="40" customFormat="1" ht="42" customHeight="1">
      <x:c r="A9" s="147" t="n">
        <x:v>5</x:v>
      </x:c>
      <x:c r="B9" s="148" t="inlineStr">
        <x:is>
          <x:t xml:space="preserve">Architecture</x:t>
        </x:is>
      </x:c>
      <x:c r="C9" s="148" t="inlineStr">
        <x:is>
          <x:t xml:space="preserve">IR, ADRs, dependencies</x:t>
        </x:is>
      </x:c>
      <x:c r="D9" s="148" t="inlineStr">
        <x:is>
          <x:t xml:space="preserve">Yes</x:t>
        </x:is>
      </x:c>
      <x:c r="E9" s="148" t="inlineStr">
        <x:is>
          <x:t xml:space="preserve">Enhance</x:t>
        </x:is>
      </x:c>
      <x:c r="F9" s="148" t="inlineStr">
        <x:is>
          <x:t xml:space="preserve">Enhance</x:t>
        </x:is>
      </x:c>
      <x:c r="G9" s="148" t="inlineStr">
        <x:is>
          <x:t xml:space="preserve">reuse decisions</x:t>
        </x:is>
      </x:c>
      <x:c r="H9" s="148" t="inlineStr">
        <x:is>
          <x:t xml:space="preserve">architecture review</x:t>
        </x:is>
      </x:c>
      <x:c r="I9" s="149" t="str"/>
    </x:row>
    <x:row r="10" s="40" customFormat="1" ht="42" customHeight="1">
      <x:c r="A10" s="147" t="n">
        <x:v>6</x:v>
      </x:c>
      <x:c r="B10" s="148" t="inlineStr">
        <x:is>
          <x:t xml:space="preserve">Code</x:t>
        </x:is>
      </x:c>
      <x:c r="C10" s="148" t="inlineStr">
        <x:is>
          <x:t xml:space="preserve">Editor, files, symbol navigation</x:t>
        </x:is>
      </x:c>
      <x:c r="D10" s="148" t="inlineStr">
        <x:is>
          <x:t xml:space="preserve">Yes</x:t>
        </x:is>
      </x:c>
      <x:c r="E10" s="148" t="inlineStr">
        <x:is>
          <x:t xml:space="preserve">Enhance</x:t>
        </x:is>
      </x:c>
      <x:c r="F10" s="148" t="inlineStr">
        <x:is>
          <x:t xml:space="preserve">Enhance</x:t>
        </x:is>
      </x:c>
      <x:c r="G10" s="148" t="inlineStr">
        <x:is>
          <x:t xml:space="preserve">retrieve symbols on demand</x:t>
        </x:is>
      </x:c>
      <x:c r="H10" s="148" t="inlineStr">
        <x:is>
          <x:t xml:space="preserve">protected paths</x:t>
        </x:is>
      </x:c>
      <x:c r="I10" s="149" t="str"/>
    </x:row>
    <x:row r="11" s="40" customFormat="1" ht="42" customHeight="1">
      <x:c r="A11" s="147" t="n">
        <x:v>7</x:v>
      </x:c>
      <x:c r="B11" s="148" t="inlineStr">
        <x:is>
          <x:t xml:space="preserve">Repository / Changes</x:t>
        </x:is>
      </x:c>
      <x:c r="C11" s="148" t="inlineStr">
        <x:is>
          <x:t xml:space="preserve">Diffs, branches, PRs, commits</x:t>
        </x:is>
      </x:c>
      <x:c r="D11" s="148" t="inlineStr">
        <x:is>
          <x:t xml:space="preserve">Yes</x:t>
        </x:is>
      </x:c>
      <x:c r="E11" s="148" t="inlineStr">
        <x:is>
          <x:t xml:space="preserve">Enhance</x:t>
        </x:is>
      </x:c>
      <x:c r="F11" s="148" t="inlineStr">
        <x:is>
          <x:t xml:space="preserve">Enhance</x:t>
        </x:is>
      </x:c>
      <x:c r="G11" s="148" t="inlineStr">
        <x:is>
          <x:t xml:space="preserve">no chat-only rollback</x:t>
        </x:is>
      </x:c>
      <x:c r="H11" s="148" t="inlineStr">
        <x:is>
          <x:t xml:space="preserve">CODEOWNERS</x:t>
        </x:is>
      </x:c>
      <x:c r="I11" s="149" t="str"/>
    </x:row>
    <x:row r="12" s="40" customFormat="1" ht="42" customHeight="1">
      <x:c r="A12" s="147" t="n">
        <x:v>8</x:v>
      </x:c>
      <x:c r="B12" s="148" t="inlineStr">
        <x:is>
          <x:t xml:space="preserve">Preview</x:t>
        </x:is>
      </x:c>
      <x:c r="C12" s="148" t="inlineStr">
        <x:is>
          <x:t xml:space="preserve">Instant Browser Preview ALWAYS first</x:t>
        </x:is>
      </x:c>
      <x:c r="D12" s="148" t="inlineStr">
        <x:is>
          <x:t xml:space="preserve">Yes</x:t>
        </x:is>
      </x:c>
      <x:c r="E12" s="148" t="inlineStr">
        <x:is>
          <x:t xml:space="preserve">Enhance</x:t>
        </x:is>
      </x:c>
      <x:c r="F12" s="148" t="inlineStr">
        <x:is>
          <x:t xml:space="preserve">Enhance</x:t>
        </x:is>
      </x:c>
      <x:c r="G12" s="148" t="inlineStr">
        <x:is>
          <x:t xml:space="preserve">lowest-cost feedback</x:t>
        </x:is>
      </x:c>
      <x:c r="H12" s="148" t="inlineStr">
        <x:is>
          <x:t xml:space="preserve">clear proof limits</x:t>
        </x:is>
      </x:c>
      <x:c r="I12" s="149" t="str"/>
    </x:row>
    <x:row r="13" s="40" customFormat="1" ht="42" customHeight="1">
      <x:c r="A13" s="147" t="n">
        <x:v>9</x:v>
      </x:c>
      <x:c r="B13" s="148" t="inlineStr">
        <x:is>
          <x:t xml:space="preserve">Real Device</x:t>
        </x:is>
      </x:c>
      <x:c r="C13" s="148" t="inlineStr">
        <x:is>
          <x:t xml:space="preserve">Expo QR / APK QR / TestFlight</x:t>
        </x:is>
      </x:c>
      <x:c r="D13" s="148" t="inlineStr">
        <x:is>
          <x:t xml:space="preserve">Yes</x:t>
        </x:is>
      </x:c>
      <x:c r="E13" s="148" t="inlineStr">
        <x:is>
          <x:t xml:space="preserve">Enhance</x:t>
        </x:is>
      </x:c>
      <x:c r="F13" s="148" t="inlineStr">
        <x:is>
          <x:t xml:space="preserve">Enhance</x:t>
        </x:is>
      </x:c>
      <x:c r="G13" s="148" t="inlineStr">
        <x:is>
          <x:t xml:space="preserve">physical device before cloud device</x:t>
        </x:is>
      </x:c>
      <x:c r="H13" s="148" t="inlineStr">
        <x:is>
          <x:t xml:space="preserve">short-lived artifacts</x:t>
        </x:is>
      </x:c>
      <x:c r="I13" s="149" t="str"/>
    </x:row>
    <x:row r="14" s="40" customFormat="1" ht="42" customHeight="1">
      <x:c r="A14" s="147" t="n">
        <x:v>10</x:v>
      </x:c>
      <x:c r="B14" s="148" t="inlineStr">
        <x:is>
          <x:t xml:space="preserve">Cloud Device</x:t>
        </x:is>
      </x:c>
      <x:c r="C14" s="148" t="inlineStr">
        <x:is>
          <x:t xml:space="preserve">Android emulator / iOS simulator</x:t>
        </x:is>
      </x:c>
      <x:c r="D14" s="148" t="inlineStr">
        <x:is>
          <x:t xml:space="preserve">Basic</x:t>
        </x:is>
      </x:c>
      <x:c r="E14" s="148" t="inlineStr">
        <x:is>
          <x:t xml:space="preserve">Yes</x:t>
        </x:is>
      </x:c>
      <x:c r="F14" s="148" t="inlineStr">
        <x:is>
          <x:t xml:space="preserve">Enhance</x:t>
        </x:is>
      </x:c>
      <x:c r="G14" s="148" t="inlineStr">
        <x:is>
          <x:t xml:space="preserve">metered; on demand</x:t>
        </x:is>
      </x:c>
      <x:c r="H14" s="148" t="inlineStr">
        <x:is>
          <x:t xml:space="preserve">session isolation</x:t>
        </x:is>
      </x:c>
      <x:c r="I14" s="149" t="str"/>
    </x:row>
    <x:row r="15" s="40" customFormat="1" ht="42" customHeight="1">
      <x:c r="A15" s="147" t="n">
        <x:v>11</x:v>
      </x:c>
      <x:c r="B15" s="148" t="inlineStr">
        <x:is>
          <x:t xml:space="preserve">Tests / Quality</x:t>
        </x:is>
      </x:c>
      <x:c r="C15" s="148" t="inlineStr">
        <x:is>
          <x:t xml:space="preserve">Unit/integration/E2E/security/blast radius</x:t>
        </x:is>
      </x:c>
      <x:c r="D15" s="148" t="inlineStr">
        <x:is>
          <x:t xml:space="preserve">Yes</x:t>
        </x:is>
      </x:c>
      <x:c r="E15" s="148" t="inlineStr">
        <x:is>
          <x:t xml:space="preserve">Enhance</x:t>
        </x:is>
      </x:c>
      <x:c r="F15" s="148" t="inlineStr">
        <x:is>
          <x:t xml:space="preserve">Enhance</x:t>
        </x:is>
      </x:c>
      <x:c r="G15" s="148" t="inlineStr">
        <x:is>
          <x:t xml:space="preserve">targeted before broad</x:t>
        </x:is>
      </x:c>
      <x:c r="H15" s="148" t="inlineStr">
        <x:is>
          <x:t xml:space="preserve">blocking gates</x:t>
        </x:is>
      </x:c>
      <x:c r="I15" s="149" t="str"/>
    </x:row>
    <x:row r="16" s="40" customFormat="1" ht="42" customHeight="1">
      <x:c r="A16" s="147" t="n">
        <x:v>12</x:v>
      </x:c>
      <x:c r="B16" s="148" t="inlineStr">
        <x:is>
          <x:t xml:space="preserve">API / Data</x:t>
        </x:is>
      </x:c>
      <x:c r="C16" s="148" t="inlineStr">
        <x:is>
          <x:t xml:space="preserve">Contracts, schema, migrations</x:t>
        </x:is>
      </x:c>
      <x:c r="D16" s="148" t="inlineStr">
        <x:is>
          <x:t xml:space="preserve">Yes</x:t>
        </x:is>
      </x:c>
      <x:c r="E16" s="148" t="inlineStr">
        <x:is>
          <x:t xml:space="preserve">Enhance</x:t>
        </x:is>
      </x:c>
      <x:c r="F16" s="148" t="inlineStr">
        <x:is>
          <x:t xml:space="preserve">Enhance</x:t>
        </x:is>
      </x:c>
      <x:c r="G16" s="148" t="inlineStr">
        <x:is>
          <x:t xml:space="preserve">deterministic schema tools</x:t>
        </x:is>
      </x:c>
      <x:c r="H16" s="148" t="inlineStr">
        <x:is>
          <x:t xml:space="preserve">migration approval</x:t>
        </x:is>
      </x:c>
      <x:c r="I16" s="149" t="str"/>
    </x:row>
    <x:row r="17" s="40" customFormat="1" ht="42" customHeight="1">
      <x:c r="A17" s="147" t="n">
        <x:v>13</x:v>
      </x:c>
      <x:c r="B17" s="148" t="inlineStr">
        <x:is>
          <x:t xml:space="preserve">Integrations</x:t>
        </x:is>
      </x:c>
      <x:c r="C17" s="148" t="inlineStr">
        <x:is>
          <x:t xml:space="preserve">MCP/tools/providers</x:t>
        </x:is>
      </x:c>
      <x:c r="D17" s="148" t="inlineStr">
        <x:is>
          <x:t xml:space="preserve">Yes</x:t>
        </x:is>
      </x:c>
      <x:c r="E17" s="148" t="inlineStr">
        <x:is>
          <x:t xml:space="preserve">Enhance</x:t>
        </x:is>
      </x:c>
      <x:c r="F17" s="148" t="inlineStr">
        <x:is>
          <x:t xml:space="preserve">Enhance</x:t>
        </x:is>
      </x:c>
      <x:c r="G17" s="148" t="inlineStr">
        <x:is>
          <x:t xml:space="preserve">only active tools consume context</x:t>
        </x:is>
      </x:c>
      <x:c r="H17" s="148" t="inlineStr">
        <x:is>
          <x:t xml:space="preserve">deny by default</x:t>
        </x:is>
      </x:c>
      <x:c r="I17" s="149" t="str"/>
    </x:row>
    <x:row r="18" s="40" customFormat="1" ht="42" customHeight="1">
      <x:c r="A18" s="147" t="n">
        <x:v>14</x:v>
      </x:c>
      <x:c r="B18" s="148" t="inlineStr">
        <x:is>
          <x:t xml:space="preserve">Deployments / Stores</x:t>
        </x:is>
      </x:c>
      <x:c r="C18" s="148" t="inlineStr">
        <x:is>
          <x:t xml:space="preserve">Web, Play, TestFlight/App Store</x:t>
        </x:is>
      </x:c>
      <x:c r="D18" s="148" t="inlineStr">
        <x:is>
          <x:t xml:space="preserve">Yes</x:t>
        </x:is>
      </x:c>
      <x:c r="E18" s="148" t="inlineStr">
        <x:is>
          <x:t xml:space="preserve">Yes</x:t>
        </x:is>
      </x:c>
      <x:c r="F18" s="148" t="inlineStr">
        <x:is>
          <x:t xml:space="preserve">Enhance</x:t>
        </x:is>
      </x:c>
      <x:c r="G18" s="148" t="inlineStr">
        <x:is>
          <x:t xml:space="preserve">immutable artifacts</x:t>
        </x:is>
      </x:c>
      <x:c r="H18" s="148" t="inlineStr">
        <x:is>
          <x:t xml:space="preserve">human approval</x:t>
        </x:is>
      </x:c>
      <x:c r="I18" s="149" t="str"/>
    </x:row>
    <x:row r="19" s="40" customFormat="1" ht="42" customHeight="1">
      <x:c r="A19" s="147" t="n">
        <x:v>15</x:v>
      </x:c>
      <x:c r="B19" s="148" t="inlineStr">
        <x:is>
          <x:t xml:space="preserve">Logs / Observability</x:t>
        </x:is>
      </x:c>
      <x:c r="C19" s="148" t="inlineStr">
        <x:is>
          <x:t xml:space="preserve">Events, traces, crashes, build logs</x:t>
        </x:is>
      </x:c>
      <x:c r="D19" s="148" t="inlineStr">
        <x:is>
          <x:t xml:space="preserve">Yes</x:t>
        </x:is>
      </x:c>
      <x:c r="E19" s="148" t="inlineStr">
        <x:is>
          <x:t xml:space="preserve">Enhance</x:t>
        </x:is>
      </x:c>
      <x:c r="F19" s="148" t="inlineStr">
        <x:is>
          <x:t xml:space="preserve">Enhance</x:t>
        </x:is>
      </x:c>
      <x:c r="G19" s="148" t="inlineStr">
        <x:is>
          <x:t xml:space="preserve">parse before LLM</x:t>
        </x:is>
      </x:c>
      <x:c r="H19" s="148" t="inlineStr">
        <x:is>
          <x:t xml:space="preserve">redaction/access controls</x:t>
        </x:is>
      </x:c>
      <x:c r="I19" s="149" t="str"/>
    </x:row>
    <x:row r="20">
      <x:c r="A20" s="220" t="n">
        <x:v>16</x:v>
      </x:c>
      <x:c r="B20" s="221" t="inlineStr">
        <x:is>
          <x:t xml:space="preserve">Usage / Cost</x:t>
        </x:is>
      </x:c>
      <x:c r="C20" s="221" t="inlineStr">
        <x:is>
          <x:t xml:space="preserve">Tokens, compute, Mac, storage, tools</x:t>
        </x:is>
      </x:c>
      <x:c r="D20" s="221" t="inlineStr">
        <x:is>
          <x:t xml:space="preserve">Yes</x:t>
        </x:is>
      </x:c>
      <x:c r="E20" s="221" t="inlineStr">
        <x:is>
          <x:t xml:space="preserve">Enhance</x:t>
        </x:is>
      </x:c>
      <x:c r="F20" s="221" t="inlineStr">
        <x:is>
          <x:t xml:space="preserve">Enhance</x:t>
        </x:is>
      </x:c>
      <x:c r="G20" s="221" t="inlineStr">
        <x:is>
          <x:t xml:space="preserve">budget + caps</x:t>
        </x:is>
      </x:c>
      <x:c r="H20" s="221" t="inlineStr">
        <x:is>
          <x:t xml:space="preserve">billing audit</x:t>
        </x:is>
      </x:c>
      <x:c r="I20" s="222" t="str"/>
    </x:row>
    <x:row r="21">
      <x:c r="A21" s="147" t="n">
        <x:v>17</x:v>
      </x:c>
      <x:c r="B21" s="148" t="inlineStr">
        <x:is>
          <x:t xml:space="preserve">Team / Security</x:t>
        </x:is>
      </x:c>
      <x:c r="C21" s="148" t="inlineStr">
        <x:is>
          <x:t xml:space="preserve">RBAC, SSO, audit, policies</x:t>
        </x:is>
      </x:c>
      <x:c r="D21" s="148" t="inlineStr">
        <x:is>
          <x:t xml:space="preserve">Yes</x:t>
        </x:is>
      </x:c>
      <x:c r="E21" s="148" t="inlineStr">
        <x:is>
          <x:t xml:space="preserve">Enhance</x:t>
        </x:is>
      </x:c>
      <x:c r="F21" s="148" t="inlineStr">
        <x:is>
          <x:t xml:space="preserve">Enhance</x:t>
        </x:is>
      </x:c>
      <x:c r="G21" s="148" t="inlineStr">
        <x:is>
          <x:t xml:space="preserve">prevent expensive incidents</x:t>
        </x:is>
      </x:c>
      <x:c r="H21" s="148" t="inlineStr">
        <x:is>
          <x:t xml:space="preserve">least privilege</x:t>
        </x:is>
      </x:c>
      <x:c r="I21" s="149" t="str"/>
    </x:row>
    <x:row r="22">
      <x:c r="A22" s="220" t="n">
        <x:v>18</x:v>
      </x:c>
      <x:c r="B22" s="221" t="inlineStr">
        <x:is>
          <x:t xml:space="preserve">Client Handover</x:t>
        </x:is>
      </x:c>
      <x:c r="C22" s="221" t="inlineStr">
        <x:is>
          <x:t xml:space="preserve">Export ownership package</x:t>
        </x:is>
      </x:c>
      <x:c r="D22" s="221" t="inlineStr">
        <x:is>
          <x:t xml:space="preserve">Basic</x:t>
        </x:is>
      </x:c>
      <x:c r="E22" s="221" t="inlineStr">
        <x:is>
          <x:t xml:space="preserve">Yes</x:t>
        </x:is>
      </x:c>
      <x:c r="F22" s="221" t="inlineStr">
        <x:is>
          <x:t xml:space="preserve">Enhance</x:t>
        </x:is>
      </x:c>
      <x:c r="G22" s="221" t="inlineStr">
        <x:is>
          <x:t xml:space="preserve">reduce lock-in/support</x:t>
        </x:is>
      </x:c>
      <x:c r="H22" s="221" t="inlineStr">
        <x:is>
          <x:t xml:space="preserve">secret values excluded</x:t>
        </x:is>
      </x:c>
      <x:c r="I22" s="222" t="str"/>
    </x:row>
    <x:row r="23">
      <x:c r="A23" s="156" t="n">
        <x:v>19</x:v>
      </x:c>
      <x:c r="B23" s="157" t="inlineStr">
        <x:is>
          <x:t xml:space="preserve">Settings</x:t>
        </x:is>
      </x:c>
      <x:c r="C23" s="157" t="inlineStr">
        <x:is>
          <x:t xml:space="preserve">Project/provider/execution policies</x:t>
        </x:is>
      </x:c>
      <x:c r="D23" s="157" t="inlineStr">
        <x:is>
          <x:t xml:space="preserve">Yes</x:t>
        </x:is>
      </x:c>
      <x:c r="E23" s="157" t="inlineStr">
        <x:is>
          <x:t xml:space="preserve">Enhance</x:t>
        </x:is>
      </x:c>
      <x:c r="F23" s="157" t="inlineStr">
        <x:is>
          <x:t xml:space="preserve">Enhance</x:t>
        </x:is>
      </x:c>
      <x:c r="G23" s="157" t="inlineStr">
        <x:is>
          <x:t xml:space="preserve">default optimized settings</x:t>
        </x:is>
      </x:c>
      <x:c r="H23" s="157" t="inlineStr">
        <x:is>
          <x:t xml:space="preserve">admin only where needed</x:t>
        </x:is>
      </x:c>
      <x:c r="I23" s="158" t="str"/>
    </x:row>
    <x:row r="24">
      <x:c r="A24" s="43" t="n"/>
      <x:c r="B24" s="43" t="n"/>
      <x:c r="C24" s="43" t="n"/>
      <x:c r="D24" s="43" t="n"/>
      <x:c r="E24" s="43" t="n"/>
      <x:c r="F24" s="43" t="n"/>
      <x:c r="G24" s="43" t="n"/>
      <x:c r="H24" s="43" t="n"/>
      <x:c r="I24" s="43" t="n"/>
    </x:row>
  </x:sheetData>
  <x:mergeCells>
    <x:mergeCell ref="A1:I1"/>
    <x:mergeCell ref="A2:I2"/>
  </x:mergeCells>
  <x:conditionalFormatting sqref="H4:H19">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3">
    <x:dataValidation type="list" allowBlank="0" showDropDown="0" showInputMessage="0" showErrorMessage="0" sqref="B4:B19">
      <x:formula1>"MVP,MID,ADVANCED,PRODUCTION"</x:formula1>
    </x:dataValidation>
    <x:dataValidation type="list" allowBlank="0" showDropDown="0" showInputMessage="0" showErrorMessage="0" sqref="G4:G19">
      <x:formula1>"P0,P1,P2,P3"</x:formula1>
    </x:dataValidation>
    <x:dataValidation type="list" allowBlank="0" showDropDown="0" showInputMessage="0" showErrorMessage="0" sqref="H4:H19">
      <x:formula1>"Not Started,In Progress,Blocked,Done,Deferred"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10" style="40" customWidth="1"/>
    <x:col min="2" max="2" width="24" style="40" customWidth="1"/>
    <x:col min="3" max="3" width="13" style="40" customWidth="1"/>
    <x:col min="4" max="4" width="52" style="40" customWidth="1"/>
    <x:col min="5" max="5" width="34" style="40" customWidth="1"/>
    <x:col min="6" max="6" width="34" style="40" customWidth="1"/>
    <x:col min="7" max="7" width="48" style="40" customWidth="1"/>
    <x:col min="8" max="8" width="16" style="40" customWidth="1"/>
  </x:cols>
  <x:sheetData>
    <x:row r="1" s="40" customFormat="1" ht="30" customHeight="1">
      <x:c r="A1" s="391" t="inlineStr">
        <x:is>
          <x:t xml:space="preserve">Agent Architecture</x:t>
        </x:is>
      </x:c>
      <x:c r="B1" s="375" t="n"/>
      <x:c r="C1" s="375" t="n"/>
      <x:c r="D1" s="375" t="n"/>
      <x:c r="E1" s="375" t="n"/>
      <x:c r="F1" s="375" t="n"/>
      <x:c r="G1" s="375" t="n"/>
      <x:c r="H1" s="375" t="n"/>
    </x:row>
    <x:row r="2" s="40" customFormat="1" ht="34" customHeight="1">
      <x:c r="A2" s="392" t="inlineStr">
        <x:is>
          <x:t xml:space="preserve">Each agent has one clear job. The Supervisor controls permissions, budgets, retries and merge gates.</x:t>
        </x:is>
      </x:c>
      <x:c r="B2" s="375" t="n"/>
      <x:c r="C2" s="375" t="n"/>
      <x:c r="D2" s="375" t="n"/>
      <x:c r="E2" s="375" t="n"/>
      <x:c r="F2" s="375" t="n"/>
      <x:c r="G2" s="375" t="n"/>
      <x:c r="H2" s="375" t="n"/>
    </x:row>
    <x:row r="3" s="40" customFormat="1" ht="28" customHeight="1">
      <x:c r="A3" s="20" t="inlineStr">
        <x:is>
          <x:t xml:space="preserve">ID</x:t>
        </x:is>
      </x:c>
      <x:c r="B3" s="20" t="inlineStr">
        <x:is>
          <x:t xml:space="preserve">Agent</x:t>
        </x:is>
      </x:c>
      <x:c r="C3" s="20" t="inlineStr">
        <x:is>
          <x:t xml:space="preserve">Phase</x:t>
        </x:is>
      </x:c>
      <x:c r="D3" s="20" t="inlineStr">
        <x:is>
          <x:t xml:space="preserve">Responsibility</x:t>
        </x:is>
      </x:c>
      <x:c r="E3" s="20" t="inlineStr">
        <x:is>
          <x:t xml:space="preserve">Inputs</x:t>
        </x:is>
      </x:c>
      <x:c r="F3" s="20" t="inlineStr">
        <x:is>
          <x:t xml:space="preserve">Outputs</x:t>
        </x:is>
      </x:c>
      <x:c r="G3" s="20" t="inlineStr">
        <x:is>
          <x:t xml:space="preserve">Hard Guardrail</x:t>
        </x:is>
      </x:c>
      <x:c r="H3" s="20" t="inlineStr">
        <x:is>
          <x:t xml:space="preserve">Status</x:t>
        </x:is>
      </x:c>
    </x:row>
    <x:row r="4" s="40" customFormat="1" ht="44" customHeight="1">
      <x:c r="A4" s="32" t="inlineStr">
        <x:is>
          <x:t xml:space="preserve">AG-01</x:t>
        </x:is>
      </x:c>
      <x:c r="B4" s="32" t="inlineStr">
        <x:is>
          <x:t xml:space="preserve">Supervisor / Orchestrator</x:t>
        </x:is>
      </x:c>
      <x:c r="C4" s="32" t="inlineStr">
        <x:is>
          <x:t xml:space="preserve">MVP</x:t>
        </x:is>
      </x:c>
      <x:c r="D4" s="32" t="inlineStr">
        <x:is>
          <x:t xml:space="preserve">Owns entire task lifecycle; chooses agents, enforces budgets, gates merge.</x:t>
        </x:is>
      </x:c>
      <x:c r="E4" s="32" t="inlineStr">
        <x:is>
          <x:t xml:space="preserve">Task spec, project state</x:t>
        </x:is>
      </x:c>
      <x:c r="F4" s="32" t="inlineStr">
        <x:is>
          <x:t xml:space="preserve">Task graph, decisions, final status</x:t>
        </x:is>
      </x:c>
      <x:c r="G4" s="32" t="inlineStr">
        <x:is>
          <x:t xml:space="preserve">Cannot edit production directly; cannot bypass mandatory gates.</x:t>
        </x:is>
      </x:c>
      <x:c r="H4" s="32" t="inlineStr">
        <x:is>
          <x:t xml:space="preserve">Not Started</x:t>
        </x:is>
      </x:c>
    </x:row>
    <x:row r="5" s="40" customFormat="1" ht="44" customHeight="1">
      <x:c r="A5" s="32" t="inlineStr">
        <x:is>
          <x:t xml:space="preserve">AG-02</x:t>
        </x:is>
      </x:c>
      <x:c r="B5" s="32" t="inlineStr">
        <x:is>
          <x:t xml:space="preserve">Requirement Agent</x:t>
        </x:is>
      </x:c>
      <x:c r="C5" s="32" t="inlineStr">
        <x:is>
          <x:t xml:space="preserve">MVP</x:t>
        </x:is>
      </x:c>
      <x:c r="D5" s="32" t="inlineStr">
        <x:is>
          <x:t xml:space="preserve">Turns prompt into simple structured requirements and acceptance criteria.</x:t>
        </x:is>
      </x:c>
      <x:c r="E5" s="32" t="inlineStr">
        <x:is>
          <x:t xml:space="preserve">Prompt, current IR, product history</x:t>
        </x:is>
      </x:c>
      <x:c r="F5" s="32" t="inlineStr">
        <x:is>
          <x:t xml:space="preserve">Requirement spec</x:t>
        </x:is>
      </x:c>
      <x:c r="G5" s="32" t="inlineStr">
        <x:is>
          <x:t xml:space="preserve">Must flag ambiguity and assumptions.</x:t>
        </x:is>
      </x:c>
      <x:c r="H5" s="32" t="inlineStr">
        <x:is>
          <x:t xml:space="preserve">Not Started</x:t>
        </x:is>
      </x:c>
    </x:row>
    <x:row r="6" s="40" customFormat="1" ht="44" customHeight="1">
      <x:c r="A6" s="32" t="inlineStr">
        <x:is>
          <x:t xml:space="preserve">AG-03</x:t>
        </x:is>
      </x:c>
      <x:c r="B6" s="32" t="inlineStr">
        <x:is>
          <x:t xml:space="preserve">Product Architect</x:t>
        </x:is>
      </x:c>
      <x:c r="C6" s="32" t="inlineStr">
        <x:is>
          <x:t xml:space="preserve">MVP</x:t>
        </x:is>
      </x:c>
      <x:c r="D6" s="32" t="inlineStr">
        <x:is>
          <x:t xml:space="preserve">Maps requested behavior to modules, APIs, data, security and NFRs.</x:t>
        </x:is>
      </x:c>
      <x:c r="E6" s="32" t="inlineStr">
        <x:is>
          <x:t xml:space="preserve">Requirement spec, architecture graph</x:t>
        </x:is>
      </x:c>
      <x:c r="F6" s="32" t="inlineStr">
        <x:is>
          <x:t xml:space="preserve">Architecture impact plan</x:t>
        </x:is>
      </x:c>
      <x:c r="G6" s="32" t="inlineStr">
        <x:is>
          <x:t xml:space="preserve">Cannot change approved architecture silently.</x:t>
        </x:is>
      </x:c>
      <x:c r="H6" s="32" t="inlineStr">
        <x:is>
          <x:t xml:space="preserve">Not Started</x:t>
        </x:is>
      </x:c>
    </x:row>
    <x:row r="7" s="40" customFormat="1" ht="44" customHeight="1">
      <x:c r="A7" s="32" t="inlineStr">
        <x:is>
          <x:t xml:space="preserve">AG-04</x:t>
        </x:is>
      </x:c>
      <x:c r="B7" s="32" t="inlineStr">
        <x:is>
          <x:t xml:space="preserve">Task Planner</x:t>
        </x:is>
      </x:c>
      <x:c r="C7" s="32" t="inlineStr">
        <x:is>
          <x:t xml:space="preserve">MVP</x:t>
        </x:is>
      </x:c>
      <x:c r="D7" s="32" t="inlineStr">
        <x:is>
          <x:t xml:space="preserve">Breaks architecture plan into ordered tasks and dependencies.</x:t>
        </x:is>
      </x:c>
      <x:c r="E7" s="32" t="inlineStr">
        <x:is>
          <x:t xml:space="preserve">Impact plan</x:t>
        </x:is>
      </x:c>
      <x:c r="F7" s="32" t="inlineStr">
        <x:is>
          <x:t xml:space="preserve">Task DAG</x:t>
        </x:is>
      </x:c>
      <x:c r="G7" s="32" t="inlineStr">
        <x:is>
          <x:t xml:space="preserve">Must include validation for each task.</x:t>
        </x:is>
      </x:c>
      <x:c r="H7" s="32" t="inlineStr">
        <x:is>
          <x:t xml:space="preserve">Not Started</x:t>
        </x:is>
      </x:c>
    </x:row>
    <x:row r="8" s="40" customFormat="1" ht="44" customHeight="1">
      <x:c r="A8" s="32" t="inlineStr">
        <x:is>
          <x:t xml:space="preserve">AG-05</x:t>
        </x:is>
      </x:c>
      <x:c r="B8" s="32" t="inlineStr">
        <x:is>
          <x:t xml:space="preserve">Android Agent</x:t>
        </x:is>
      </x:c>
      <x:c r="C8" s="32" t="inlineStr">
        <x:is>
          <x:t xml:space="preserve">MVP</x:t>
        </x:is>
      </x:c>
      <x:c r="D8" s="32" t="inlineStr">
        <x:is>
          <x:t xml:space="preserve">Kotlin + Compose implementation.</x:t>
        </x:is>
      </x:c>
      <x:c r="E8" s="32" t="inlineStr">
        <x:is>
          <x:t xml:space="preserve">Task, relevant symbols, Android ADRs</x:t>
        </x:is>
      </x:c>
      <x:c r="F8" s="32" t="inlineStr">
        <x:is>
          <x:t xml:space="preserve">Patch + tests</x:t>
        </x:is>
      </x:c>
      <x:c r="G8" s="32" t="inlineStr">
        <x:is>
          <x:t xml:space="preserve">Only expected files/modules unless approved.</x:t>
        </x:is>
      </x:c>
      <x:c r="H8" s="32" t="inlineStr">
        <x:is>
          <x:t xml:space="preserve">Not Started</x:t>
        </x:is>
      </x:c>
    </x:row>
    <x:row r="9" s="40" customFormat="1" ht="44" customHeight="1">
      <x:c r="A9" s="32" t="inlineStr">
        <x:is>
          <x:t xml:space="preserve">AG-06</x:t>
        </x:is>
      </x:c>
      <x:c r="B9" s="32" t="inlineStr">
        <x:is>
          <x:t xml:space="preserve">iOS Agent</x:t>
        </x:is>
      </x:c>
      <x:c r="C9" s="32" t="inlineStr">
        <x:is>
          <x:t xml:space="preserve">MVP</x:t>
        </x:is>
      </x:c>
      <x:c r="D9" s="32" t="inlineStr">
        <x:is>
          <x:t xml:space="preserve">Swift + SwiftUI implementation.</x:t>
        </x:is>
      </x:c>
      <x:c r="E9" s="32" t="inlineStr">
        <x:is>
          <x:t xml:space="preserve">Task, relevant symbols, iOS ADRs</x:t>
        </x:is>
      </x:c>
      <x:c r="F9" s="32" t="inlineStr">
        <x:is>
          <x:t xml:space="preserve">Patch + tests</x:t>
        </x:is>
      </x:c>
      <x:c r="G9" s="32" t="inlineStr">
        <x:is>
          <x:t xml:space="preserve">Native compile validation required.</x:t>
        </x:is>
      </x:c>
      <x:c r="H9" s="32" t="inlineStr">
        <x:is>
          <x:t xml:space="preserve">Not Started</x:t>
        </x:is>
      </x:c>
    </x:row>
    <x:row r="10" s="40" customFormat="1" ht="44" customHeight="1">
      <x:c r="A10" s="32" t="inlineStr">
        <x:is>
          <x:t xml:space="preserve">AG-07</x:t>
        </x:is>
      </x:c>
      <x:c r="B10" s="32" t="inlineStr">
        <x:is>
          <x:t xml:space="preserve">Web/Admin Agent</x:t>
        </x:is>
      </x:c>
      <x:c r="C10" s="32" t="inlineStr">
        <x:is>
          <x:t xml:space="preserve">MVP</x:t>
        </x:is>
      </x:c>
      <x:c r="D10" s="32" t="inlineStr">
        <x:is>
          <x:t xml:space="preserve">React/Next TypeScript implementation.</x:t>
        </x:is>
      </x:c>
      <x:c r="E10" s="32" t="inlineStr">
        <x:is>
          <x:t xml:space="preserve">Task, relevant symbols</x:t>
        </x:is>
      </x:c>
      <x:c r="F10" s="32" t="inlineStr">
        <x:is>
          <x:t xml:space="preserve">Patch + tests</x:t>
        </x:is>
      </x:c>
      <x:c r="G10" s="32" t="inlineStr">
        <x:is>
          <x:t xml:space="preserve">Accessibility and responsive checks required.</x:t>
        </x:is>
      </x:c>
      <x:c r="H10" s="32" t="inlineStr">
        <x:is>
          <x:t xml:space="preserve">Not Started</x:t>
        </x:is>
      </x:c>
    </x:row>
    <x:row r="11" s="40" customFormat="1" ht="44" customHeight="1">
      <x:c r="A11" s="32" t="inlineStr">
        <x:is>
          <x:t xml:space="preserve">AG-08</x:t>
        </x:is>
      </x:c>
      <x:c r="B11" s="32" t="inlineStr">
        <x:is>
          <x:t xml:space="preserve">Backend Agent</x:t>
        </x:is>
      </x:c>
      <x:c r="C11" s="32" t="inlineStr">
        <x:is>
          <x:t xml:space="preserve">MVP</x:t>
        </x:is>
      </x:c>
      <x:c r="D11" s="32" t="inlineStr">
        <x:is>
          <x:t xml:space="preserve">Services, APIs, auth, jobs and integrations.</x:t>
        </x:is>
      </x:c>
      <x:c r="E11" s="32" t="inlineStr">
        <x:is>
          <x:t xml:space="preserve">Task, contracts, backend ADRs</x:t>
        </x:is>
      </x:c>
      <x:c r="F11" s="32" t="inlineStr">
        <x:is>
          <x:t xml:space="preserve">Patch + tests</x:t>
        </x:is>
      </x:c>
      <x:c r="G11" s="32" t="inlineStr">
        <x:is>
          <x:t xml:space="preserve">No schema change without DB Agent plan.</x:t>
        </x:is>
      </x:c>
      <x:c r="H11" s="32" t="inlineStr">
        <x:is>
          <x:t xml:space="preserve">Not Started</x:t>
        </x:is>
      </x:c>
    </x:row>
    <x:row r="12" s="40" customFormat="1" ht="44" customHeight="1">
      <x:c r="A12" s="32" t="inlineStr">
        <x:is>
          <x:t xml:space="preserve">AG-09</x:t>
        </x:is>
      </x:c>
      <x:c r="B12" s="32" t="inlineStr">
        <x:is>
          <x:t xml:space="preserve">Database Agent</x:t>
        </x:is>
      </x:c>
      <x:c r="C12" s="32" t="inlineStr">
        <x:is>
          <x:t xml:space="preserve">MVP</x:t>
        </x:is>
      </x:c>
      <x:c r="D12" s="32" t="inlineStr">
        <x:is>
          <x:t xml:space="preserve">Schema, migrations, indexes and query review.</x:t>
        </x:is>
      </x:c>
      <x:c r="E12" s="32" t="inlineStr">
        <x:is>
          <x:t xml:space="preserve">Data impact</x:t>
        </x:is>
      </x:c>
      <x:c r="F12" s="32" t="inlineStr">
        <x:is>
          <x:t xml:space="preserve">Migration + rollback + tests</x:t>
        </x:is>
      </x:c>
      <x:c r="G12" s="32" t="inlineStr">
        <x:is>
          <x:t xml:space="preserve">Destructive change requires explicit approval.</x:t>
        </x:is>
      </x:c>
      <x:c r="H12" s="32" t="inlineStr">
        <x:is>
          <x:t xml:space="preserve">Not Started</x:t>
        </x:is>
      </x:c>
    </x:row>
    <x:row r="13" s="40" customFormat="1" ht="44" customHeight="1">
      <x:c r="A13" s="32" t="inlineStr">
        <x:is>
          <x:t xml:space="preserve">AG-10</x:t>
        </x:is>
      </x:c>
      <x:c r="B13" s="32" t="inlineStr">
        <x:is>
          <x:t xml:space="preserve">Integration Agent</x:t>
        </x:is>
      </x:c>
      <x:c r="C13" s="32" t="inlineStr">
        <x:is>
          <x:t xml:space="preserve">MID</x:t>
        </x:is>
      </x:c>
      <x:c r="D13" s="32" t="inlineStr">
        <x:is>
          <x:t xml:space="preserve">Implements verified third-party integrations.</x:t>
        </x:is>
      </x:c>
      <x:c r="E13" s="32" t="inlineStr">
        <x:is>
          <x:t xml:space="preserve">Integration playbook + credentials scope</x:t>
        </x:is>
      </x:c>
      <x:c r="F13" s="32" t="inlineStr">
        <x:is>
          <x:t xml:space="preserve">Code/config/tests</x:t>
        </x:is>
      </x:c>
      <x:c r="G13" s="32" t="inlineStr">
        <x:is>
          <x:t xml:space="preserve">Only approved domains/scopes.</x:t>
        </x:is>
      </x:c>
      <x:c r="H13" s="32" t="inlineStr">
        <x:is>
          <x:t xml:space="preserve">Not Started</x:t>
        </x:is>
      </x:c>
    </x:row>
    <x:row r="14" s="40" customFormat="1" ht="44" customHeight="1">
      <x:c r="A14" s="32" t="inlineStr">
        <x:is>
          <x:t xml:space="preserve">AG-11</x:t>
        </x:is>
      </x:c>
      <x:c r="B14" s="32" t="inlineStr">
        <x:is>
          <x:t xml:space="preserve">QA Agent</x:t>
        </x:is>
      </x:c>
      <x:c r="C14" s="32" t="inlineStr">
        <x:is>
          <x:t xml:space="preserve">MVP</x:t>
        </x:is>
      </x:c>
      <x:c r="D14" s="32" t="inlineStr">
        <x:is>
          <x:t xml:space="preserve">Creates/selects unit, integration, E2E and visual tests.</x:t>
        </x:is>
      </x:c>
      <x:c r="E14" s="32" t="inlineStr">
        <x:is>
          <x:t xml:space="preserve">Impact graph + patch</x:t>
        </x:is>
      </x:c>
      <x:c r="F14" s="32" t="inlineStr">
        <x:is>
          <x:t xml:space="preserve">Test plan/results</x:t>
        </x:is>
      </x:c>
      <x:c r="G14" s="32" t="inlineStr">
        <x:is>
          <x:t xml:space="preserve">Cannot mark pass without actual tool result.</x:t>
        </x:is>
      </x:c>
      <x:c r="H14" s="32" t="inlineStr">
        <x:is>
          <x:t xml:space="preserve">Not Started</x:t>
        </x:is>
      </x:c>
    </x:row>
    <x:row r="15" s="40" customFormat="1" ht="44" customHeight="1">
      <x:c r="A15" s="32" t="inlineStr">
        <x:is>
          <x:t xml:space="preserve">AG-12</x:t>
        </x:is>
      </x:c>
      <x:c r="B15" s="32" t="inlineStr">
        <x:is>
          <x:t xml:space="preserve">Security Agent</x:t>
        </x:is>
      </x:c>
      <x:c r="C15" s="32" t="inlineStr">
        <x:is>
          <x:t xml:space="preserve">MVP</x:t>
        </x:is>
      </x:c>
      <x:c r="D15" s="32" t="inlineStr">
        <x:is>
          <x:t xml:space="preserve">Threat-focused review and scanner orchestration.</x:t>
        </x:is>
      </x:c>
      <x:c r="E15" s="32" t="inlineStr">
        <x:is>
          <x:t xml:space="preserve">Patch, dependencies, data flow</x:t>
        </x:is>
      </x:c>
      <x:c r="F15" s="32" t="inlineStr">
        <x:is>
          <x:t xml:space="preserve">Findings/severity</x:t>
        </x:is>
      </x:c>
      <x:c r="G15" s="32" t="inlineStr">
        <x:is>
          <x:t xml:space="preserve">High severity blocks release.</x:t>
        </x:is>
      </x:c>
      <x:c r="H15" s="32" t="inlineStr">
        <x:is>
          <x:t xml:space="preserve">Not Started</x:t>
        </x:is>
      </x:c>
    </x:row>
    <x:row r="16" s="40" customFormat="1" ht="44" customHeight="1">
      <x:c r="A16" s="32" t="inlineStr">
        <x:is>
          <x:t xml:space="preserve">AG-13</x:t>
        </x:is>
      </x:c>
      <x:c r="B16" s="32" t="inlineStr">
        <x:is>
          <x:t xml:space="preserve">Code Review Agent</x:t>
        </x:is>
      </x:c>
      <x:c r="C16" s="32" t="inlineStr">
        <x:is>
          <x:t xml:space="preserve">MVP</x:t>
        </x:is>
      </x:c>
      <x:c r="D16" s="32" t="inlineStr">
        <x:is>
          <x:t xml:space="preserve">Checks correctness, style, duplication, architecture and unexpected changes.</x:t>
        </x:is>
      </x:c>
      <x:c r="E16" s="32" t="inlineStr">
        <x:is>
          <x:t xml:space="preserve">Diff, tests, ADRs</x:t>
        </x:is>
      </x:c>
      <x:c r="F16" s="32" t="inlineStr">
        <x:is>
          <x:t xml:space="preserve">Review verdict</x:t>
        </x:is>
      </x:c>
      <x:c r="G16" s="32" t="inlineStr">
        <x:is>
          <x:t xml:space="preserve">Independent model where feasible.</x:t>
        </x:is>
      </x:c>
      <x:c r="H16" s="32" t="inlineStr">
        <x:is>
          <x:t xml:space="preserve">Not Started</x:t>
        </x:is>
      </x:c>
    </x:row>
    <x:row r="17" s="40" customFormat="1" ht="44" customHeight="1">
      <x:c r="A17" s="32" t="inlineStr">
        <x:is>
          <x:t xml:space="preserve">AG-14</x:t>
        </x:is>
      </x:c>
      <x:c r="B17" s="32" t="inlineStr">
        <x:is>
          <x:t xml:space="preserve">Deployment Agent</x:t>
        </x:is>
      </x:c>
      <x:c r="C17" s="32" t="inlineStr">
        <x:is>
          <x:t xml:space="preserve">MVP</x:t>
        </x:is>
      </x:c>
      <x:c r="D17" s="32" t="inlineStr">
        <x:is>
          <x:t xml:space="preserve">Builds immutable artifacts and deploys approved versions.</x:t>
        </x:is>
      </x:c>
      <x:c r="E17" s="32" t="inlineStr">
        <x:is>
          <x:t xml:space="preserve">Commit + environment policy</x:t>
        </x:is>
      </x:c>
      <x:c r="F17" s="32" t="inlineStr">
        <x:is>
          <x:t xml:space="preserve">Build/deploy status</x:t>
        </x:is>
      </x:c>
      <x:c r="G17" s="32" t="inlineStr">
        <x:is>
          <x:t xml:space="preserve">Production action requires policy approval.</x:t>
        </x:is>
      </x:c>
      <x:c r="H17" s="32" t="inlineStr">
        <x:is>
          <x:t xml:space="preserve">Not Started</x:t>
        </x:is>
      </x:c>
    </x:row>
    <x:row r="18" s="40" customFormat="1" ht="44" customHeight="1">
      <x:c r="A18" s="32" t="inlineStr">
        <x:is>
          <x:t xml:space="preserve">AG-15</x:t>
        </x:is>
      </x:c>
      <x:c r="B18" s="32" t="inlineStr">
        <x:is>
          <x:t xml:space="preserve">Recovery Agent</x:t>
        </x:is>
      </x:c>
      <x:c r="C18" s="32" t="inlineStr">
        <x:is>
          <x:t xml:space="preserve">MID</x:t>
        </x:is>
      </x:c>
      <x:c r="D18" s="32" t="inlineStr">
        <x:is>
          <x:t xml:space="preserve">Diagnoses failed builds/tests and proposes bounded fixes.</x:t>
        </x:is>
      </x:c>
      <x:c r="E18" s="32" t="inlineStr">
        <x:is>
          <x:t xml:space="preserve">Failure trace</x:t>
        </x:is>
      </x:c>
      <x:c r="F18" s="32" t="inlineStr">
        <x:is>
          <x:t xml:space="preserve">Root cause + patch</x:t>
        </x:is>
      </x:c>
      <x:c r="G18" s="32" t="inlineStr">
        <x:is>
          <x:t xml:space="preserve">Strict retry/tool/time budget.</x:t>
        </x:is>
      </x:c>
      <x:c r="H18" s="32" t="inlineStr">
        <x:is>
          <x:t xml:space="preserve">Not Started</x:t>
        </x:is>
      </x:c>
    </x:row>
    <x:row r="19" s="40" customFormat="1" ht="44" customHeight="1">
      <x:c r="A19" s="32" t="inlineStr">
        <x:is>
          <x:t xml:space="preserve">AG-16</x:t>
        </x:is>
      </x:c>
      <x:c r="B19" s="32" t="inlineStr">
        <x:is>
          <x:t xml:space="preserve">Cost Controller</x:t>
        </x:is>
      </x:c>
      <x:c r="C19" s="32" t="inlineStr">
        <x:is>
          <x:t xml:space="preserve">MVP</x:t>
        </x:is>
      </x:c>
      <x:c r="D19" s="32" t="inlineStr">
        <x:is>
          <x:t xml:space="preserve">Selects model/compute tier and enforces user/platform budgets.</x:t>
        </x:is>
      </x:c>
      <x:c r="E19" s="32" t="inlineStr">
        <x:is>
          <x:t xml:space="preserve">Task class, usage history</x:t>
        </x:is>
      </x:c>
      <x:c r="F19" s="32" t="inlineStr">
        <x:is>
          <x:t xml:space="preserve">Budget/routing decision</x:t>
        </x:is>
      </x:c>
      <x:c r="G19" s="32" t="inlineStr">
        <x:is>
          <x:t xml:space="preserve">Can stop runaway task.</x:t>
        </x:is>
      </x:c>
      <x:c r="H19" s="32" t="inlineStr">
        <x:is>
          <x:t xml:space="preserve">Not Started</x:t>
        </x:is>
      </x:c>
    </x:row>
    <x:row r="20" s="40" customFormat="1" ht="44" customHeight="1">
      <x:c r="A20" s="32" t="inlineStr">
        <x:is>
          <x:t xml:space="preserve">AG-17</x:t>
        </x:is>
      </x:c>
      <x:c r="B20" s="32" t="inlineStr">
        <x:is>
          <x:t xml:space="preserve">Context Manager</x:t>
        </x:is>
      </x:c>
      <x:c r="C20" s="32" t="inlineStr">
        <x:is>
          <x:t xml:space="preserve">MVP</x:t>
        </x:is>
      </x:c>
      <x:c r="D20" s="32" t="inlineStr">
        <x:is>
          <x:t xml:space="preserve">Builds minimal relevant context pack from symbols/graph/memory.</x:t>
        </x:is>
      </x:c>
      <x:c r="E20" s="32" t="inlineStr">
        <x:is>
          <x:t xml:space="preserve">Task + repo index</x:t>
        </x:is>
      </x:c>
      <x:c r="F20" s="32" t="inlineStr">
        <x:is>
          <x:t xml:space="preserve">Context package</x:t>
        </x:is>
      </x:c>
      <x:c r="G20" s="32" t="inlineStr">
        <x:is>
          <x:t xml:space="preserve">Avoids dumping whole repository/chat.</x:t>
        </x:is>
      </x:c>
      <x:c r="H20" s="32" t="inlineStr">
        <x:is>
          <x:t xml:space="preserve">Not Started</x:t>
        </x:is>
      </x:c>
    </x:row>
    <x:row r="21" s="40" customFormat="1" ht="44" customHeight="1">
      <x:c r="A21" s="32" t="inlineStr">
        <x:is>
          <x:t xml:space="preserve">AG-18</x:t>
        </x:is>
      </x:c>
      <x:c r="B21" s="32" t="inlineStr">
        <x:is>
          <x:t xml:space="preserve">Evaluation Agent</x:t>
        </x:is>
      </x:c>
      <x:c r="C21" s="32" t="inlineStr">
        <x:is>
          <x:t xml:space="preserve">ADVANCED</x:t>
        </x:is>
      </x:c>
      <x:c r="D21" s="32" t="inlineStr">
        <x:is>
          <x:t xml:space="preserve">Scores agent/model versions on fixed benchmark suites.</x:t>
        </x:is>
      </x:c>
      <x:c r="E21" s="32" t="inlineStr">
        <x:is>
          <x:t xml:space="preserve">Candidate agent/model</x:t>
        </x:is>
      </x:c>
      <x:c r="F21" s="32" t="inlineStr">
        <x:is>
          <x:t xml:space="preserve">Quality/cost/latency score</x:t>
        </x:is>
      </x:c>
      <x:c r="G21" s="32" t="inlineStr">
        <x:is>
          <x:t xml:space="preserve">No production promotion without threshold.</x:t>
        </x:is>
      </x:c>
      <x:c r="H21" s="32" t="inlineStr">
        <x:is>
          <x:t xml:space="preserve">Not Started</x:t>
        </x:is>
      </x:c>
    </x:row>
    <x:row r="22">
      <x:c r="A22" s="43" t="inlineStr">
        <x:is>
          <x:t xml:space="preserve">AG-19</x:t>
        </x:is>
      </x:c>
      <x:c r="B22" s="43" t="inlineStr">
        <x:is>
          <x:t xml:space="preserve">MVP</x:t>
        </x:is>
      </x:c>
      <x:c r="C22" s="43" t="inlineStr">
        <x:is>
          <x:t xml:space="preserve">Framework Planning Capability</x:t>
        </x:is>
      </x:c>
      <x:c r="D22" s="43" t="inlineStr">
        <x:is>
          <x:t xml:space="preserve">Product Architect</x:t>
        </x:is>
      </x:c>
      <x:c r="E22" s="43" t="inlineStr">
        <x:is>
          <x:t xml:space="preserve">Select/recommend target profile from requirement scorecard; not a separate chatty agent unless needed.</x:t>
        </x:is>
      </x:c>
      <x:c r="F22" s="43" t="inlineStr">
        <x:is>
          <x:t xml:space="preserve">Requirement Spec + target score</x:t>
        </x:is>
      </x:c>
      <x:c r="G22" s="43" t="inlineStr">
        <x:is>
          <x:t xml:space="preserve">Target Profile + rationale</x:t>
        </x:is>
      </x:c>
      <x:c r="H22" s="43" t="inlineStr">
        <x:is>
          <x:t xml:space="preserve">Must not decide only from category name.</x:t>
        </x:is>
      </x:c>
    </x:row>
    <x:row r="23">
      <x:c r="A23" s="42" t="inlineStr">
        <x:is>
          <x:t xml:space="preserve">AG-20</x:t>
        </x:is>
      </x:c>
      <x:c r="B23" s="42" t="inlineStr">
        <x:is>
          <x:t xml:space="preserve">MVP</x:t>
        </x:is>
      </x:c>
      <x:c r="C23" s="42" t="inlineStr">
        <x:is>
          <x:t xml:space="preserve">Cross-platform Mobile Agent</x:t>
        </x:is>
      </x:c>
      <x:c r="D23" s="42" t="inlineStr">
        <x:is>
          <x:t xml:space="preserve">Task Planner</x:t>
        </x:is>
      </x:c>
      <x:c r="E23" s="42" t="inlineStr">
        <x:is>
          <x:t xml:space="preserve">Flutter or React Native generation/modification through framework adapter.</x:t>
        </x:is>
      </x:c>
      <x:c r="F23" s="42" t="inlineStr">
        <x:is>
          <x:t xml:space="preserve">IR + selected target + relevant repo context</x:t>
        </x:is>
      </x:c>
      <x:c r="G23" s="42" t="inlineStr">
        <x:is>
          <x:t xml:space="preserve">Mobile patch + tests</x:t>
        </x:is>
      </x:c>
      <x:c r="H23" s="42" t="inlineStr">
        <x:is>
          <x:t xml:space="preserve">Only the selected framework is active.</x:t>
        </x:is>
      </x:c>
    </x:row>
    <x:row r="24">
      <x:c r="A24" s="43" t="inlineStr">
        <x:is>
          <x:t xml:space="preserve">AG-21</x:t>
        </x:is>
      </x:c>
      <x:c r="B24" s="43" t="inlineStr">
        <x:is>
          <x:t xml:space="preserve">MVP</x:t>
        </x:is>
      </x:c>
      <x:c r="C24" s="43" t="inlineStr">
        <x:is>
          <x:t xml:space="preserve">Repository Architect Capability</x:t>
        </x:is>
      </x:c>
      <x:c r="D24" s="43" t="inlineStr">
        <x:is>
          <x:t xml:space="preserve">Product Architect</x:t>
        </x:is>
      </x:c>
      <x:c r="E24" s="43" t="inlineStr">
        <x:is>
          <x:t xml:space="preserve">Choose project monorepo layout, package boundaries and Git policies.</x:t>
        </x:is>
      </x:c>
      <x:c r="F24" s="43" t="inlineStr">
        <x:is>
          <x:t xml:space="preserve">Targets + team + compliance + scale</x:t>
        </x:is>
      </x:c>
      <x:c r="G24" s="43" t="inlineStr">
        <x:is>
          <x:t xml:space="preserve">Repo plan + ADR</x:t>
        </x:is>
      </x:c>
      <x:c r="H24" s="43" t="inlineStr">
        <x:is>
          <x:t xml:space="preserve">Monorepo is default; split requires evidence.</x:t>
        </x:is>
      </x:c>
    </x:row>
    <x:row r="25">
      <x:c r="A25" s="42" t="inlineStr">
        <x:is>
          <x:t xml:space="preserve">AG-22</x:t>
        </x:is>
      </x:c>
      <x:c r="B25" s="42" t="inlineStr">
        <x:is>
          <x:t xml:space="preserve">MID</x:t>
        </x:is>
      </x:c>
      <x:c r="C25" s="42" t="inlineStr">
        <x:is>
          <x:t xml:space="preserve">Framework Upgrade Agent</x:t>
        </x:is>
      </x:c>
      <x:c r="D25" s="42" t="inlineStr">
        <x:is>
          <x:t xml:space="preserve">Supervisor</x:t>
        </x:is>
      </x:c>
      <x:c r="E25" s="42" t="inlineStr">
        <x:is>
          <x:t xml:space="preserve">Plan safe SDK/framework upgrades with migration guides, compilation and regression proof.</x:t>
        </x:is>
      </x:c>
      <x:c r="F25" s="42" t="inlineStr">
        <x:is>
          <x:t xml:space="preserve">Current framework graph + target versions</x:t>
        </x:is>
      </x:c>
      <x:c r="G25" s="42" t="inlineStr">
        <x:is>
          <x:t xml:space="preserve">Incremental upgrade PRs</x:t>
        </x:is>
      </x:c>
      <x:c r="H25" s="42" t="inlineStr">
        <x:is>
          <x:t xml:space="preserve">Never bulk-upgrade all dependencies without gates.</x:t>
        </x:is>
      </x:c>
    </x:row>
  </x:sheetData>
  <x:mergeCells>
    <x:mergeCell ref="A2:H2"/>
    <x:mergeCell ref="A1:H1"/>
  </x:mergeCells>
  <x:conditionalFormatting sqref="H4:H2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2">
    <x:dataValidation type="list" allowBlank="0" showDropDown="0" showInputMessage="0" showErrorMessage="0" sqref="C4:C21">
      <x:formula1>"MVP,MID,ADVANCED,PRODUCTION"</x:formula1>
    </x:dataValidation>
    <x:dataValidation type="list" allowBlank="0" showDropDown="0" showInputMessage="0" showErrorMessage="0" sqref="H4:H21">
      <x:formula1>"Not Started,In Progress,Blocked,Done,Deferred"</x:formula1>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40" customWidth="1"/>
    <x:col min="2" max="2" width="24" style="40" customWidth="1"/>
    <x:col min="3" max="3" width="60" style="40" customWidth="1"/>
    <x:col min="4" max="4" width="13" style="40" customWidth="1"/>
    <x:col min="5" max="5" width="48" style="40" customWidth="1"/>
    <x:col min="6" max="6" width="16" style="40" customWidth="1"/>
    <x:col min="7" max="7" width="34" style="40" customWidth="1"/>
  </x:cols>
  <x:sheetData>
    <x:row r="1" s="40" customFormat="1" ht="30" customHeight="1">
      <x:c r="A1" s="391" t="inlineStr">
        <x:is>
          <x:t xml:space="preserve">Application IR (Intermediate Representation)</x:t>
        </x:is>
      </x:c>
      <x:c r="B1" s="375" t="n"/>
      <x:c r="C1" s="375" t="n"/>
      <x:c r="D1" s="375" t="n"/>
      <x:c r="E1" s="375" t="n"/>
      <x:c r="F1" s="375" t="n"/>
      <x:c r="G1" s="375" t="n"/>
    </x:row>
    <x:row r="2" s="40" customFormat="1" ht="34" customHeight="1">
      <x:c r="A2" s="392" t="inlineStr">
        <x:is>
          <x:t xml:space="preserve">The IR is the source of truth between user intent and generated code. Do not make chat history the source of truth.</x:t>
        </x:is>
      </x:c>
      <x:c r="B2" s="375" t="n"/>
      <x:c r="C2" s="375" t="n"/>
      <x:c r="D2" s="375" t="n"/>
      <x:c r="E2" s="375" t="n"/>
      <x:c r="F2" s="375" t="n"/>
      <x:c r="G2" s="375" t="n"/>
    </x:row>
    <x:row r="3" s="40" customFormat="1" ht="28" customHeight="1">
      <x:c r="A3" s="20" t="inlineStr">
        <x:is>
          <x:t xml:space="preserve">ID</x:t>
        </x:is>
      </x:c>
      <x:c r="B3" s="20" t="inlineStr">
        <x:is>
          <x:t xml:space="preserve">IR Section</x:t>
        </x:is>
      </x:c>
      <x:c r="C3" s="20" t="inlineStr">
        <x:is>
          <x:t xml:space="preserve">Simple Contents</x:t>
        </x:is>
      </x:c>
      <x:c r="D3" s="20" t="inlineStr">
        <x:is>
          <x:t xml:space="preserve">Phase</x:t>
        </x:is>
      </x:c>
      <x:c r="E3" s="20" t="inlineStr">
        <x:is>
          <x:t xml:space="preserve">Why it matters</x:t>
        </x:is>
      </x:c>
      <x:c r="F3" s="20" t="inlineStr">
        <x:is>
          <x:t xml:space="preserve">Status</x:t>
        </x:is>
      </x:c>
      <x:c r="G3" s="20" t="inlineStr">
        <x:is>
          <x:t xml:space="preserve">Notes</x:t>
        </x:is>
      </x:c>
    </x:row>
    <x:row r="4" s="40" customFormat="1" ht="38" customHeight="1">
      <x:c r="A4" s="32" t="inlineStr">
        <x:is>
          <x:t xml:space="preserve">IR-01</x:t>
        </x:is>
      </x:c>
      <x:c r="B4" s="32" t="inlineStr">
        <x:is>
          <x:t xml:space="preserve">Identity</x:t>
        </x:is>
      </x:c>
      <x:c r="C4" s="32" t="inlineStr">
        <x:is>
          <x:t xml:space="preserve">Application name, description, product goals</x:t>
        </x:is>
      </x:c>
      <x:c r="D4" s="32" t="inlineStr">
        <x:is>
          <x:t xml:space="preserve">MVP</x:t>
        </x:is>
      </x:c>
      <x:c r="E4" s="32" t="inlineStr">
        <x:is>
          <x:t xml:space="preserve">Canonical product definition</x:t>
        </x:is>
      </x:c>
      <x:c r="F4" s="32" t="inlineStr">
        <x:is>
          <x:t xml:space="preserve">Not Started</x:t>
        </x:is>
      </x:c>
      <x:c r="G4" s="32" t="str"/>
    </x:row>
    <x:row r="5" s="40" customFormat="1" ht="38" customHeight="1">
      <x:c r="A5" s="32" t="inlineStr">
        <x:is>
          <x:t xml:space="preserve">IR-02</x:t>
        </x:is>
      </x:c>
      <x:c r="B5" s="32" t="inlineStr">
        <x:is>
          <x:t xml:space="preserve">Platforms</x:t>
        </x:is>
      </x:c>
      <x:c r="C5" s="32" t="inlineStr">
        <x:is>
          <x:t xml:space="preserve">Android, iOS, web, admin, backend targets</x:t>
        </x:is>
      </x:c>
      <x:c r="D5" s="32" t="inlineStr">
        <x:is>
          <x:t xml:space="preserve">MVP</x:t>
        </x:is>
      </x:c>
      <x:c r="E5" s="32" t="inlineStr">
        <x:is>
          <x:t xml:space="preserve">Controls generators/builds</x:t>
        </x:is>
      </x:c>
      <x:c r="F5" s="32" t="inlineStr">
        <x:is>
          <x:t xml:space="preserve">Not Started</x:t>
        </x:is>
      </x:c>
      <x:c r="G5" s="32" t="str"/>
    </x:row>
    <x:row r="6" s="40" customFormat="1" ht="38" customHeight="1">
      <x:c r="A6" s="32" t="inlineStr">
        <x:is>
          <x:t xml:space="preserve">IR-03</x:t>
        </x:is>
      </x:c>
      <x:c r="B6" s="32" t="inlineStr">
        <x:is>
          <x:t xml:space="preserve">Personas/Roles</x:t>
        </x:is>
      </x:c>
      <x:c r="C6" s="32" t="inlineStr">
        <x:is>
          <x:t xml:space="preserve">Customer, driver, admin, operator, etc.</x:t>
        </x:is>
      </x:c>
      <x:c r="D6" s="32" t="inlineStr">
        <x:is>
          <x:t xml:space="preserve">MVP</x:t>
        </x:is>
      </x:c>
      <x:c r="E6" s="32" t="inlineStr">
        <x:is>
          <x:t xml:space="preserve">Permissions and flows</x:t>
        </x:is>
      </x:c>
      <x:c r="F6" s="32" t="inlineStr">
        <x:is>
          <x:t xml:space="preserve">Not Started</x:t>
        </x:is>
      </x:c>
      <x:c r="G6" s="32" t="str"/>
    </x:row>
    <x:row r="7" s="40" customFormat="1" ht="38" customHeight="1">
      <x:c r="A7" s="32" t="inlineStr">
        <x:is>
          <x:t xml:space="preserve">IR-04</x:t>
        </x:is>
      </x:c>
      <x:c r="B7" s="32" t="inlineStr">
        <x:is>
          <x:t xml:space="preserve">Screens</x:t>
        </x:is>
      </x:c>
      <x:c r="C7" s="32" t="inlineStr">
        <x:is>
          <x:t xml:space="preserve">Screen tree, components, states and navigation</x:t>
        </x:is>
      </x:c>
      <x:c r="D7" s="32" t="inlineStr">
        <x:is>
          <x:t xml:space="preserve">MVP</x:t>
        </x:is>
      </x:c>
      <x:c r="E7" s="32" t="inlineStr">
        <x:is>
          <x:t xml:space="preserve">Cross-platform UI generation and preview</x:t>
        </x:is>
      </x:c>
      <x:c r="F7" s="32" t="inlineStr">
        <x:is>
          <x:t xml:space="preserve">Not Started</x:t>
        </x:is>
      </x:c>
      <x:c r="G7" s="32" t="str"/>
    </x:row>
    <x:row r="8" s="40" customFormat="1" ht="38" customHeight="1">
      <x:c r="A8" s="32" t="inlineStr">
        <x:is>
          <x:t xml:space="preserve">IR-05</x:t>
        </x:is>
      </x:c>
      <x:c r="B8" s="32" t="inlineStr">
        <x:is>
          <x:t xml:space="preserve">User Flows</x:t>
        </x:is>
      </x:c>
      <x:c r="C8" s="32" t="inlineStr">
        <x:is>
          <x:t xml:space="preserve">Ordered actions, success/failure branches</x:t>
        </x:is>
      </x:c>
      <x:c r="D8" s="32" t="inlineStr">
        <x:is>
          <x:t xml:space="preserve">MVP</x:t>
        </x:is>
      </x:c>
      <x:c r="E8" s="32" t="inlineStr">
        <x:is>
          <x:t xml:space="preserve">E2E test generation</x:t>
        </x:is>
      </x:c>
      <x:c r="F8" s="32" t="inlineStr">
        <x:is>
          <x:t xml:space="preserve">Not Started</x:t>
        </x:is>
      </x:c>
      <x:c r="G8" s="32" t="str"/>
    </x:row>
    <x:row r="9" s="40" customFormat="1" ht="38" customHeight="1">
      <x:c r="A9" s="32" t="inlineStr">
        <x:is>
          <x:t xml:space="preserve">IR-06</x:t>
        </x:is>
      </x:c>
      <x:c r="B9" s="32" t="inlineStr">
        <x:is>
          <x:t xml:space="preserve">Entities</x:t>
        </x:is>
      </x:c>
      <x:c r="C9" s="32" t="inlineStr">
        <x:is>
          <x:t xml:space="preserve">Domain objects, fields, relations and validation</x:t>
        </x:is>
      </x:c>
      <x:c r="D9" s="32" t="inlineStr">
        <x:is>
          <x:t xml:space="preserve">MVP</x:t>
        </x:is>
      </x:c>
      <x:c r="E9" s="32" t="inlineStr">
        <x:is>
          <x:t xml:space="preserve">DB/models/API generation</x:t>
        </x:is>
      </x:c>
      <x:c r="F9" s="32" t="inlineStr">
        <x:is>
          <x:t xml:space="preserve">Not Started</x:t>
        </x:is>
      </x:c>
      <x:c r="G9" s="32" t="str"/>
    </x:row>
    <x:row r="10" s="40" customFormat="1" ht="38" customHeight="1">
      <x:c r="A10" s="32" t="inlineStr">
        <x:is>
          <x:t xml:space="preserve">IR-07</x:t>
        </x:is>
      </x:c>
      <x:c r="B10" s="32" t="inlineStr">
        <x:is>
          <x:t xml:space="preserve">APIs</x:t>
        </x:is>
      </x:c>
      <x:c r="C10" s="32" t="inlineStr">
        <x:is>
          <x:t xml:space="preserve">Endpoints/RPCs, request/response schemas, errors</x:t>
        </x:is>
      </x:c>
      <x:c r="D10" s="32" t="inlineStr">
        <x:is>
          <x:t xml:space="preserve">MVP</x:t>
        </x:is>
      </x:c>
      <x:c r="E10" s="32" t="inlineStr">
        <x:is>
          <x:t xml:space="preserve">Typed clients and contract tests</x:t>
        </x:is>
      </x:c>
      <x:c r="F10" s="32" t="inlineStr">
        <x:is>
          <x:t xml:space="preserve">Not Started</x:t>
        </x:is>
      </x:c>
      <x:c r="G10" s="32" t="str"/>
    </x:row>
    <x:row r="11" s="40" customFormat="1" ht="38" customHeight="1">
      <x:c r="A11" s="32" t="inlineStr">
        <x:is>
          <x:t xml:space="preserve">IR-08</x:t>
        </x:is>
      </x:c>
      <x:c r="B11" s="32" t="inlineStr">
        <x:is>
          <x:t xml:space="preserve">Events</x:t>
        </x:is>
      </x:c>
      <x:c r="C11" s="32" t="inlineStr">
        <x:is>
          <x:t xml:space="preserve">Domain events, async jobs, notifications</x:t>
        </x:is>
      </x:c>
      <x:c r="D11" s="32" t="inlineStr">
        <x:is>
          <x:t xml:space="preserve">MVP</x:t>
        </x:is>
      </x:c>
      <x:c r="E11" s="32" t="inlineStr">
        <x:is>
          <x:t xml:space="preserve">Queue/event architecture</x:t>
        </x:is>
      </x:c>
      <x:c r="F11" s="32" t="inlineStr">
        <x:is>
          <x:t xml:space="preserve">Not Started</x:t>
        </x:is>
      </x:c>
      <x:c r="G11" s="32" t="str"/>
    </x:row>
    <x:row r="12" s="40" customFormat="1" ht="38" customHeight="1">
      <x:c r="A12" s="32" t="inlineStr">
        <x:is>
          <x:t xml:space="preserve">IR-09</x:t>
        </x:is>
      </x:c>
      <x:c r="B12" s="32" t="inlineStr">
        <x:is>
          <x:t xml:space="preserve">Permissions</x:t>
        </x:is>
      </x:c>
      <x:c r="C12" s="32" t="inlineStr">
        <x:is>
          <x:t xml:space="preserve">Role/resource/action matrix</x:t>
        </x:is>
      </x:c>
      <x:c r="D12" s="32" t="inlineStr">
        <x:is>
          <x:t xml:space="preserve">MVP</x:t>
        </x:is>
      </x:c>
      <x:c r="E12" s="32" t="inlineStr">
        <x:is>
          <x:t xml:space="preserve">Auth checks on all clients/services</x:t>
        </x:is>
      </x:c>
      <x:c r="F12" s="32" t="inlineStr">
        <x:is>
          <x:t xml:space="preserve">Not Started</x:t>
        </x:is>
      </x:c>
      <x:c r="G12" s="32" t="str"/>
    </x:row>
    <x:row r="13" s="40" customFormat="1" ht="38" customHeight="1">
      <x:c r="A13" s="32" t="inlineStr">
        <x:is>
          <x:t xml:space="preserve">IR-10</x:t>
        </x:is>
      </x:c>
      <x:c r="B13" s="32" t="inlineStr">
        <x:is>
          <x:t xml:space="preserve">Integrations</x:t>
        </x:is>
      </x:c>
      <x:c r="C13" s="32" t="inlineStr">
        <x:is>
          <x:t xml:space="preserve">Provider, scopes, secrets, webhooks, fallback</x:t>
        </x:is>
      </x:c>
      <x:c r="D13" s="32" t="inlineStr">
        <x:is>
          <x:t xml:space="preserve">MVP</x:t>
        </x:is>
      </x:c>
      <x:c r="E13" s="32" t="inlineStr">
        <x:is>
          <x:t xml:space="preserve">Repeatable integration generation</x:t>
        </x:is>
      </x:c>
      <x:c r="F13" s="32" t="inlineStr">
        <x:is>
          <x:t xml:space="preserve">Not Started</x:t>
        </x:is>
      </x:c>
      <x:c r="G13" s="32" t="str"/>
    </x:row>
    <x:row r="14" s="40" customFormat="1" ht="38" customHeight="1">
      <x:c r="A14" s="32" t="inlineStr">
        <x:is>
          <x:t xml:space="preserve">IR-11</x:t>
        </x:is>
      </x:c>
      <x:c r="B14" s="32" t="inlineStr">
        <x:is>
          <x:t xml:space="preserve">Non-functional</x:t>
        </x:is>
      </x:c>
      <x:c r="C14" s="32" t="inlineStr">
        <x:is>
          <x:t xml:space="preserve">Performance, availability, security, privacy</x:t>
        </x:is>
      </x:c>
      <x:c r="D14" s="32" t="inlineStr">
        <x:is>
          <x:t xml:space="preserve">MID</x:t>
        </x:is>
      </x:c>
      <x:c r="E14" s="32" t="inlineStr">
        <x:is>
          <x:t xml:space="preserve">Production quality goals</x:t>
        </x:is>
      </x:c>
      <x:c r="F14" s="32" t="inlineStr">
        <x:is>
          <x:t xml:space="preserve">Not Started</x:t>
        </x:is>
      </x:c>
      <x:c r="G14" s="32" t="str"/>
    </x:row>
    <x:row r="15" s="40" customFormat="1" ht="38" customHeight="1">
      <x:c r="A15" s="32" t="inlineStr">
        <x:is>
          <x:t xml:space="preserve">IR-12</x:t>
        </x:is>
      </x:c>
      <x:c r="B15" s="32" t="inlineStr">
        <x:is>
          <x:t xml:space="preserve">Design Tokens</x:t>
        </x:is>
      </x:c>
      <x:c r="C15" s="32" t="inlineStr">
        <x:is>
          <x:t xml:space="preserve">Typography, spacing, colors, components</x:t>
        </x:is>
      </x:c>
      <x:c r="D15" s="32" t="inlineStr">
        <x:is>
          <x:t xml:space="preserve">MVP</x:t>
        </x:is>
      </x:c>
      <x:c r="E15" s="32" t="inlineStr">
        <x:is>
          <x:t xml:space="preserve">Consistent UI across targets</x:t>
        </x:is>
      </x:c>
      <x:c r="F15" s="32" t="inlineStr">
        <x:is>
          <x:t xml:space="preserve">Not Started</x:t>
        </x:is>
      </x:c>
      <x:c r="G15" s="32" t="str"/>
    </x:row>
    <x:row r="16" s="40" customFormat="1" ht="38" customHeight="1">
      <x:c r="A16" s="32" t="inlineStr">
        <x:is>
          <x:t xml:space="preserve">IR-13</x:t>
        </x:is>
      </x:c>
      <x:c r="B16" s="32" t="inlineStr">
        <x:is>
          <x:t xml:space="preserve">Environment Config</x:t>
        </x:is>
      </x:c>
      <x:c r="C16" s="32" t="inlineStr">
        <x:is>
          <x:t xml:space="preserve">Dev/preview/staging/prod variables and endpoints</x:t>
        </x:is>
      </x:c>
      <x:c r="D16" s="32" t="inlineStr">
        <x:is>
          <x:t xml:space="preserve">MVP</x:t>
        </x:is>
      </x:c>
      <x:c r="E16" s="32" t="inlineStr">
        <x:is>
          <x:t xml:space="preserve">Environment parity</x:t>
        </x:is>
      </x:c>
      <x:c r="F16" s="32" t="inlineStr">
        <x:is>
          <x:t xml:space="preserve">Not Started</x:t>
        </x:is>
      </x:c>
      <x:c r="G16" s="32" t="str"/>
    </x:row>
    <x:row r="17" s="40" customFormat="1" ht="38" customHeight="1">
      <x:c r="A17" s="32" t="inlineStr">
        <x:is>
          <x:t xml:space="preserve">IR-14</x:t>
        </x:is>
      </x:c>
      <x:c r="B17" s="32" t="inlineStr">
        <x:is>
          <x:t xml:space="preserve">Architecture Rules</x:t>
        </x:is>
      </x:c>
      <x:c r="C17" s="32" t="inlineStr">
        <x:is>
          <x:t xml:space="preserve">Allowed dependencies, patterns, module boundaries</x:t>
        </x:is>
      </x:c>
      <x:c r="D17" s="32" t="inlineStr">
        <x:is>
          <x:t xml:space="preserve">MVP</x:t>
        </x:is>
      </x:c>
      <x:c r="E17" s="32" t="inlineStr">
        <x:is>
          <x:t xml:space="preserve">Prevents agent drift</x:t>
        </x:is>
      </x:c>
      <x:c r="F17" s="32" t="inlineStr">
        <x:is>
          <x:t xml:space="preserve">Not Started</x:t>
        </x:is>
      </x:c>
      <x:c r="G17" s="32" t="str"/>
    </x:row>
    <x:row r="18" s="40" customFormat="1" ht="38" customHeight="1">
      <x:c r="A18" s="32" t="inlineStr">
        <x:is>
          <x:t xml:space="preserve">IR-15</x:t>
        </x:is>
      </x:c>
      <x:c r="B18" s="32" t="inlineStr">
        <x:is>
          <x:t xml:space="preserve">Acceptance Criteria</x:t>
        </x:is>
      </x:c>
      <x:c r="C18" s="32" t="inlineStr">
        <x:is>
          <x:t xml:space="preserve">Behavior that must be proven before merge</x:t>
        </x:is>
      </x:c>
      <x:c r="D18" s="32" t="inlineStr">
        <x:is>
          <x:t xml:space="preserve">MVP</x:t>
        </x:is>
      </x:c>
      <x:c r="E18" s="32" t="inlineStr">
        <x:is>
          <x:t xml:space="preserve">Quality gate</x:t>
        </x:is>
      </x:c>
      <x:c r="F18" s="32" t="inlineStr">
        <x:is>
          <x:t xml:space="preserve">Not Started</x:t>
        </x:is>
      </x:c>
      <x:c r="G18" s="32" t="str"/>
    </x:row>
    <x:row r="19" s="40" customFormat="1" ht="38" customHeight="1">
      <x:c r="A19" s="32" t="inlineStr">
        <x:is>
          <x:t xml:space="preserve">IR-16</x:t>
        </x:is>
      </x:c>
      <x:c r="B19" s="32" t="inlineStr">
        <x:is>
          <x:t xml:space="preserve">ADRs</x:t>
        </x:is>
      </x:c>
      <x:c r="C19" s="32" t="inlineStr">
        <x:is>
          <x:t xml:space="preserve">Approved major technical decisions and rationale</x:t>
        </x:is>
      </x:c>
      <x:c r="D19" s="32" t="inlineStr">
        <x:is>
          <x:t xml:space="preserve">MVP</x:t>
        </x:is>
      </x:c>
      <x:c r="E19" s="32" t="inlineStr">
        <x:is>
          <x:t xml:space="preserve">Long-term memory</x:t>
        </x:is>
      </x:c>
      <x:c r="F19" s="32" t="inlineStr">
        <x:is>
          <x:t xml:space="preserve">Not Started</x:t>
        </x:is>
      </x:c>
      <x:c r="G19" s="32" t="str"/>
    </x:row>
    <x:row r="20" s="40" customFormat="1" ht="38" customHeight="1">
      <x:c r="A20" s="32" t="inlineStr">
        <x:is>
          <x:t xml:space="preserve">IR-17</x:t>
        </x:is>
      </x:c>
      <x:c r="B20" s="32" t="inlineStr">
        <x:is>
          <x:t xml:space="preserve">Version</x:t>
        </x:is>
      </x:c>
      <x:c r="C20" s="32" t="inlineStr">
        <x:is>
          <x:t xml:space="preserve">IR schema version + migration support</x:t>
        </x:is>
      </x:c>
      <x:c r="D20" s="32" t="inlineStr">
        <x:is>
          <x:t xml:space="preserve">MID</x:t>
        </x:is>
      </x:c>
      <x:c r="E20" s="32" t="inlineStr">
        <x:is>
          <x:t xml:space="preserve">Forward compatibility</x:t>
        </x:is>
      </x:c>
      <x:c r="F20" s="32" t="inlineStr">
        <x:is>
          <x:t xml:space="preserve">Not Started</x:t>
        </x:is>
      </x:c>
      <x:c r="G20" s="32" t="str"/>
    </x:row>
    <x:row r="21">
      <x:c r="A21" s="43" t="inlineStr">
        <x:is>
          <x:t xml:space="preserve">IR-18</x:t>
        </x:is>
      </x:c>
      <x:c r="B21" s="43" t="inlineStr">
        <x:is>
          <x:t xml:space="preserve">target_profile</x:t>
        </x:is>
      </x:c>
      <x:c r="C21" s="43" t="inlineStr">
        <x:is>
          <x:t xml:space="preserve">Selected mobile/web/backend strategy</x:t>
        </x:is>
      </x:c>
      <x:c r="D21" s="43" t="inlineStr">
        <x:is>
          <x:t xml:space="preserve">auto | flutter | react_native | native | web_only</x:t>
        </x:is>
      </x:c>
      <x:c r="E21" s="43" t="inlineStr">
        <x:is>
          <x:t xml:space="preserve">MVP</x:t>
        </x:is>
      </x:c>
      <x:c r="F21" s="43" t="inlineStr">
        <x:is>
          <x:t xml:space="preserve">Framework adapter activation</x:t>
        </x:is>
      </x:c>
      <x:c r="G21" s="43" t="inlineStr">
        <x:is>
          <x:t xml:space="preserve">Locked by ADR unless user approves migration</x:t>
        </x:is>
      </x:c>
    </x:row>
    <x:row r="22">
      <x:c r="A22" s="42" t="inlineStr">
        <x:is>
          <x:t xml:space="preserve">IR-19</x:t>
        </x:is>
      </x:c>
      <x:c r="B22" s="42" t="inlineStr">
        <x:is>
          <x:t xml:space="preserve">framework_config</x:t>
        </x:is>
      </x:c>
      <x:c r="C22" s="42" t="inlineStr">
        <x:is>
          <x:t xml:space="preserve">Framework/version/toolchain constraints</x:t>
        </x:is>
      </x:c>
      <x:c r="D22" s="42" t="inlineStr">
        <x:is>
          <x:t xml:space="preserve">flutter 4.x, RN/Expo profile, Kotlin/Swift toolchains</x:t>
        </x:is>
      </x:c>
      <x:c r="E22" s="42" t="inlineStr">
        <x:is>
          <x:t xml:space="preserve">MVP</x:t>
        </x:is>
      </x:c>
      <x:c r="F22" s="42" t="inlineStr">
        <x:is>
          <x:t xml:space="preserve">Reproducible builds</x:t>
        </x:is>
      </x:c>
      <x:c r="G22" s="42" t="inlineStr">
        <x:is>
          <x:t xml:space="preserve">Version ranges must be explicit</x:t>
        </x:is>
      </x:c>
    </x:row>
    <x:row r="23">
      <x:c r="A23" s="43" t="inlineStr">
        <x:is>
          <x:t xml:space="preserve">IR-20</x:t>
        </x:is>
      </x:c>
      <x:c r="B23" s="43" t="inlineStr">
        <x:is>
          <x:t xml:space="preserve">web_strategy</x:t>
        </x:is>
      </x:c>
      <x:c r="C23" s="43" t="inlineStr">
        <x:is>
          <x:t xml:space="preserve">Public web rendering strategy</x:t>
        </x:is>
      </x:c>
      <x:c r="D23" s="43" t="inlineStr">
        <x:is>
          <x:t xml:space="preserve">nextjs | flutter_web | rn_web | pwa</x:t>
        </x:is>
      </x:c>
      <x:c r="E23" s="43" t="inlineStr">
        <x:is>
          <x:t xml:space="preserve">MVP</x:t>
        </x:is>
      </x:c>
      <x:c r="F23" s="43" t="inlineStr">
        <x:is>
          <x:t xml:space="preserve">Web generator/preview</x:t>
        </x:is>
      </x:c>
      <x:c r="G23" s="43" t="inlineStr">
        <x:is>
          <x:t xml:space="preserve">Next.js default</x:t>
        </x:is>
      </x:c>
    </x:row>
    <x:row r="24">
      <x:c r="A24" s="42" t="inlineStr">
        <x:is>
          <x:t xml:space="preserve">IR-21</x:t>
        </x:is>
      </x:c>
      <x:c r="B24" s="42" t="inlineStr">
        <x:is>
          <x:t xml:space="preserve">admin_strategy</x:t>
        </x:is>
      </x:c>
      <x:c r="C24" s="42" t="inlineStr">
        <x:is>
          <x:t xml:space="preserve">Admin implementation</x:t>
        </x:is>
      </x:c>
      <x:c r="D24" s="42" t="inlineStr">
        <x:is>
          <x:t xml:space="preserve">nextjs by default</x:t>
        </x:is>
      </x:c>
      <x:c r="E24" s="42" t="inlineStr">
        <x:is>
          <x:t xml:space="preserve">MVP</x:t>
        </x:is>
      </x:c>
      <x:c r="F24" s="42" t="inlineStr">
        <x:is>
          <x:t xml:space="preserve">Admin generator</x:t>
        </x:is>
      </x:c>
      <x:c r="G24" s="42" t="inlineStr">
        <x:is>
          <x:t xml:space="preserve">Do not inherit mobile framework automatically</x:t>
        </x:is>
      </x:c>
    </x:row>
    <x:row r="25">
      <x:c r="A25" s="43" t="inlineStr">
        <x:is>
          <x:t xml:space="preserve">IR-22</x:t>
        </x:is>
      </x:c>
      <x:c r="B25" s="43" t="inlineStr">
        <x:is>
          <x:t xml:space="preserve">shared_code_policy</x:t>
        </x:is>
      </x:c>
      <x:c r="C25" s="43" t="inlineStr">
        <x:is>
          <x:t xml:space="preserve">What is allowed to be shared across targets</x:t>
        </x:is>
      </x:c>
      <x:c r="D25" s="43" t="inlineStr">
        <x:is>
          <x:t xml:space="preserve">contracts, tokens, validation, domain rules, selected UI packages</x:t>
        </x:is>
      </x:c>
      <x:c r="E25" s="43" t="inlineStr">
        <x:is>
          <x:t xml:space="preserve">MVP</x:t>
        </x:is>
      </x:c>
      <x:c r="F25" s="43" t="inlineStr">
        <x:is>
          <x:t xml:space="preserve">Repo/package boundaries</x:t>
        </x:is>
      </x:c>
      <x:c r="G25" s="43" t="inlineStr">
        <x:is>
          <x:t xml:space="preserve">Never force sharing that harms native quality</x:t>
        </x:is>
      </x:c>
    </x:row>
    <x:row r="26">
      <x:c r="A26" s="42" t="inlineStr">
        <x:is>
          <x:t xml:space="preserve">IR-23</x:t>
        </x:is>
      </x:c>
      <x:c r="B26" s="42" t="inlineStr">
        <x:is>
          <x:t xml:space="preserve">repo_strategy</x:t>
        </x:is>
      </x:c>
      <x:c r="C26" s="42" t="inlineStr">
        <x:is>
          <x:t xml:space="preserve">Repository organization</x:t>
        </x:is>
      </x:c>
      <x:c r="D26" s="42" t="inlineStr">
        <x:is>
          <x:t xml:space="preserve">customer_project_monorepo | approved_multi_repo</x:t>
        </x:is>
      </x:c>
      <x:c r="E26" s="42" t="inlineStr">
        <x:is>
          <x:t xml:space="preserve">MVP</x:t>
        </x:is>
      </x:c>
      <x:c r="F26" s="42" t="inlineStr">
        <x:is>
          <x:t xml:space="preserve">Git/change impact</x:t>
        </x:is>
      </x:c>
      <x:c r="G26" s="42" t="inlineStr">
        <x:is>
          <x:t xml:space="preserve">Monorepo default</x:t>
        </x:is>
      </x:c>
    </x:row>
    <x:row r="27">
      <x:c r="A27" s="43" t="inlineStr">
        <x:is>
          <x:t xml:space="preserve">IR-24</x:t>
        </x:is>
      </x:c>
      <x:c r="B27" s="43" t="inlineStr">
        <x:is>
          <x:t xml:space="preserve">repo_modules</x:t>
        </x:is>
      </x:c>
      <x:c r="C27" s="43" t="inlineStr">
        <x:is>
          <x:t xml:space="preserve">Canonical module/package map</x:t>
        </x:is>
      </x:c>
      <x:c r="D27" s="43" t="inlineStr">
        <x:is>
          <x:t xml:space="preserve">apps, services, packages, db, infra, tests, docs, .ai</x:t>
        </x:is>
      </x:c>
      <x:c r="E27" s="43" t="inlineStr">
        <x:is>
          <x:t xml:space="preserve">MVP</x:t>
        </x:is>
      </x:c>
      <x:c r="F27" s="43" t="inlineStr">
        <x:is>
          <x:t xml:space="preserve">Context/index/build graph</x:t>
        </x:is>
      </x:c>
      <x:c r="G27" s="43" t="inlineStr">
        <x:is>
          <x:t xml:space="preserve">Generated from profile</x:t>
        </x:is>
      </x:c>
    </x:row>
    <x:row r="28">
      <x:c r="A28" s="42" t="inlineStr">
        <x:is>
          <x:t xml:space="preserve">IR-25</x:t>
        </x:is>
      </x:c>
      <x:c r="B28" s="42" t="inlineStr">
        <x:is>
          <x:t xml:space="preserve">build_matrix</x:t>
        </x:is>
      </x:c>
      <x:c r="C28" s="42" t="inlineStr">
        <x:is>
          <x:t xml:space="preserve">Required compile/test targets</x:t>
        </x:is>
      </x:c>
      <x:c r="D28" s="42" t="inlineStr">
        <x:is>
          <x:t xml:space="preserve">android, ios, web, admin, api + framework-specific variants</x:t>
        </x:is>
      </x:c>
      <x:c r="E28" s="42" t="inlineStr">
        <x:is>
          <x:t xml:space="preserve">MVP</x:t>
        </x:is>
      </x:c>
      <x:c r="F28" s="42" t="inlineStr">
        <x:is>
          <x:t xml:space="preserve">Task gates</x:t>
        </x:is>
      </x:c>
      <x:c r="G28" s="42" t="inlineStr">
        <x:is>
          <x:t xml:space="preserve">Only affected/required targets on each task</x:t>
        </x:is>
      </x:c>
    </x:row>
    <x:row r="29">
      <x:c r="A29" s="43" t="inlineStr">
        <x:is>
          <x:t xml:space="preserve">IR-26</x:t>
        </x:is>
      </x:c>
      <x:c r="B29" s="43" t="inlineStr">
        <x:is>
          <x:t xml:space="preserve">migration_plan</x:t>
        </x:is>
      </x:c>
      <x:c r="C29" s="43" t="inlineStr">
        <x:is>
          <x:t xml:space="preserve">Framework/repo migration intent</x:t>
        </x:is>
      </x:c>
      <x:c r="D29" s="43" t="inlineStr">
        <x:is>
          <x:t xml:space="preserve">source profile, destination, staged constraints</x:t>
        </x:is>
      </x:c>
      <x:c r="E29" s="43" t="inlineStr">
        <x:is>
          <x:t xml:space="preserve">ADVANCED</x:t>
        </x:is>
      </x:c>
      <x:c r="F29" s="43" t="inlineStr">
        <x:is>
          <x:t xml:space="preserve">Safe target migrations</x:t>
        </x:is>
      </x:c>
      <x:c r="G29" s="43" t="inlineStr">
        <x:is>
          <x:t xml:space="preserve">Never rewrite entire product in one task</x:t>
        </x:is>
      </x:c>
    </x:row>
  </x:sheetData>
  <x:mergeCells>
    <x:mergeCell ref="A2:G2"/>
    <x:mergeCell ref="A1:G1"/>
  </x:mergeCells>
  <x:conditionalFormatting sqref="F4:F20">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20">
      <x:formula1>"Not Started,In Progress,Blocked,Done,Deferred"</x:formula1>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10" style="40" customWidth="1"/>
    <x:col min="2" max="2" width="26" style="40" customWidth="1"/>
    <x:col min="3" max="3" width="62"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Change Impact Engine</x:t>
        </x:is>
      </x:c>
      <x:c r="B1" s="375" t="n"/>
      <x:c r="C1" s="375" t="n"/>
      <x:c r="D1" s="375" t="n"/>
      <x:c r="E1" s="375" t="n"/>
      <x:c r="F1" s="375" t="n"/>
      <x:c r="G1" s="375" t="n"/>
    </x:row>
    <x:row r="2" s="40" customFormat="1" ht="34" customHeight="1">
      <x:c r="A2" s="392" t="inlineStr">
        <x:is>
          <x:t xml:space="preserve">No agent should edit code until impact, risk, expected files and validation are known.</x:t>
        </x:is>
      </x:c>
      <x:c r="B2" s="375" t="n"/>
      <x:c r="C2" s="375" t="n"/>
      <x:c r="D2" s="375" t="n"/>
      <x:c r="E2" s="375" t="n"/>
      <x:c r="F2" s="375" t="n"/>
      <x:c r="G2" s="375" t="n"/>
    </x:row>
    <x:row r="3" s="40" customFormat="1" ht="28" customHeight="1">
      <x:c r="A3" s="20" t="inlineStr">
        <x:is>
          <x:t xml:space="preserve">Step</x:t>
        </x:is>
      </x:c>
      <x:c r="B3" s="20" t="inlineStr">
        <x:is>
          <x:t xml:space="preserve">Name</x:t>
        </x:is>
      </x:c>
      <x:c r="C3" s="20" t="inlineStr">
        <x:is>
          <x:t xml:space="preserve">Simple Requirement</x:t>
        </x:is>
      </x:c>
      <x:c r="D3" s="20" t="inlineStr">
        <x:is>
          <x:t xml:space="preserve">Phase</x:t>
        </x:is>
      </x:c>
      <x:c r="E3" s="20" t="inlineStr">
        <x:is>
          <x:t xml:space="preserve">Output</x:t>
        </x:is>
      </x:c>
      <x:c r="F3" s="20" t="inlineStr">
        <x:is>
          <x:t xml:space="preserve">Status</x:t>
        </x:is>
      </x:c>
      <x:c r="G3" s="20" t="inlineStr">
        <x:is>
          <x:t xml:space="preserve">Notes</x:t>
        </x:is>
      </x:c>
    </x:row>
    <x:row r="4" s="40" customFormat="1" ht="38" customHeight="1">
      <x:c r="A4" s="32" t="inlineStr">
        <x:is>
          <x:t xml:space="preserve">CI-01</x:t>
        </x:is>
      </x:c>
      <x:c r="B4" s="32" t="inlineStr">
        <x:is>
          <x:t xml:space="preserve">Parse request</x:t>
        </x:is>
      </x:c>
      <x:c r="C4" s="32" t="inlineStr">
        <x:is>
          <x:t xml:space="preserve">Convert requested change into explicit expected behavior.</x:t>
        </x:is>
      </x:c>
      <x:c r="D4" s="32" t="inlineStr">
        <x:is>
          <x:t xml:space="preserve">MVP</x:t>
        </x:is>
      </x:c>
      <x:c r="E4" s="32" t="inlineStr">
        <x:is>
          <x:t xml:space="preserve">No code change yet</x:t>
        </x:is>
      </x:c>
      <x:c r="F4" s="32" t="inlineStr">
        <x:is>
          <x:t xml:space="preserve">Not Started</x:t>
        </x:is>
      </x:c>
      <x:c r="G4" s="32" t="str"/>
    </x:row>
    <x:row r="5" s="40" customFormat="1" ht="38" customHeight="1">
      <x:c r="A5" s="32" t="inlineStr">
        <x:is>
          <x:t xml:space="preserve">CI-02</x:t>
        </x:is>
      </x:c>
      <x:c r="B5" s="32" t="inlineStr">
        <x:is>
          <x:t xml:space="preserve">Map to IR</x:t>
        </x:is>
      </x:c>
      <x:c r="C5" s="32" t="inlineStr">
        <x:is>
          <x:t xml:space="preserve">Find affected roles, screens, entities, APIs, events and integrations.</x:t>
        </x:is>
      </x:c>
      <x:c r="D5" s="32" t="inlineStr">
        <x:is>
          <x:t xml:space="preserve">MVP</x:t>
        </x:is>
      </x:c>
      <x:c r="E5" s="32" t="inlineStr">
        <x:is>
          <x:t xml:space="preserve">Impact candidates</x:t>
        </x:is>
      </x:c>
      <x:c r="F5" s="32" t="inlineStr">
        <x:is>
          <x:t xml:space="preserve">Not Started</x:t>
        </x:is>
      </x:c>
      <x:c r="G5" s="32" t="str"/>
    </x:row>
    <x:row r="6" s="40" customFormat="1" ht="38" customHeight="1">
      <x:c r="A6" s="32" t="inlineStr">
        <x:is>
          <x:t xml:space="preserve">CI-03</x:t>
        </x:is>
      </x:c>
      <x:c r="B6" s="32" t="inlineStr">
        <x:is>
          <x:t xml:space="preserve">Dependency graph</x:t>
        </x:is>
      </x:c>
      <x:c r="C6" s="32" t="inlineStr">
        <x:is>
          <x:t xml:space="preserve">Find dependent modules/symbols/routes/tables/tests.</x:t>
        </x:is>
      </x:c>
      <x:c r="D6" s="32" t="inlineStr">
        <x:is>
          <x:t xml:space="preserve">MVP</x:t>
        </x:is>
      </x:c>
      <x:c r="E6" s="32" t="inlineStr">
        <x:is>
          <x:t xml:space="preserve">Expected change set</x:t>
        </x:is>
      </x:c>
      <x:c r="F6" s="32" t="inlineStr">
        <x:is>
          <x:t xml:space="preserve">Not Started</x:t>
        </x:is>
      </x:c>
      <x:c r="G6" s="32" t="str"/>
    </x:row>
    <x:row r="7" s="40" customFormat="1" ht="38" customHeight="1">
      <x:c r="A7" s="32" t="inlineStr">
        <x:is>
          <x:t xml:space="preserve">CI-04</x:t>
        </x:is>
      </x:c>
      <x:c r="B7" s="32" t="inlineStr">
        <x:is>
          <x:t xml:space="preserve">Risk classify</x:t>
        </x:is>
      </x:c>
      <x:c r="C7" s="32" t="inlineStr">
        <x:is>
          <x:t xml:space="preserve">UI-only / business logic / schema / auth / payments / infra.</x:t>
        </x:is>
      </x:c>
      <x:c r="D7" s="32" t="inlineStr">
        <x:is>
          <x:t xml:space="preserve">MVP</x:t>
        </x:is>
      </x:c>
      <x:c r="E7" s="32" t="inlineStr">
        <x:is>
          <x:t xml:space="preserve">Risk level</x:t>
        </x:is>
      </x:c>
      <x:c r="F7" s="32" t="inlineStr">
        <x:is>
          <x:t xml:space="preserve">Not Started</x:t>
        </x:is>
      </x:c>
      <x:c r="G7" s="32" t="str"/>
    </x:row>
    <x:row r="8" s="40" customFormat="1" ht="38" customHeight="1">
      <x:c r="A8" s="32" t="inlineStr">
        <x:is>
          <x:t xml:space="preserve">CI-05</x:t>
        </x:is>
      </x:c>
      <x:c r="B8" s="32" t="inlineStr">
        <x:is>
          <x:t xml:space="preserve">Set blast radius</x:t>
        </x:is>
      </x:c>
      <x:c r="C8" s="32" t="inlineStr">
        <x:is>
          <x:t xml:space="preserve">Expected files/modules + allowed exception threshold.</x:t>
        </x:is>
      </x:c>
      <x:c r="D8" s="32" t="inlineStr">
        <x:is>
          <x:t xml:space="preserve">MVP</x:t>
        </x:is>
      </x:c>
      <x:c r="E8" s="32" t="inlineStr">
        <x:is>
          <x:t xml:space="preserve">Edit policy</x:t>
        </x:is>
      </x:c>
      <x:c r="F8" s="32" t="inlineStr">
        <x:is>
          <x:t xml:space="preserve">Not Started</x:t>
        </x:is>
      </x:c>
      <x:c r="G8" s="32" t="str"/>
    </x:row>
    <x:row r="9" s="40" customFormat="1" ht="38" customHeight="1">
      <x:c r="A9" s="32" t="inlineStr">
        <x:is>
          <x:t xml:space="preserve">CI-06</x:t>
        </x:is>
      </x:c>
      <x:c r="B9" s="32" t="inlineStr">
        <x:is>
          <x:t xml:space="preserve">Select tests</x:t>
        </x:is>
      </x:c>
      <x:c r="C9" s="32" t="inlineStr">
        <x:is>
          <x:t xml:space="preserve">Choose relevant existing tests and required new tests.</x:t>
        </x:is>
      </x:c>
      <x:c r="D9" s="32" t="inlineStr">
        <x:is>
          <x:t xml:space="preserve">MVP</x:t>
        </x:is>
      </x:c>
      <x:c r="E9" s="32" t="inlineStr">
        <x:is>
          <x:t xml:space="preserve">Validation plan</x:t>
        </x:is>
      </x:c>
      <x:c r="F9" s="32" t="inlineStr">
        <x:is>
          <x:t xml:space="preserve">Not Started</x:t>
        </x:is>
      </x:c>
      <x:c r="G9" s="32" t="str"/>
    </x:row>
    <x:row r="10" s="40" customFormat="1" ht="38" customHeight="1">
      <x:c r="A10" s="32" t="inlineStr">
        <x:is>
          <x:t xml:space="preserve">CI-07</x:t>
        </x:is>
      </x:c>
      <x:c r="B10" s="32" t="inlineStr">
        <x:is>
          <x:t xml:space="preserve">Generate patch</x:t>
        </x:is>
      </x:c>
      <x:c r="C10" s="32" t="inlineStr">
        <x:is>
          <x:t xml:space="preserve">Use structured symbol/AST edits.</x:t>
        </x:is>
      </x:c>
      <x:c r="D10" s="32" t="inlineStr">
        <x:is>
          <x:t xml:space="preserve">MVP</x:t>
        </x:is>
      </x:c>
      <x:c r="E10" s="32" t="inlineStr">
        <x:is>
          <x:t xml:space="preserve">Minimal diff</x:t>
        </x:is>
      </x:c>
      <x:c r="F10" s="32" t="inlineStr">
        <x:is>
          <x:t xml:space="preserve">Not Started</x:t>
        </x:is>
      </x:c>
      <x:c r="G10" s="32" t="str"/>
    </x:row>
    <x:row r="11" s="40" customFormat="1" ht="38" customHeight="1">
      <x:c r="A11" s="32" t="inlineStr">
        <x:is>
          <x:t xml:space="preserve">CI-08</x:t>
        </x:is>
      </x:c>
      <x:c r="B11" s="32" t="inlineStr">
        <x:is>
          <x:t xml:space="preserve">Compare actual impact</x:t>
        </x:is>
      </x:c>
      <x:c r="C11" s="32" t="inlineStr">
        <x:is>
          <x:t xml:space="preserve">Unexpected file/module/API/schema changes cause reject/review.</x:t>
        </x:is>
      </x:c>
      <x:c r="D11" s="32" t="inlineStr">
        <x:is>
          <x:t xml:space="preserve">MVP</x:t>
        </x:is>
      </x:c>
      <x:c r="E11" s="32" t="inlineStr">
        <x:is>
          <x:t xml:space="preserve">Safety decision</x:t>
        </x:is>
      </x:c>
      <x:c r="F11" s="32" t="inlineStr">
        <x:is>
          <x:t xml:space="preserve">Not Started</x:t>
        </x:is>
      </x:c>
      <x:c r="G11" s="32" t="str"/>
    </x:row>
    <x:row r="12" s="40" customFormat="1" ht="38" customHeight="1">
      <x:c r="A12" s="32" t="inlineStr">
        <x:is>
          <x:t xml:space="preserve">CI-09</x:t>
        </x:is>
      </x:c>
      <x:c r="B12" s="32" t="inlineStr">
        <x:is>
          <x:t xml:space="preserve">Compile + static checks</x:t>
        </x:is>
      </x:c>
      <x:c r="C12" s="32" t="inlineStr">
        <x:is>
          <x:t xml:space="preserve">Validate all affected targets.</x:t>
        </x:is>
      </x:c>
      <x:c r="D12" s="32" t="inlineStr">
        <x:is>
          <x:t xml:space="preserve">MVP</x:t>
        </x:is>
      </x:c>
      <x:c r="E12" s="32" t="inlineStr">
        <x:is>
          <x:t xml:space="preserve">Build verdict</x:t>
        </x:is>
      </x:c>
      <x:c r="F12" s="32" t="inlineStr">
        <x:is>
          <x:t xml:space="preserve">Not Started</x:t>
        </x:is>
      </x:c>
      <x:c r="G12" s="32" t="str"/>
    </x:row>
    <x:row r="13" s="40" customFormat="1" ht="38" customHeight="1">
      <x:c r="A13" s="32" t="inlineStr">
        <x:is>
          <x:t xml:space="preserve">CI-10</x:t>
        </x:is>
      </x:c>
      <x:c r="B13" s="32" t="inlineStr">
        <x:is>
          <x:t xml:space="preserve">Regression</x:t>
        </x:is>
      </x:c>
      <x:c r="C13" s="32" t="inlineStr">
        <x:is>
          <x:t xml:space="preserve">Run impacted + mandatory critical flow tests.</x:t>
        </x:is>
      </x:c>
      <x:c r="D13" s="32" t="inlineStr">
        <x:is>
          <x:t xml:space="preserve">MVP</x:t>
        </x:is>
      </x:c>
      <x:c r="E13" s="32" t="inlineStr">
        <x:is>
          <x:t xml:space="preserve">Regression verdict</x:t>
        </x:is>
      </x:c>
      <x:c r="F13" s="32" t="inlineStr">
        <x:is>
          <x:t xml:space="preserve">Not Started</x:t>
        </x:is>
      </x:c>
      <x:c r="G13" s="32" t="str"/>
    </x:row>
    <x:row r="14" s="40" customFormat="1" ht="38" customHeight="1">
      <x:c r="A14" s="32" t="inlineStr">
        <x:is>
          <x:t xml:space="preserve">CI-11</x:t>
        </x:is>
      </x:c>
      <x:c r="B14" s="32" t="inlineStr">
        <x:is>
          <x:t xml:space="preserve">Review + merge</x:t>
        </x:is>
      </x:c>
      <x:c r="C14" s="32" t="inlineStr">
        <x:is>
          <x:t xml:space="preserve">Only accepted change enters main branch.</x:t>
        </x:is>
      </x:c>
      <x:c r="D14" s="32" t="inlineStr">
        <x:is>
          <x:t xml:space="preserve">MVP</x:t>
        </x:is>
      </x:c>
      <x:c r="E14" s="32" t="inlineStr">
        <x:is>
          <x:t xml:space="preserve">Stable checkpoint</x:t>
        </x:is>
      </x:c>
      <x:c r="F14" s="32" t="inlineStr">
        <x:is>
          <x:t xml:space="preserve">Not Started</x:t>
        </x:is>
      </x:c>
      <x:c r="G14" s="32" t="str"/>
    </x:row>
  </x:sheetData>
  <x:mergeCells>
    <x:mergeCell ref="A2:G2"/>
    <x:mergeCell ref="A1:G1"/>
  </x:mergeCells>
  <x:conditionalFormatting sqref="F4:F14">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4">
      <x:formula1>"Not Started,In Progress,Blocked,Done,Deferred"</x:formula1>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cols>
    <x:col min="1" max="1" width="22" style="40" customWidth="1"/>
    <x:col min="2" max="2" width="31" style="40" customWidth="1"/>
    <x:col min="3" max="3" width="34" style="40" customWidth="1"/>
    <x:col min="4" max="4" width="27" style="40" customWidth="1"/>
    <x:col min="5" max="5" width="28" style="40" customWidth="1"/>
    <x:col min="6" max="6" width="15" style="40" customWidth="1"/>
    <x:col min="7" max="7" width="17" style="40" customWidth="1"/>
    <x:col min="8" max="8" width="40" style="40" customWidth="1"/>
  </x:cols>
  <x:sheetData>
    <x:row r="1" s="40" customFormat="1" ht="30" customHeight="1">
      <x:c r="A1" s="380" t="inlineStr">
        <x:is>
          <x:t xml:space="preserve">OmniStackAI V5 — Preview Build Matrix</x:t>
        </x:is>
      </x:c>
      <x:c r="B1" s="375" t="n"/>
      <x:c r="C1" s="375" t="n"/>
      <x:c r="D1" s="375" t="n"/>
      <x:c r="E1" s="375" t="n"/>
      <x:c r="F1" s="375" t="n"/>
      <x:c r="G1" s="375" t="n"/>
      <x:c r="H1" s="375" t="n"/>
    </x:row>
    <x:row r="2" s="40" customFormat="1" ht="34" customHeight="1">
      <x:c r="A2" s="381" t="inlineStr">
        <x:is>
          <x:t xml:space="preserve">Cost-aware verification ladder. Instant Browser Preview is always the first/default user option; real physical device comes before paid cloud devices when it proves the same requirement.</x:t>
        </x:is>
      </x:c>
      <x:c r="B2" s="375" t="n"/>
      <x:c r="C2" s="375" t="n"/>
      <x:c r="D2" s="375" t="n"/>
      <x:c r="E2" s="375" t="n"/>
      <x:c r="F2" s="375" t="n"/>
      <x:c r="G2" s="375" t="n"/>
      <x:c r="H2" s="375" t="n"/>
    </x:row>
    <x:row r="3" s="40" customFormat="1" ht="28" customHeight="1">
      <x:c r="A3" s="54" t="n"/>
      <x:c r="B3" s="54" t="n"/>
      <x:c r="C3" s="54" t="n"/>
      <x:c r="D3" s="54" t="n"/>
      <x:c r="E3" s="54" t="n"/>
      <x:c r="F3" s="54" t="n"/>
      <x:c r="G3" s="54" t="n"/>
      <x:c r="H3" s="54" t="n"/>
    </x:row>
    <x:row r="4" s="40" customFormat="1" ht="28" customHeight="1">
      <x:c r="A4" s="141" t="inlineStr">
        <x:is>
          <x:t xml:space="preserve">Target/Profile</x:t>
        </x:is>
      </x:c>
      <x:c r="B4" s="142" t="inlineStr">
        <x:is>
          <x:t xml:space="preserve">Instant Browser Preview</x:t>
        </x:is>
      </x:c>
      <x:c r="C4" s="142" t="inlineStr">
        <x:is>
          <x:t xml:space="preserve">Real Device Path</x:t>
        </x:is>
      </x:c>
      <x:c r="D4" s="142" t="inlineStr">
        <x:is>
          <x:t xml:space="preserve">Cloud Device</x:t>
        </x:is>
      </x:c>
      <x:c r="E4" s="142" t="inlineStr">
        <x:is>
          <x:t xml:space="preserve">Real Compile/Build</x:t>
        </x:is>
      </x:c>
      <x:c r="F4" s="142" t="inlineStr">
        <x:is>
          <x:t xml:space="preserve">Mac Required?</x:t>
        </x:is>
      </x:c>
      <x:c r="G4" s="142" t="inlineStr">
        <x:is>
          <x:t xml:space="preserve">Relative Cost</x:t>
        </x:is>
      </x:c>
      <x:c r="H4" s="143" t="inlineStr">
        <x:is>
          <x:t xml:space="preserve">Proof / Limitation</x:t>
        </x:is>
      </x:c>
    </x:row>
    <x:row r="5" s="40" customFormat="1" ht="42" customHeight="1">
      <x:c r="A5" s="144" t="inlineStr">
        <x:is>
          <x:t xml:space="preserve">Next.js web/admin</x:t>
        </x:is>
      </x:c>
      <x:c r="B5" s="145" t="inlineStr">
        <x:is>
          <x:t xml:space="preserve">Actual running code URL</x:t>
        </x:is>
      </x:c>
      <x:c r="C5" s="145" t="inlineStr">
        <x:is>
          <x:t xml:space="preserve">Open URL / QR in browser</x:t>
        </x:is>
      </x:c>
      <x:c r="D5" s="145" t="inlineStr">
        <x:is>
          <x:t xml:space="preserve">Normally unnecessary</x:t>
        </x:is>
      </x:c>
      <x:c r="E5" s="145" t="inlineStr">
        <x:is>
          <x:t xml:space="preserve">Linux/Node</x:t>
        </x:is>
      </x:c>
      <x:c r="F5" s="145" t="inlineStr">
        <x:is>
          <x:t xml:space="preserve">No</x:t>
        </x:is>
      </x:c>
      <x:c r="G5" s="145" t="inlineStr">
        <x:is>
          <x:t xml:space="preserve">Lowest</x:t>
        </x:is>
      </x:c>
      <x:c r="H5" s="146" t="inlineStr">
        <x:is>
          <x:t xml:space="preserve">Browser preview is real web runtime</x:t>
        </x:is>
      </x:c>
    </x:row>
    <x:row r="6" s="40" customFormat="1" ht="42" customHeight="1">
      <x:c r="A6" s="223" t="inlineStr">
        <x:is>
          <x:t xml:space="preserve">Expo / React Native</x:t>
        </x:is>
      </x:c>
      <x:c r="B6" s="284" t="inlineStr">
        <x:is>
          <x:t xml:space="preserve">Expo Web or interactive preview</x:t>
        </x:is>
      </x:c>
      <x:c r="C6" s="284" t="inlineStr">
        <x:is>
          <x:t xml:space="preserve">QR -&gt; Expo Go / custom dev client</x:t>
        </x:is>
      </x:c>
      <x:c r="D6" s="284" t="inlineStr">
        <x:is>
          <x:t xml:space="preserve">Optional Android/iOS</x:t>
        </x:is>
      </x:c>
      <x:c r="E6" s="284" t="inlineStr">
        <x:is>
          <x:t xml:space="preserve">Android Linux; iOS via EAS/macOS</x:t>
        </x:is>
      </x:c>
      <x:c r="F6" s="284" t="inlineStr">
        <x:is>
          <x:t xml:space="preserve">Only iOS native build</x:t>
        </x:is>
      </x:c>
      <x:c r="G6" s="284" t="inlineStr">
        <x:is>
          <x:t xml:space="preserve">Very low-low</x:t>
        </x:is>
      </x:c>
      <x:c r="H6" s="225" t="inlineStr">
        <x:is>
          <x:t xml:space="preserve">Native fingerprint decides rebuild</x:t>
        </x:is>
      </x:c>
    </x:row>
    <x:row r="7" s="40" customFormat="1" ht="42" customHeight="1">
      <x:c r="A7" s="147" t="inlineStr">
        <x:is>
          <x:t xml:space="preserve">Bare React Native</x:t>
        </x:is>
      </x:c>
      <x:c r="B7" s="148" t="inlineStr">
        <x:is>
          <x:t xml:space="preserve">Interactive/browser where compatible</x:t>
        </x:is>
      </x:c>
      <x:c r="C7" s="148" t="inlineStr">
        <x:is>
          <x:t xml:space="preserve">Android APK QR; iOS TestFlight/dev build</x:t>
        </x:is>
      </x:c>
      <x:c r="D7" s="148" t="inlineStr">
        <x:is>
          <x:t xml:space="preserve">Optional</x:t>
        </x:is>
      </x:c>
      <x:c r="E7" s="148" t="inlineStr">
        <x:is>
          <x:t xml:space="preserve">Android Linux; iOS macOS</x:t>
        </x:is>
      </x:c>
      <x:c r="F7" s="148" t="inlineStr">
        <x:is>
          <x:t xml:space="preserve">iOS only</x:t>
        </x:is>
      </x:c>
      <x:c r="G7" s="148" t="inlineStr">
        <x:is>
          <x:t xml:space="preserve">Low-medium</x:t>
        </x:is>
      </x:c>
      <x:c r="H7" s="149" t="inlineStr">
        <x:is>
          <x:t xml:space="preserve">Native modules need real build</x:t>
        </x:is>
      </x:c>
    </x:row>
    <x:row r="8" s="40" customFormat="1" ht="42" customHeight="1">
      <x:c r="A8" s="223" t="inlineStr">
        <x:is>
          <x:t xml:space="preserve">Flutter</x:t>
        </x:is>
      </x:c>
      <x:c r="B8" s="284" t="inlineStr">
        <x:is>
          <x:t xml:space="preserve">Flutter Web if selected or IR preview</x:t>
        </x:is>
      </x:c>
      <x:c r="C8" s="284" t="inlineStr">
        <x:is>
          <x:t xml:space="preserve">Android APK QR; iOS TestFlight/dev build</x:t>
        </x:is>
      </x:c>
      <x:c r="D8" s="284" t="inlineStr">
        <x:is>
          <x:t xml:space="preserve">Optional</x:t>
        </x:is>
      </x:c>
      <x:c r="E8" s="284" t="inlineStr">
        <x:is>
          <x:t xml:space="preserve">Android Linux; iOS macOS</x:t>
        </x:is>
      </x:c>
      <x:c r="F8" s="284" t="inlineStr">
        <x:is>
          <x:t xml:space="preserve">iOS only</x:t>
        </x:is>
      </x:c>
      <x:c r="G8" s="284" t="inlineStr">
        <x:is>
          <x:t xml:space="preserve">Low-medium</x:t>
        </x:is>
      </x:c>
      <x:c r="H8" s="225" t="inlineStr">
        <x:is>
          <x:t xml:space="preserve">No universal Expo-Go equivalent</x:t>
        </x:is>
      </x:c>
    </x:row>
    <x:row r="9" s="40" customFormat="1" ht="42" customHeight="1">
      <x:c r="A9" s="147" t="inlineStr">
        <x:is>
          <x:t xml:space="preserve">Native Android</x:t>
        </x:is>
      </x:c>
      <x:c r="B9" s="148" t="inlineStr">
        <x:is>
          <x:t xml:space="preserve">IR/browser interactive representation</x:t>
        </x:is>
      </x:c>
      <x:c r="C9" s="148" t="inlineStr">
        <x:is>
          <x:t xml:space="preserve">QR -&gt; signed test APK</x:t>
        </x:is>
      </x:c>
      <x:c r="D9" s="148" t="inlineStr">
        <x:is>
          <x:t xml:space="preserve">Optional Linux/KVM emulator</x:t>
        </x:is>
      </x:c>
      <x:c r="E9" s="148" t="inlineStr">
        <x:is>
          <x:t xml:space="preserve">Gradle/Linux</x:t>
        </x:is>
      </x:c>
      <x:c r="F9" s="148" t="inlineStr">
        <x:is>
          <x:t xml:space="preserve">No</x:t>
        </x:is>
      </x:c>
      <x:c r="G9" s="148" t="inlineStr">
        <x:is>
          <x:t xml:space="preserve">Medium</x:t>
        </x:is>
      </x:c>
      <x:c r="H9" s="149" t="inlineStr">
        <x:is>
          <x:t xml:space="preserve">Browser does not prove Android API/hardware</x:t>
        </x:is>
      </x:c>
    </x:row>
    <x:row r="10" s="40" customFormat="1" ht="42" customHeight="1">
      <x:c r="A10" s="223" t="inlineStr">
        <x:is>
          <x:t xml:space="preserve">Native iOS</x:t>
        </x:is>
      </x:c>
      <x:c r="B10" s="284" t="inlineStr">
        <x:is>
          <x:t xml:space="preserve">IR/browser interactive representation</x:t>
        </x:is>
      </x:c>
      <x:c r="C10" s="284" t="inlineStr">
        <x:is>
          <x:t xml:space="preserve">TestFlight/dev provisioning -&gt; real iPhone</x:t>
        </x:is>
      </x:c>
      <x:c r="D10" s="284" t="inlineStr">
        <x:is>
          <x:t xml:space="preserve">Optional iOS Simulator</x:t>
        </x:is>
      </x:c>
      <x:c r="E10" s="284" t="inlineStr">
        <x:is>
          <x:t xml:space="preserve">Xcode/macOS</x:t>
        </x:is>
      </x:c>
      <x:c r="F10" s="284" t="inlineStr">
        <x:is>
          <x:t xml:space="preserve">Yes</x:t>
        </x:is>
      </x:c>
      <x:c r="G10" s="284" t="inlineStr">
        <x:is>
          <x:t xml:space="preserve">Medium-high</x:t>
        </x:is>
      </x:c>
      <x:c r="H10" s="225" t="inlineStr">
        <x:is>
          <x:t xml:space="preserve">Apple tooling/signing unavoidable for real build</x:t>
        </x:is>
      </x:c>
    </x:row>
    <x:row r="11" s="40" customFormat="1" ht="42" customHeight="1">
      <x:c r="A11" s="156" t="inlineStr">
        <x:is>
          <x:t xml:space="preserve">Hardware/OS-specific</x:t>
        </x:is>
      </x:c>
      <x:c r="B11" s="157" t="inlineStr">
        <x:is>
          <x:t xml:space="preserve">Preview for UI only</x:t>
        </x:is>
      </x:c>
      <x:c r="C11" s="157" t="inlineStr">
        <x:is>
          <x:t xml:space="preserve">Matching physical device recommended</x:t>
        </x:is>
      </x:c>
      <x:c r="D11" s="157" t="inlineStr">
        <x:is>
          <x:t xml:space="preserve">Use exact emulator/simulator/device when needed</x:t>
        </x:is>
      </x:c>
      <x:c r="E11" s="157" t="inlineStr">
        <x:is>
          <x:t xml:space="preserve">Real target toolchain</x:t>
        </x:is>
      </x:c>
      <x:c r="F11" s="157" t="inlineStr">
        <x:is>
          <x:t xml:space="preserve">Depends</x:t>
        </x:is>
      </x:c>
      <x:c r="G11" s="157" t="inlineStr">
        <x:is>
          <x:t xml:space="preserve">High only when required</x:t>
        </x:is>
      </x:c>
      <x:c r="H11" s="158" t="inlineStr">
        <x:is>
          <x:t xml:space="preserve">Verification policy must escalate</x:t>
        </x:is>
      </x:c>
    </x:row>
    <x:row r="12">
      <x:c r="A12" s="43" t="n"/>
      <x:c r="B12" s="43" t="n"/>
      <x:c r="C12" s="43" t="n"/>
      <x:c r="D12" s="43" t="n"/>
      <x:c r="E12" s="43" t="n"/>
      <x:c r="F12" s="43" t="n"/>
      <x:c r="G12" s="43" t="n"/>
      <x:c r="H12" s="43" t="n"/>
    </x:row>
    <x:row r="13">
      <x:c r="A13" s="42" t="n"/>
      <x:c r="B13" s="42" t="n"/>
      <x:c r="C13" s="42" t="n"/>
      <x:c r="D13" s="42" t="n"/>
      <x:c r="E13" s="42" t="n"/>
      <x:c r="F13" s="42" t="n"/>
      <x:c r="G13" s="42" t="n"/>
      <x:c r="H13" s="42" t="n"/>
    </x:row>
    <x:row r="14">
      <x:c r="A14" s="43" t="n"/>
      <x:c r="B14" s="43" t="n"/>
      <x:c r="C14" s="43" t="n"/>
      <x:c r="D14" s="43" t="n"/>
      <x:c r="E14" s="43" t="n"/>
      <x:c r="F14" s="43" t="n"/>
      <x:c r="G14" s="43" t="n"/>
      <x:c r="H14" s="43" t="n"/>
    </x:row>
    <x:row r="15">
      <x:c r="A15" s="41" t="n"/>
      <x:c r="B15" s="41" t="n"/>
      <x:c r="C15" s="41" t="n"/>
      <x:c r="D15" s="41" t="n"/>
      <x:c r="E15" s="41" t="n"/>
      <x:c r="F15" s="41" t="n"/>
      <x:c r="G15" s="41" t="n"/>
      <x:c r="H15" s="41" t="n"/>
    </x:row>
    <x:row r="16">
      <x:c r="A16" s="41" t="n"/>
      <x:c r="B16" s="41" t="n"/>
      <x:c r="C16" s="41" t="n"/>
      <x:c r="D16" s="41" t="n"/>
      <x:c r="E16" s="41" t="n"/>
      <x:c r="F16" s="41" t="n"/>
      <x:c r="G16" s="41" t="n"/>
      <x:c r="H16" s="41" t="n"/>
    </x:row>
  </x:sheetData>
  <x:mergeCells>
    <x:mergeCell ref="A2:H2"/>
    <x:mergeCell ref="A1:H1"/>
  </x:mergeCells>
  <x:conditionalFormatting sqref="H4:H1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1">
      <x:formula1>"Not Started,In Progress,Blocked,Done,Deferred"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0" style="40" customWidth="1"/>
    <x:col min="2" max="2" width="26" style="40" customWidth="1"/>
    <x:col min="3" max="3" width="56"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Testing &amp; Quality Gates</x:t>
        </x:is>
      </x:c>
      <x:c r="B1" s="375" t="n"/>
      <x:c r="C1" s="375" t="n"/>
      <x:c r="D1" s="375" t="n"/>
      <x:c r="E1" s="375" t="n"/>
      <x:c r="F1" s="375" t="n"/>
      <x:c r="G1" s="375" t="n"/>
    </x:row>
    <x:row r="2" s="40" customFormat="1" ht="34" customHeight="1">
      <x:c r="A2" s="392" t="inlineStr">
        <x:is>
          <x:t xml:space="preserve">Quality is a release gate, not a prompt suggestion. A task is accepted only after required checks pass.</x:t>
        </x:is>
      </x:c>
      <x:c r="B2" s="375" t="n"/>
      <x:c r="C2" s="375" t="n"/>
      <x:c r="D2" s="375" t="n"/>
      <x:c r="E2" s="375" t="n"/>
      <x:c r="F2" s="375" t="n"/>
      <x:c r="G2" s="375" t="n"/>
    </x:row>
    <x:row r="3" s="40" customFormat="1" ht="28" customHeight="1">
      <x:c r="A3" s="20" t="inlineStr">
        <x:is>
          <x:t xml:space="preserve">ID</x:t>
        </x:is>
      </x:c>
      <x:c r="B3" s="20" t="inlineStr">
        <x:is>
          <x:t xml:space="preserve">Gate</x:t>
        </x:is>
      </x:c>
      <x:c r="C3" s="20" t="inlineStr">
        <x:is>
          <x:t xml:space="preserve">Requirement</x:t>
        </x:is>
      </x:c>
      <x:c r="D3" s="20" t="inlineStr">
        <x:is>
          <x:t xml:space="preserve">Phase</x:t>
        </x:is>
      </x:c>
      <x:c r="E3" s="20" t="inlineStr">
        <x:is>
          <x:t xml:space="preserve">Success Measure</x:t>
        </x:is>
      </x:c>
      <x:c r="F3" s="20" t="inlineStr">
        <x:is>
          <x:t xml:space="preserve">Status</x:t>
        </x:is>
      </x:c>
      <x:c r="G3" s="20" t="inlineStr">
        <x:is>
          <x:t xml:space="preserve">Notes</x:t>
        </x:is>
      </x:c>
    </x:row>
    <x:row r="4" s="40" customFormat="1" ht="38" customHeight="1">
      <x:c r="A4" s="32" t="inlineStr">
        <x:is>
          <x:t xml:space="preserve">TQ-01</x:t>
        </x:is>
      </x:c>
      <x:c r="B4" s="32" t="inlineStr">
        <x:is>
          <x:t xml:space="preserve">Compile gate</x:t>
        </x:is>
      </x:c>
      <x:c r="C4" s="32" t="inlineStr">
        <x:is>
          <x:t xml:space="preserve">All affected targets compile before merge.</x:t>
        </x:is>
      </x:c>
      <x:c r="D4" s="32" t="inlineStr">
        <x:is>
          <x:t xml:space="preserve">MVP</x:t>
        </x:is>
      </x:c>
      <x:c r="E4" s="32" t="inlineStr">
        <x:is>
          <x:t xml:space="preserve">100% affected target build success</x:t>
        </x:is>
      </x:c>
      <x:c r="F4" s="32" t="inlineStr">
        <x:is>
          <x:t xml:space="preserve">Not Started</x:t>
        </x:is>
      </x:c>
      <x:c r="G4" s="32" t="str"/>
    </x:row>
    <x:row r="5" s="40" customFormat="1" ht="38" customHeight="1">
      <x:c r="A5" s="32" t="inlineStr">
        <x:is>
          <x:t xml:space="preserve">TQ-02</x:t>
        </x:is>
      </x:c>
      <x:c r="B5" s="32" t="inlineStr">
        <x:is>
          <x:t xml:space="preserve">Unit tests</x:t>
        </x:is>
      </x:c>
      <x:c r="C5" s="32" t="inlineStr">
        <x:is>
          <x:t xml:space="preserve">Business logic functions/classes.</x:t>
        </x:is>
      </x:c>
      <x:c r="D5" s="32" t="inlineStr">
        <x:is>
          <x:t xml:space="preserve">MVP</x:t>
        </x:is>
      </x:c>
      <x:c r="E5" s="32" t="inlineStr">
        <x:is>
          <x:t xml:space="preserve">New core logic covered</x:t>
        </x:is>
      </x:c>
      <x:c r="F5" s="32" t="inlineStr">
        <x:is>
          <x:t xml:space="preserve">Not Started</x:t>
        </x:is>
      </x:c>
      <x:c r="G5" s="32" t="str"/>
    </x:row>
    <x:row r="6" s="40" customFormat="1" ht="38" customHeight="1">
      <x:c r="A6" s="32" t="inlineStr">
        <x:is>
          <x:t xml:space="preserve">TQ-03</x:t>
        </x:is>
      </x:c>
      <x:c r="B6" s="32" t="inlineStr">
        <x:is>
          <x:t xml:space="preserve">Integration tests</x:t>
        </x:is>
      </x:c>
      <x:c r="C6" s="32" t="inlineStr">
        <x:is>
          <x:t xml:space="preserve">DB, APIs, queues and provider adapters.</x:t>
        </x:is>
      </x:c>
      <x:c r="D6" s="32" t="inlineStr">
        <x:is>
          <x:t xml:space="preserve">MVP</x:t>
        </x:is>
      </x:c>
      <x:c r="E6" s="32" t="inlineStr">
        <x:is>
          <x:t xml:space="preserve">Critical integrations covered</x:t>
        </x:is>
      </x:c>
      <x:c r="F6" s="32" t="inlineStr">
        <x:is>
          <x:t xml:space="preserve">Not Started</x:t>
        </x:is>
      </x:c>
      <x:c r="G6" s="32" t="str"/>
    </x:row>
    <x:row r="7" s="40" customFormat="1" ht="38" customHeight="1">
      <x:c r="A7" s="32" t="inlineStr">
        <x:is>
          <x:t xml:space="preserve">TQ-04</x:t>
        </x:is>
      </x:c>
      <x:c r="B7" s="32" t="inlineStr">
        <x:is>
          <x:t xml:space="preserve">API contract tests</x:t>
        </x:is>
      </x:c>
      <x:c r="C7" s="32" t="inlineStr">
        <x:is>
          <x:t xml:space="preserve">Backend and generated clients stay compatible.</x:t>
        </x:is>
      </x:c>
      <x:c r="D7" s="32" t="inlineStr">
        <x:is>
          <x:t xml:space="preserve">MVP</x:t>
        </x:is>
      </x:c>
      <x:c r="E7" s="32" t="inlineStr">
        <x:is>
          <x:t xml:space="preserve">0 incompatible contract drift</x:t>
        </x:is>
      </x:c>
      <x:c r="F7" s="32" t="inlineStr">
        <x:is>
          <x:t xml:space="preserve">Not Started</x:t>
        </x:is>
      </x:c>
      <x:c r="G7" s="32" t="str"/>
    </x:row>
    <x:row r="8" s="40" customFormat="1" ht="38" customHeight="1">
      <x:c r="A8" s="32" t="inlineStr">
        <x:is>
          <x:t xml:space="preserve">TQ-05</x:t>
        </x:is>
      </x:c>
      <x:c r="B8" s="32" t="inlineStr">
        <x:is>
          <x:t xml:space="preserve">E2E critical flows</x:t>
        </x:is>
      </x:c>
      <x:c r="C8" s="32" t="inlineStr">
        <x:is>
          <x:t xml:space="preserve">Login, core transaction, error and logout flows.</x:t>
        </x:is>
      </x:c>
      <x:c r="D8" s="32" t="inlineStr">
        <x:is>
          <x:t xml:space="preserve">MVP</x:t>
        </x:is>
      </x:c>
      <x:c r="E8" s="32" t="inlineStr">
        <x:is>
          <x:t xml:space="preserve">Critical smoke suite pass</x:t>
        </x:is>
      </x:c>
      <x:c r="F8" s="32" t="inlineStr">
        <x:is>
          <x:t xml:space="preserve">Not Started</x:t>
        </x:is>
      </x:c>
      <x:c r="G8" s="32" t="str"/>
    </x:row>
    <x:row r="9" s="40" customFormat="1" ht="38" customHeight="1">
      <x:c r="A9" s="32" t="inlineStr">
        <x:is>
          <x:t xml:space="preserve">TQ-06</x:t>
        </x:is>
      </x:c>
      <x:c r="B9" s="32" t="inlineStr">
        <x:is>
          <x:t xml:space="preserve">Regression gate</x:t>
        </x:is>
      </x:c>
      <x:c r="C9" s="32" t="inlineStr">
        <x:is>
          <x:t xml:space="preserve">Previously passing critical tests remain green.</x:t>
        </x:is>
      </x:c>
      <x:c r="D9" s="32" t="inlineStr">
        <x:is>
          <x:t xml:space="preserve">MVP</x:t>
        </x:is>
      </x:c>
      <x:c r="E9" s="32" t="inlineStr">
        <x:is>
          <x:t xml:space="preserve">0 known regression on merge</x:t>
        </x:is>
      </x:c>
      <x:c r="F9" s="32" t="inlineStr">
        <x:is>
          <x:t xml:space="preserve">Not Started</x:t>
        </x:is>
      </x:c>
      <x:c r="G9" s="32" t="str"/>
    </x:row>
    <x:row r="10" s="40" customFormat="1" ht="38" customHeight="1">
      <x:c r="A10" s="32" t="inlineStr">
        <x:is>
          <x:t xml:space="preserve">TQ-07</x:t>
        </x:is>
      </x:c>
      <x:c r="B10" s="32" t="inlineStr">
        <x:is>
          <x:t xml:space="preserve">Migration tests</x:t>
        </x:is>
      </x:c>
      <x:c r="C10" s="32" t="inlineStr">
        <x:is>
          <x:t xml:space="preserve">Forward/rollback and data preservation.</x:t>
        </x:is>
      </x:c>
      <x:c r="D10" s="32" t="inlineStr">
        <x:is>
          <x:t xml:space="preserve">MVP</x:t>
        </x:is>
      </x:c>
      <x:c r="E10" s="32" t="inlineStr">
        <x:is>
          <x:t xml:space="preserve">No unapproved destructive changes</x:t>
        </x:is>
      </x:c>
      <x:c r="F10" s="32" t="inlineStr">
        <x:is>
          <x:t xml:space="preserve">Not Started</x:t>
        </x:is>
      </x:c>
      <x:c r="G10" s="32" t="str"/>
    </x:row>
    <x:row r="11" s="40" customFormat="1" ht="38" customHeight="1">
      <x:c r="A11" s="32" t="inlineStr">
        <x:is>
          <x:t xml:space="preserve">TQ-08</x:t>
        </x:is>
      </x:c>
      <x:c r="B11" s="32" t="inlineStr">
        <x:is>
          <x:t xml:space="preserve">Visual regression</x:t>
        </x:is>
      </x:c>
      <x:c r="C11" s="32" t="inlineStr">
        <x:is>
          <x:t xml:space="preserve">Screenshot baseline by platform/device.</x:t>
        </x:is>
      </x:c>
      <x:c r="D11" s="32" t="inlineStr">
        <x:is>
          <x:t xml:space="preserve">MID</x:t>
        </x:is>
      </x:c>
      <x:c r="E11" s="32" t="inlineStr">
        <x:is>
          <x:t xml:space="preserve">Diff below threshold or approved</x:t>
        </x:is>
      </x:c>
      <x:c r="F11" s="32" t="inlineStr">
        <x:is>
          <x:t xml:space="preserve">Not Started</x:t>
        </x:is>
      </x:c>
      <x:c r="G11" s="32" t="str"/>
    </x:row>
    <x:row r="12" s="40" customFormat="1" ht="38" customHeight="1">
      <x:c r="A12" s="32" t="inlineStr">
        <x:is>
          <x:t xml:space="preserve">TQ-09</x:t>
        </x:is>
      </x:c>
      <x:c r="B12" s="32" t="inlineStr">
        <x:is>
          <x:t xml:space="preserve">Accessibility</x:t>
        </x:is>
      </x:c>
      <x:c r="C12" s="32" t="inlineStr">
        <x:is>
          <x:t xml:space="preserve">Semantic labels, contrast, keyboard/focus where applicable.</x:t>
        </x:is>
      </x:c>
      <x:c r="D12" s="32" t="inlineStr">
        <x:is>
          <x:t xml:space="preserve">MID</x:t>
        </x:is>
      </x:c>
      <x:c r="E12" s="32" t="inlineStr">
        <x:is>
          <x:t xml:space="preserve">No critical accessibility findings</x:t>
        </x:is>
      </x:c>
      <x:c r="F12" s="32" t="inlineStr">
        <x:is>
          <x:t xml:space="preserve">Not Started</x:t>
        </x:is>
      </x:c>
      <x:c r="G12" s="32" t="str"/>
    </x:row>
    <x:row r="13" s="40" customFormat="1" ht="38" customHeight="1">
      <x:c r="A13" s="32" t="inlineStr">
        <x:is>
          <x:t xml:space="preserve">TQ-10</x:t>
        </x:is>
      </x:c>
      <x:c r="B13" s="32" t="inlineStr">
        <x:is>
          <x:t xml:space="preserve">Performance</x:t>
        </x:is>
      </x:c>
      <x:c r="C13" s="32" t="inlineStr">
        <x:is>
          <x:t xml:space="preserve">API latency, query, JS bundle, app memory/startup budgets.</x:t>
        </x:is>
      </x:c>
      <x:c r="D13" s="32" t="inlineStr">
        <x:is>
          <x:t xml:space="preserve">MID</x:t>
        </x:is>
      </x:c>
      <x:c r="E13" s="32" t="inlineStr">
        <x:is>
          <x:t xml:space="preserve">Within project budgets</x:t>
        </x:is>
      </x:c>
      <x:c r="F13" s="32" t="inlineStr">
        <x:is>
          <x:t xml:space="preserve">Not Started</x:t>
        </x:is>
      </x:c>
      <x:c r="G13" s="32" t="str"/>
    </x:row>
    <x:row r="14" s="40" customFormat="1" ht="38" customHeight="1">
      <x:c r="A14" s="32" t="inlineStr">
        <x:is>
          <x:t xml:space="preserve">TQ-11</x:t>
        </x:is>
      </x:c>
      <x:c r="B14" s="32" t="inlineStr">
        <x:is>
          <x:t xml:space="preserve">Security tests</x:t>
        </x:is>
      </x:c>
      <x:c r="C14" s="32" t="inlineStr">
        <x:is>
          <x:t xml:space="preserve">Authz, input, secret, dependency and DAST checks.</x:t>
        </x:is>
      </x:c>
      <x:c r="D14" s="32" t="inlineStr">
        <x:is>
          <x:t xml:space="preserve">MID</x:t>
        </x:is>
      </x:c>
      <x:c r="E14" s="32" t="inlineStr">
        <x:is>
          <x:t xml:space="preserve">No open critical/high release blockers</x:t>
        </x:is>
      </x:c>
      <x:c r="F14" s="32" t="inlineStr">
        <x:is>
          <x:t xml:space="preserve">Not Started</x:t>
        </x:is>
      </x:c>
      <x:c r="G14" s="32" t="str"/>
    </x:row>
    <x:row r="15" s="40" customFormat="1" ht="38" customHeight="1">
      <x:c r="A15" s="32" t="inlineStr">
        <x:is>
          <x:t xml:space="preserve">TQ-12</x:t>
        </x:is>
      </x:c>
      <x:c r="B15" s="32" t="inlineStr">
        <x:is>
          <x:t xml:space="preserve">Chaos/recovery</x:t>
        </x:is>
      </x:c>
      <x:c r="C15" s="32" t="inlineStr">
        <x:is>
          <x:t xml:space="preserve">Dependency failure and retry behavior.</x:t>
        </x:is>
      </x:c>
      <x:c r="D15" s="32" t="inlineStr">
        <x:is>
          <x:t xml:space="preserve">ADVANCED</x:t>
        </x:is>
      </x:c>
      <x:c r="E15" s="32" t="inlineStr">
        <x:is>
          <x:t xml:space="preserve">Defined graceful degradation</x:t>
        </x:is>
      </x:c>
      <x:c r="F15" s="32" t="inlineStr">
        <x:is>
          <x:t xml:space="preserve">Not Started</x:t>
        </x:is>
      </x:c>
      <x:c r="G15" s="32" t="str"/>
    </x:row>
    <x:row r="16" s="40" customFormat="1" ht="38" customHeight="1">
      <x:c r="A16" s="32" t="inlineStr">
        <x:is>
          <x:t xml:space="preserve">TQ-13</x:t>
        </x:is>
      </x:c>
      <x:c r="B16" s="32" t="inlineStr">
        <x:is>
          <x:t xml:space="preserve">Physical device</x:t>
        </x:is>
      </x:c>
      <x:c r="C16" s="32" t="inlineStr">
        <x:is>
          <x:t xml:space="preserve">Selected iOS/Android device coverage.</x:t>
        </x:is>
      </x:c>
      <x:c r="D16" s="32" t="inlineStr">
        <x:is>
          <x:t xml:space="preserve">ADVANCED</x:t>
        </x:is>
      </x:c>
      <x:c r="E16" s="32" t="inlineStr">
        <x:is>
          <x:t xml:space="preserve">Pass defined device matrix</x:t>
        </x:is>
      </x:c>
      <x:c r="F16" s="32" t="inlineStr">
        <x:is>
          <x:t xml:space="preserve">Not Started</x:t>
        </x:is>
      </x:c>
      <x:c r="G16" s="32" t="str"/>
    </x:row>
    <x:row r="17" s="40" customFormat="1" ht="38" customHeight="1">
      <x:c r="A17" s="32" t="inlineStr">
        <x:is>
          <x:t xml:space="preserve">TQ-14</x:t>
        </x:is>
      </x:c>
      <x:c r="B17" s="32" t="inlineStr">
        <x:is>
          <x:t xml:space="preserve">Release qualification</x:t>
        </x:is>
      </x:c>
      <x:c r="C17" s="32" t="inlineStr">
        <x:is>
          <x:t xml:space="preserve">Full platform compatibility suite before platform release.</x:t>
        </x:is>
      </x:c>
      <x:c r="D17" s="32" t="inlineStr">
        <x:is>
          <x:t xml:space="preserve">PRODUCTION</x:t>
        </x:is>
      </x:c>
      <x:c r="E17" s="32" t="inlineStr">
        <x:is>
          <x:t xml:space="preserve">100% mandatory suite pass</x:t>
        </x:is>
      </x:c>
      <x:c r="F17" s="32" t="inlineStr">
        <x:is>
          <x:t xml:space="preserve">Not Started</x:t>
        </x:is>
      </x:c>
      <x:c r="G17" s="32" t="str"/>
    </x:row>
  </x:sheetData>
  <x:mergeCells>
    <x:mergeCell ref="A2:G2"/>
    <x:mergeCell ref="A1:G1"/>
  </x:mergeCells>
  <x:conditionalFormatting sqref="F4:F17">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7">
      <x:formula1>"Not Started,In Progress,Blocked,Done,Deferred"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40" customWidth="1"/>
    <x:col min="2" max="2" width="28" style="40" customWidth="1"/>
    <x:col min="3" max="3" width="58" style="40" customWidth="1"/>
    <x:col min="4" max="4" width="13" style="40" customWidth="1"/>
    <x:col min="5" max="5" width="44" style="40" customWidth="1"/>
    <x:col min="6" max="6" width="16" style="40" customWidth="1"/>
    <x:col min="7" max="7" width="34" style="40" customWidth="1"/>
  </x:cols>
  <x:sheetData>
    <x:row r="1" s="40" customFormat="1" ht="30" customHeight="1">
      <x:c r="A1" s="393" t="inlineStr">
        <x:is>
          <x:t xml:space="preserve">Security Requirements</x:t>
        </x:is>
      </x:c>
      <x:c r="B1" s="375" t="n"/>
      <x:c r="C1" s="375" t="n"/>
      <x:c r="D1" s="375" t="n"/>
      <x:c r="E1" s="375" t="n"/>
      <x:c r="F1" s="375" t="n"/>
      <x:c r="G1" s="375" t="n"/>
    </x:row>
    <x:row r="2" s="40" customFormat="1" ht="34" customHeight="1">
      <x:c r="A2" s="392" t="inlineStr">
        <x:is>
          <x:t xml:space="preserve">Assume generated code, repository text, dependencies and sandbox activity can be hostile. Agents never get unrestricted secrets or production permissions.</x:t>
        </x:is>
      </x:c>
      <x:c r="B2" s="375" t="n"/>
      <x:c r="C2" s="375" t="n"/>
      <x:c r="D2" s="375" t="n"/>
      <x:c r="E2" s="375" t="n"/>
      <x:c r="F2" s="375" t="n"/>
      <x:c r="G2" s="375" t="n"/>
    </x:row>
    <x:row r="3" s="40" customFormat="1" ht="28" customHeight="1">
      <x:c r="A3" s="20" t="inlineStr">
        <x:is>
          <x:t xml:space="preserve">ID</x:t>
        </x:is>
      </x:c>
      <x:c r="B3" s="20" t="inlineStr">
        <x:is>
          <x:t xml:space="preserve">Control</x:t>
        </x:is>
      </x:c>
      <x:c r="C3" s="20" t="inlineStr">
        <x:is>
          <x:t xml:space="preserve">Simple Requirement</x:t>
        </x:is>
      </x:c>
      <x:c r="D3" s="20" t="inlineStr">
        <x:is>
          <x:t xml:space="preserve">Phase</x:t>
        </x:is>
      </x:c>
      <x:c r="E3" s="20" t="inlineStr">
        <x:is>
          <x:t xml:space="preserve">Acceptance / Evidence</x:t>
        </x:is>
      </x:c>
      <x:c r="F3" s="20" t="inlineStr">
        <x:is>
          <x:t xml:space="preserve">Status</x:t>
        </x:is>
      </x:c>
      <x:c r="G3" s="20" t="inlineStr">
        <x:is>
          <x:t xml:space="preserve">Notes</x:t>
        </x:is>
      </x:c>
    </x:row>
    <x:row r="4" s="40" customFormat="1" ht="40" customHeight="1">
      <x:c r="A4" s="32" t="inlineStr">
        <x:is>
          <x:t xml:space="preserve">SEC-01</x:t>
        </x:is>
      </x:c>
      <x:c r="B4" s="32" t="inlineStr">
        <x:is>
          <x:t xml:space="preserve">Tenant isolation</x:t>
        </x:is>
      </x:c>
      <x:c r="C4" s="32" t="inlineStr">
        <x:is>
          <x:t xml:space="preserve">Separate project data, sandboxes, secrets and storage prefixes.</x:t>
        </x:is>
      </x:c>
      <x:c r="D4" s="32" t="inlineStr">
        <x:is>
          <x:t xml:space="preserve">MVP</x:t>
        </x:is>
      </x:c>
      <x:c r="E4" s="32" t="inlineStr">
        <x:is>
          <x:t xml:space="preserve">Cross-tenant access tests pass</x:t>
        </x:is>
      </x:c>
      <x:c r="F4" s="32" t="inlineStr">
        <x:is>
          <x:t xml:space="preserve">Not Started</x:t>
        </x:is>
      </x:c>
      <x:c r="G4" s="32" t="str"/>
    </x:row>
    <x:row r="5" s="40" customFormat="1" ht="40" customHeight="1">
      <x:c r="A5" s="32" t="inlineStr">
        <x:is>
          <x:t xml:space="preserve">SEC-02</x:t>
        </x:is>
      </x:c>
      <x:c r="B5" s="32" t="inlineStr">
        <x:is>
          <x:t xml:space="preserve">Ephemeral sandboxes</x:t>
        </x:is>
      </x:c>
      <x:c r="C5" s="32" t="inlineStr">
        <x:is>
          <x:t xml:space="preserve">Destroy task environment after use; immutable base images.</x:t>
        </x:is>
      </x:c>
      <x:c r="D5" s="32" t="inlineStr">
        <x:is>
          <x:t xml:space="preserve">MVP</x:t>
        </x:is>
      </x:c>
      <x:c r="E5" s="32" t="inlineStr">
        <x:is>
          <x:t xml:space="preserve">No state leak between tasks</x:t>
        </x:is>
      </x:c>
      <x:c r="F5" s="32" t="inlineStr">
        <x:is>
          <x:t xml:space="preserve">Not Started</x:t>
        </x:is>
      </x:c>
      <x:c r="G5" s="32" t="str"/>
    </x:row>
    <x:row r="6" s="40" customFormat="1" ht="40" customHeight="1">
      <x:c r="A6" s="32" t="inlineStr">
        <x:is>
          <x:t xml:space="preserve">SEC-03</x:t>
        </x:is>
      </x:c>
      <x:c r="B6" s="32" t="inlineStr">
        <x:is>
          <x:t xml:space="preserve">Least privilege tools</x:t>
        </x:is>
      </x:c>
      <x:c r="C6" s="32" t="inlineStr">
        <x:is>
          <x:t xml:space="preserve">Each agent gets only required tools/actions.</x:t>
        </x:is>
      </x:c>
      <x:c r="D6" s="32" t="inlineStr">
        <x:is>
          <x:t xml:space="preserve">MVP</x:t>
        </x:is>
      </x:c>
      <x:c r="E6" s="32" t="inlineStr">
        <x:is>
          <x:t xml:space="preserve">Capability manifest enforced</x:t>
        </x:is>
      </x:c>
      <x:c r="F6" s="32" t="inlineStr">
        <x:is>
          <x:t xml:space="preserve">Not Started</x:t>
        </x:is>
      </x:c>
      <x:c r="G6" s="32" t="str"/>
    </x:row>
    <x:row r="7" s="40" customFormat="1" ht="40" customHeight="1">
      <x:c r="A7" s="32" t="inlineStr">
        <x:is>
          <x:t xml:space="preserve">SEC-04</x:t>
        </x:is>
      </x:c>
      <x:c r="B7" s="32" t="inlineStr">
        <x:is>
          <x:t xml:space="preserve">Secret vault</x:t>
        </x:is>
      </x:c>
      <x:c r="C7" s="32" t="inlineStr">
        <x:is>
          <x:t xml:space="preserve">Encrypt and scope secrets; short-lived tokens to sandboxes.</x:t>
        </x:is>
      </x:c>
      <x:c r="D7" s="32" t="inlineStr">
        <x:is>
          <x:t xml:space="preserve">MVP</x:t>
        </x:is>
      </x:c>
      <x:c r="E7" s="32" t="inlineStr">
        <x:is>
          <x:t xml:space="preserve">Secrets never appear in chat/logs</x:t>
        </x:is>
      </x:c>
      <x:c r="F7" s="32" t="inlineStr">
        <x:is>
          <x:t xml:space="preserve">Not Started</x:t>
        </x:is>
      </x:c>
      <x:c r="G7" s="32" t="str"/>
    </x:row>
    <x:row r="8" s="40" customFormat="1" ht="40" customHeight="1">
      <x:c r="A8" s="32" t="inlineStr">
        <x:is>
          <x:t xml:space="preserve">SEC-05</x:t>
        </x:is>
      </x:c>
      <x:c r="B8" s="32" t="inlineStr">
        <x:is>
          <x:t xml:space="preserve">Network egress controls</x:t>
        </x:is>
      </x:c>
      <x:c r="C8" s="32" t="inlineStr">
        <x:is>
          <x:t xml:space="preserve">Block unexpected outbound access from untrusted builds.</x:t>
        </x:is>
      </x:c>
      <x:c r="D8" s="32" t="inlineStr">
        <x:is>
          <x:t xml:space="preserve">MID</x:t>
        </x:is>
      </x:c>
      <x:c r="E8" s="32" t="inlineStr">
        <x:is>
          <x:t xml:space="preserve">Policy logged and enforceable</x:t>
        </x:is>
      </x:c>
      <x:c r="F8" s="32" t="inlineStr">
        <x:is>
          <x:t xml:space="preserve">Not Started</x:t>
        </x:is>
      </x:c>
      <x:c r="G8" s="32" t="str"/>
    </x:row>
    <x:row r="9" s="40" customFormat="1" ht="40" customHeight="1">
      <x:c r="A9" s="32" t="inlineStr">
        <x:is>
          <x:t xml:space="preserve">SEC-06</x:t>
        </x:is>
      </x:c>
      <x:c r="B9" s="32" t="inlineStr">
        <x:is>
          <x:t xml:space="preserve">Prompt injection defense</x:t>
        </x:is>
      </x:c>
      <x:c r="C9" s="32" t="inlineStr">
        <x:is>
          <x:t xml:space="preserve">Treat repository/docs as untrusted content, not system instructions.</x:t>
        </x:is>
      </x:c>
      <x:c r="D9" s="32" t="inlineStr">
        <x:is>
          <x:t xml:space="preserve">MVP</x:t>
        </x:is>
      </x:c>
      <x:c r="E9" s="32" t="inlineStr">
        <x:is>
          <x:t xml:space="preserve">Tool policy cannot be overridden by repo text</x:t>
        </x:is>
      </x:c>
      <x:c r="F9" s="32" t="inlineStr">
        <x:is>
          <x:t xml:space="preserve">Not Started</x:t>
        </x:is>
      </x:c>
      <x:c r="G9" s="32" t="str"/>
    </x:row>
    <x:row r="10" s="40" customFormat="1" ht="40" customHeight="1">
      <x:c r="A10" s="32" t="inlineStr">
        <x:is>
          <x:t xml:space="preserve">SEC-07</x:t>
        </x:is>
      </x:c>
      <x:c r="B10" s="32" t="inlineStr">
        <x:is>
          <x:t xml:space="preserve">Dependency scanning</x:t>
        </x:is>
      </x:c>
      <x:c r="C10" s="32" t="inlineStr">
        <x:is>
          <x:t xml:space="preserve">Known CVE and package integrity checks.</x:t>
        </x:is>
      </x:c>
      <x:c r="D10" s="32" t="inlineStr">
        <x:is>
          <x:t xml:space="preserve">MVP</x:t>
        </x:is>
      </x:c>
      <x:c r="E10" s="32" t="inlineStr">
        <x:is>
          <x:t xml:space="preserve">Critical vulnerabilities block release</x:t>
        </x:is>
      </x:c>
      <x:c r="F10" s="32" t="inlineStr">
        <x:is>
          <x:t xml:space="preserve">Not Started</x:t>
        </x:is>
      </x:c>
      <x:c r="G10" s="32" t="str"/>
    </x:row>
    <x:row r="11" s="40" customFormat="1" ht="40" customHeight="1">
      <x:c r="A11" s="32" t="inlineStr">
        <x:is>
          <x:t xml:space="preserve">SEC-08</x:t>
        </x:is>
      </x:c>
      <x:c r="B11" s="32" t="inlineStr">
        <x:is>
          <x:t xml:space="preserve">SAST</x:t>
        </x:is>
      </x:c>
      <x:c r="C11" s="32" t="inlineStr">
        <x:is>
          <x:t xml:space="preserve">Static security analysis for generated/changed code.</x:t>
        </x:is>
      </x:c>
      <x:c r="D11" s="32" t="inlineStr">
        <x:is>
          <x:t xml:space="preserve">MVP</x:t>
        </x:is>
      </x:c>
      <x:c r="E11" s="32" t="inlineStr">
        <x:is>
          <x:t xml:space="preserve">No open critical release blockers</x:t>
        </x:is>
      </x:c>
      <x:c r="F11" s="32" t="inlineStr">
        <x:is>
          <x:t xml:space="preserve">Not Started</x:t>
        </x:is>
      </x:c>
      <x:c r="G11" s="32" t="str"/>
    </x:row>
    <x:row r="12" s="40" customFormat="1" ht="40" customHeight="1">
      <x:c r="A12" s="32" t="inlineStr">
        <x:is>
          <x:t xml:space="preserve">SEC-09</x:t>
        </x:is>
      </x:c>
      <x:c r="B12" s="32" t="inlineStr">
        <x:is>
          <x:t xml:space="preserve">DAST</x:t>
        </x:is>
      </x:c>
      <x:c r="C12" s="32" t="inlineStr">
        <x:is>
          <x:t xml:space="preserve">Dynamic scan staging deployments.</x:t>
        </x:is>
      </x:c>
      <x:c r="D12" s="32" t="inlineStr">
        <x:is>
          <x:t xml:space="preserve">MID</x:t>
        </x:is>
      </x:c>
      <x:c r="E12" s="32" t="inlineStr">
        <x:is>
          <x:t xml:space="preserve">No open critical/high blockers</x:t>
        </x:is>
      </x:c>
      <x:c r="F12" s="32" t="inlineStr">
        <x:is>
          <x:t xml:space="preserve">Not Started</x:t>
        </x:is>
      </x:c>
      <x:c r="G12" s="32" t="str"/>
    </x:row>
    <x:row r="13" s="40" customFormat="1" ht="40" customHeight="1">
      <x:c r="A13" s="32" t="inlineStr">
        <x:is>
          <x:t xml:space="preserve">SEC-10</x:t>
        </x:is>
      </x:c>
      <x:c r="B13" s="32" t="inlineStr">
        <x:is>
          <x:t xml:space="preserve">SBOM</x:t>
        </x:is>
      </x:c>
      <x:c r="C13" s="32" t="inlineStr">
        <x:is>
          <x:t xml:space="preserve">Generate per release with licenses/versions.</x:t>
        </x:is>
      </x:c>
      <x:c r="D13" s="32" t="inlineStr">
        <x:is>
          <x:t xml:space="preserve">MID</x:t>
        </x:is>
      </x:c>
      <x:c r="E13" s="32" t="inlineStr">
        <x:is>
          <x:t xml:space="preserve">Artifact attached to release</x:t>
        </x:is>
      </x:c>
      <x:c r="F13" s="32" t="inlineStr">
        <x:is>
          <x:t xml:space="preserve">Not Started</x:t>
        </x:is>
      </x:c>
      <x:c r="G13" s="32" t="str"/>
    </x:row>
    <x:row r="14" s="40" customFormat="1" ht="40" customHeight="1">
      <x:c r="A14" s="32" t="inlineStr">
        <x:is>
          <x:t xml:space="preserve">SEC-11</x:t>
        </x:is>
      </x:c>
      <x:c r="B14" s="32" t="inlineStr">
        <x:is>
          <x:t xml:space="preserve">Audit log</x:t>
        </x:is>
      </x:c>
      <x:c r="C14" s="32" t="inlineStr">
        <x:is>
          <x:t xml:space="preserve">Who/what model changed/deployed/accessed secrets.</x:t>
        </x:is>
      </x:c>
      <x:c r="D14" s="32" t="inlineStr">
        <x:is>
          <x:t xml:space="preserve">MVP</x:t>
        </x:is>
      </x:c>
      <x:c r="E14" s="32" t="inlineStr">
        <x:is>
          <x:t xml:space="preserve">Tamper-resistant audit events</x:t>
        </x:is>
      </x:c>
      <x:c r="F14" s="32" t="inlineStr">
        <x:is>
          <x:t xml:space="preserve">Not Started</x:t>
        </x:is>
      </x:c>
      <x:c r="G14" s="32" t="str"/>
    </x:row>
    <x:row r="15" s="40" customFormat="1" ht="40" customHeight="1">
      <x:c r="A15" s="32" t="inlineStr">
        <x:is>
          <x:t xml:space="preserve">SEC-12</x:t>
        </x:is>
      </x:c>
      <x:c r="B15" s="32" t="inlineStr">
        <x:is>
          <x:t xml:space="preserve">Signing isolation</x:t>
        </x:is>
      </x:c>
      <x:c r="C15" s="32" t="inlineStr">
        <x:is>
          <x:t xml:space="preserve">Android/iOS signing keys accessible only to release service.</x:t>
        </x:is>
      </x:c>
      <x:c r="D15" s="32" t="inlineStr">
        <x:is>
          <x:t xml:space="preserve">MVP</x:t>
        </x:is>
      </x:c>
      <x:c r="E15" s="32" t="inlineStr">
        <x:is>
          <x:t xml:space="preserve">Agent cannot read/export raw private key</x:t>
        </x:is>
      </x:c>
      <x:c r="F15" s="32" t="inlineStr">
        <x:is>
          <x:t xml:space="preserve">Not Started</x:t>
        </x:is>
      </x:c>
      <x:c r="G15" s="32" t="str"/>
    </x:row>
    <x:row r="16" s="40" customFormat="1" ht="40" customHeight="1">
      <x:c r="A16" s="32" t="inlineStr">
        <x:is>
          <x:t xml:space="preserve">SEC-13</x:t>
        </x:is>
      </x:c>
      <x:c r="B16" s="32" t="inlineStr">
        <x:is>
          <x:t xml:space="preserve">Encryption</x:t>
        </x:is>
      </x:c>
      <x:c r="C16" s="32" t="inlineStr">
        <x:is>
          <x:t xml:space="preserve">TLS in transit; encrypted DB/object storage/backups.</x:t>
        </x:is>
      </x:c>
      <x:c r="D16" s="32" t="inlineStr">
        <x:is>
          <x:t xml:space="preserve">MVP</x:t>
        </x:is>
      </x:c>
      <x:c r="E16" s="32" t="inlineStr">
        <x:is>
          <x:t xml:space="preserve">Policy enforced</x:t>
        </x:is>
      </x:c>
      <x:c r="F16" s="32" t="inlineStr">
        <x:is>
          <x:t xml:space="preserve">Not Started</x:t>
        </x:is>
      </x:c>
      <x:c r="G16" s="32" t="str"/>
    </x:row>
    <x:row r="17" s="40" customFormat="1" ht="40" customHeight="1">
      <x:c r="A17" s="32" t="inlineStr">
        <x:is>
          <x:t xml:space="preserve">SEC-14</x:t>
        </x:is>
      </x:c>
      <x:c r="B17" s="32" t="inlineStr">
        <x:is>
          <x:t xml:space="preserve">Data retention/deletion</x:t>
        </x:is>
      </x:c>
      <x:c r="C17" s="32" t="inlineStr">
        <x:is>
          <x:t xml:space="preserve">Project/account retention and deletion rules.</x:t>
        </x:is>
      </x:c>
      <x:c r="D17" s="32" t="inlineStr">
        <x:is>
          <x:t xml:space="preserve">PRODUCTION</x:t>
        </x:is>
      </x:c>
      <x:c r="E17" s="32" t="inlineStr">
        <x:is>
          <x:t xml:space="preserve">Verified deletion workflow</x:t>
        </x:is>
      </x:c>
      <x:c r="F17" s="32" t="inlineStr">
        <x:is>
          <x:t xml:space="preserve">Not Started</x:t>
        </x:is>
      </x:c>
      <x:c r="G17" s="32" t="str"/>
    </x:row>
    <x:row r="18" s="40" customFormat="1" ht="40" customHeight="1">
      <x:c r="A18" s="32" t="inlineStr">
        <x:is>
          <x:t xml:space="preserve">SEC-15</x:t>
        </x:is>
      </x:c>
      <x:c r="B18" s="32" t="inlineStr">
        <x:is>
          <x:t xml:space="preserve">SSO/RBAC</x:t>
        </x:is>
      </x:c>
      <x:c r="C18" s="32" t="inlineStr">
        <x:is>
          <x:t xml:space="preserve">Enterprise identity and approval roles.</x:t>
        </x:is>
      </x:c>
      <x:c r="D18" s="32" t="inlineStr">
        <x:is>
          <x:t xml:space="preserve">ADVANCED</x:t>
        </x:is>
      </x:c>
      <x:c r="E18" s="32" t="inlineStr">
        <x:is>
          <x:t xml:space="preserve">Role tests pass</x:t>
        </x:is>
      </x:c>
      <x:c r="F18" s="32" t="inlineStr">
        <x:is>
          <x:t xml:space="preserve">Not Started</x:t>
        </x:is>
      </x:c>
      <x:c r="G18" s="32" t="str"/>
    </x:row>
  </x:sheetData>
  <x:mergeCells>
    <x:mergeCell ref="A2:G2"/>
    <x:mergeCell ref="A1:G1"/>
  </x:mergeCells>
  <x:conditionalFormatting sqref="F4:F18">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8">
      <x:formula1>"Not Started,In Progress,Blocked,Done,Deferred"</x:formula1>
    </x:dataValidation>
  </x:dataValidation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10" style="40" customWidth="1"/>
    <x:col min="2" max="2" width="24" style="40" customWidth="1"/>
    <x:col min="3" max="3" width="48" style="40" customWidth="1"/>
    <x:col min="4" max="4" width="13" style="40" customWidth="1"/>
    <x:col min="5" max="5" width="54" style="40" customWidth="1"/>
    <x:col min="6" max="6" width="16" style="40" customWidth="1"/>
    <x:col min="7" max="7" width="34" style="40" customWidth="1"/>
  </x:cols>
  <x:sheetData>
    <x:row r="1" s="40" customFormat="1" ht="30" customHeight="1">
      <x:c r="A1" s="391" t="inlineStr">
        <x:is>
          <x:t xml:space="preserve">Recommended Platform Technology Stack</x:t>
        </x:is>
      </x:c>
      <x:c r="B1" s="375" t="n"/>
      <x:c r="C1" s="375" t="n"/>
      <x:c r="D1" s="375" t="n"/>
      <x:c r="E1" s="375" t="n"/>
      <x:c r="F1" s="375" t="n"/>
      <x:c r="G1" s="375" t="n"/>
    </x:row>
    <x:row r="2" s="40" customFormat="1" ht="34" customHeight="1">
      <x:c r="A2" s="392" t="inlineStr">
        <x:is>
          <x:t xml:space="preserve">Optimized rule: Go + Python are enough for the core platform. Add Node.js/Kafka/dedicated vector DB only when a real requirement justifies the extra operational cost.</x:t>
        </x:is>
      </x:c>
      <x:c r="B2" s="375" t="n"/>
      <x:c r="C2" s="375" t="n"/>
      <x:c r="D2" s="375" t="n"/>
      <x:c r="E2" s="375" t="n"/>
      <x:c r="F2" s="375" t="n"/>
      <x:c r="G2" s="375" t="n"/>
    </x:row>
    <x:row r="3" s="40" customFormat="1" ht="28" customHeight="1">
      <x:c r="A3" s="20" t="inlineStr">
        <x:is>
          <x:t xml:space="preserve">ID</x:t>
        </x:is>
      </x:c>
      <x:c r="B3" s="20" t="inlineStr">
        <x:is>
          <x:t xml:space="preserve">Layer</x:t>
        </x:is>
      </x:c>
      <x:c r="C3" s="20" t="inlineStr">
        <x:is>
          <x:t xml:space="preserve">Recommended Technology</x:t>
        </x:is>
      </x:c>
      <x:c r="D3" s="20" t="inlineStr">
        <x:is>
          <x:t xml:space="preserve">Phase</x:t>
        </x:is>
      </x:c>
      <x:c r="E3" s="20" t="inlineStr">
        <x:is>
          <x:t xml:space="preserve">Why / Usage</x:t>
        </x:is>
      </x:c>
      <x:c r="F3" s="20" t="inlineStr">
        <x:is>
          <x:t xml:space="preserve">Status</x:t>
        </x:is>
      </x:c>
      <x:c r="G3" s="20" t="inlineStr">
        <x:is>
          <x:t xml:space="preserve">Notes</x:t>
        </x:is>
      </x:c>
    </x:row>
    <x:row r="4" s="40" customFormat="1" ht="40" customHeight="1">
      <x:c r="A4" s="32" t="inlineStr">
        <x:is>
          <x:t xml:space="preserve">INF-01</x:t>
        </x:is>
      </x:c>
      <x:c r="B4" s="32" t="inlineStr">
        <x:is>
          <x:t xml:space="preserve">Web frontend</x:t>
        </x:is>
      </x:c>
      <x:c r="C4" s="32" t="inlineStr">
        <x:is>
          <x:t xml:space="preserve">Next.js + TypeScript + Monaco + xterm.js + WebRTC client</x:t>
        </x:is>
      </x:c>
      <x:c r="D4" s="32" t="inlineStr">
        <x:is>
          <x:t xml:space="preserve">MVP</x:t>
        </x:is>
      </x:c>
      <x:c r="E4" s="32" t="inlineStr">
        <x:is>
          <x:t xml:space="preserve">Browser IDE/control surface</x:t>
        </x:is>
      </x:c>
      <x:c r="F4" s="32" t="inlineStr">
        <x:is>
          <x:t xml:space="preserve">Not Started</x:t>
        </x:is>
      </x:c>
      <x:c r="G4" s="32" t="str"/>
    </x:row>
    <x:row r="5" s="40" customFormat="1" ht="40" customHeight="1">
      <x:c r="A5" s="32" t="inlineStr">
        <x:is>
          <x:t xml:space="preserve">INF-02</x:t>
        </x:is>
      </x:c>
      <x:c r="B5" s="32" t="inlineStr">
        <x:is>
          <x:t xml:space="preserve">Control plane</x:t>
        </x:is>
      </x:c>
      <x:c r="C5" s="32" t="inlineStr">
        <x:is>
          <x:t xml:space="preserve">Go</x:t>
        </x:is>
      </x:c>
      <x:c r="D5" s="32" t="inlineStr">
        <x:is>
          <x:t xml:space="preserve">MVP</x:t>
        </x:is>
      </x:c>
      <x:c r="E5" s="32" t="inlineStr">
        <x:is>
          <x:t xml:space="preserve">Projects, auth, billing, scheduling, WebSockets, deployment APIs</x:t>
        </x:is>
      </x:c>
      <x:c r="F5" s="32" t="inlineStr">
        <x:is>
          <x:t xml:space="preserve">Not Started</x:t>
        </x:is>
      </x:c>
      <x:c r="G5" s="32" t="str"/>
    </x:row>
    <x:row r="6" s="40" customFormat="1" ht="40" customHeight="1">
      <x:c r="A6" s="32" t="inlineStr">
        <x:is>
          <x:t xml:space="preserve">INF-03</x:t>
        </x:is>
      </x:c>
      <x:c r="B6" s="32" t="inlineStr">
        <x:is>
          <x:t xml:space="preserve">AI orchestration</x:t>
        </x:is>
      </x:c>
      <x:c r="C6" s="32" t="inlineStr">
        <x:is>
          <x:t xml:space="preserve">Python</x:t>
        </x:is>
      </x:c>
      <x:c r="D6" s="32" t="inlineStr">
        <x:is>
          <x:t xml:space="preserve">MVP</x:t>
        </x:is>
      </x:c>
      <x:c r="E6" s="32" t="inlineStr">
        <x:is>
          <x:t xml:space="preserve">Agents, model gateway, code intelligence, evaluation</x:t>
        </x:is>
      </x:c>
      <x:c r="F6" s="32" t="inlineStr">
        <x:is>
          <x:t xml:space="preserve">Not Started</x:t>
        </x:is>
      </x:c>
      <x:c r="G6" s="32" t="str"/>
    </x:row>
    <x:row r="7" s="40" customFormat="1" ht="40" customHeight="1">
      <x:c r="A7" s="32" t="inlineStr">
        <x:is>
          <x:t xml:space="preserve">INF-04</x:t>
        </x:is>
      </x:c>
      <x:c r="B7" s="32" t="inlineStr">
        <x:is>
          <x:t xml:space="preserve">Node.js</x:t>
        </x:is>
      </x:c>
      <x:c r="C7" s="32" t="inlineStr">
        <x:is>
          <x:t xml:space="preserve">Optional, not core platform requirement</x:t>
        </x:is>
      </x:c>
      <x:c r="D7" s="32" t="inlineStr">
        <x:is>
          <x:t xml:space="preserve">MID</x:t>
        </x:is>
      </x:c>
      <x:c r="E7" s="32" t="inlineStr">
        <x:is>
          <x:t xml:space="preserve">Use only for integrations/services where it materially helps</x:t>
        </x:is>
      </x:c>
      <x:c r="F7" s="32" t="inlineStr">
        <x:is>
          <x:t xml:space="preserve">Not Started</x:t>
        </x:is>
      </x:c>
      <x:c r="G7" s="32" t="str"/>
    </x:row>
    <x:row r="8" s="40" customFormat="1" ht="40" customHeight="1">
      <x:c r="A8" s="32" t="inlineStr">
        <x:is>
          <x:t xml:space="preserve">INF-05</x:t>
        </x:is>
      </x:c>
      <x:c r="B8" s="32" t="inlineStr">
        <x:is>
          <x:t xml:space="preserve">Primary DB</x:t>
        </x:is>
      </x:c>
      <x:c r="C8" s="32" t="inlineStr">
        <x:is>
          <x:t xml:space="preserve">PostgreSQL</x:t>
        </x:is>
      </x:c>
      <x:c r="D8" s="32" t="inlineStr">
        <x:is>
          <x:t xml:space="preserve">MVP</x:t>
        </x:is>
      </x:c>
      <x:c r="E8" s="32" t="inlineStr">
        <x:is>
          <x:t xml:space="preserve">Platform records + IR + billing + audit</x:t>
        </x:is>
      </x:c>
      <x:c r="F8" s="32" t="inlineStr">
        <x:is>
          <x:t xml:space="preserve">Not Started</x:t>
        </x:is>
      </x:c>
      <x:c r="G8" s="32" t="str"/>
    </x:row>
    <x:row r="9" s="40" customFormat="1" ht="40" customHeight="1">
      <x:c r="A9" s="32" t="inlineStr">
        <x:is>
          <x:t xml:space="preserve">INF-06</x:t>
        </x:is>
      </x:c>
      <x:c r="B9" s="32" t="inlineStr">
        <x:is>
          <x:t xml:space="preserve">Vector search</x:t>
        </x:is>
      </x:c>
      <x:c r="C9" s="32" t="inlineStr">
        <x:is>
          <x:t xml:space="preserve">pgvector first</x:t>
        </x:is>
      </x:c>
      <x:c r="D9" s="32" t="inlineStr">
        <x:is>
          <x:t xml:space="preserve">MVP</x:t>
        </x:is>
      </x:c>
      <x:c r="E9" s="32" t="inlineStr">
        <x:is>
          <x:t xml:space="preserve">Reduce operational complexity</x:t>
        </x:is>
      </x:c>
      <x:c r="F9" s="32" t="inlineStr">
        <x:is>
          <x:t xml:space="preserve">Not Started</x:t>
        </x:is>
      </x:c>
      <x:c r="G9" s="32" t="str"/>
    </x:row>
    <x:row r="10" s="40" customFormat="1" ht="40" customHeight="1">
      <x:c r="A10" s="32" t="inlineStr">
        <x:is>
          <x:t xml:space="preserve">INF-07</x:t>
        </x:is>
      </x:c>
      <x:c r="B10" s="32" t="inlineStr">
        <x:is>
          <x:t xml:space="preserve">Cache/state</x:t>
        </x:is>
      </x:c>
      <x:c r="C10" s="32" t="inlineStr">
        <x:is>
          <x:t xml:space="preserve">Redis</x:t>
        </x:is>
      </x:c>
      <x:c r="D10" s="32" t="inlineStr">
        <x:is>
          <x:t xml:space="preserve">MVP</x:t>
        </x:is>
      </x:c>
      <x:c r="E10" s="32" t="inlineStr">
        <x:is>
          <x:t xml:space="preserve">Cache, locks, rate limits, ephemeral agent state</x:t>
        </x:is>
      </x:c>
      <x:c r="F10" s="32" t="inlineStr">
        <x:is>
          <x:t xml:space="preserve">Not Started</x:t>
        </x:is>
      </x:c>
      <x:c r="G10" s="32" t="str"/>
    </x:row>
    <x:row r="11" s="40" customFormat="1" ht="40" customHeight="1">
      <x:c r="A11" s="32" t="inlineStr">
        <x:is>
          <x:t xml:space="preserve">INF-08</x:t>
        </x:is>
      </x:c>
      <x:c r="B11" s="32" t="inlineStr">
        <x:is>
          <x:t xml:space="preserve">Messaging</x:t>
        </x:is>
      </x:c>
      <x:c r="C11" s="32" t="inlineStr">
        <x:is>
          <x:t xml:space="preserve">NATS / managed queue first</x:t>
        </x:is>
      </x:c>
      <x:c r="D11" s="32" t="inlineStr">
        <x:is>
          <x:t xml:space="preserve">MVP</x:t>
        </x:is>
      </x:c>
      <x:c r="E11" s="32" t="inlineStr">
        <x:is>
          <x:t xml:space="preserve">Simple job/event backbone</x:t>
        </x:is>
      </x:c>
      <x:c r="F11" s="32" t="inlineStr">
        <x:is>
          <x:t xml:space="preserve">Not Started</x:t>
        </x:is>
      </x:c>
      <x:c r="G11" s="32" t="str"/>
    </x:row>
    <x:row r="12" s="40" customFormat="1" ht="40" customHeight="1">
      <x:c r="A12" s="32" t="inlineStr">
        <x:is>
          <x:t xml:space="preserve">INF-09</x:t>
        </x:is>
      </x:c>
      <x:c r="B12" s="32" t="inlineStr">
        <x:is>
          <x:t xml:space="preserve">Kafka</x:t>
        </x:is>
      </x:c>
      <x:c r="C12" s="32" t="inlineStr">
        <x:is>
          <x:t xml:space="preserve">Add only when throughput/replay/retention needs justify it</x:t>
        </x:is>
      </x:c>
      <x:c r="D12" s="32" t="inlineStr">
        <x:is>
          <x:t xml:space="preserve">ADVANCED</x:t>
        </x:is>
      </x:c>
      <x:c r="E12" s="32" t="inlineStr">
        <x:is>
          <x:t xml:space="preserve">Avoid premature ops burden</x:t>
        </x:is>
      </x:c>
      <x:c r="F12" s="32" t="inlineStr">
        <x:is>
          <x:t xml:space="preserve">Not Started</x:t>
        </x:is>
      </x:c>
      <x:c r="G12" s="32" t="str"/>
    </x:row>
    <x:row r="13" s="40" customFormat="1" ht="40" customHeight="1">
      <x:c r="A13" s="32" t="inlineStr">
        <x:is>
          <x:t xml:space="preserve">INF-10</x:t>
        </x:is>
      </x:c>
      <x:c r="B13" s="32" t="inlineStr">
        <x:is>
          <x:t xml:space="preserve">Object storage</x:t>
        </x:is>
      </x:c>
      <x:c r="C13" s="32" t="inlineStr">
        <x:is>
          <x:t xml:space="preserve">S3-compatible</x:t>
        </x:is>
      </x:c>
      <x:c r="D13" s="32" t="inlineStr">
        <x:is>
          <x:t xml:space="preserve">MVP</x:t>
        </x:is>
      </x:c>
      <x:c r="E13" s="32" t="inlineStr">
        <x:is>
          <x:t xml:space="preserve">Build/test/log/archive artifacts</x:t>
        </x:is>
      </x:c>
      <x:c r="F13" s="32" t="inlineStr">
        <x:is>
          <x:t xml:space="preserve">Not Started</x:t>
        </x:is>
      </x:c>
      <x:c r="G13" s="32" t="str"/>
    </x:row>
    <x:row r="14" s="40" customFormat="1" ht="40" customHeight="1">
      <x:c r="A14" s="32" t="inlineStr">
        <x:is>
          <x:t xml:space="preserve">INF-11</x:t>
        </x:is>
      </x:c>
      <x:c r="B14" s="32" t="inlineStr">
        <x:is>
          <x:t xml:space="preserve">Linux execution</x:t>
        </x:is>
      </x:c>
      <x:c r="C14" s="32" t="inlineStr">
        <x:is>
          <x:t xml:space="preserve">Managed Kubernetes or equivalent isolated worker fleet</x:t>
        </x:is>
      </x:c>
      <x:c r="D14" s="32" t="inlineStr">
        <x:is>
          <x:t xml:space="preserve">MVP</x:t>
        </x:is>
      </x:c>
      <x:c r="E14" s="32" t="inlineStr">
        <x:is>
          <x:t xml:space="preserve">Web/backend/Android/build sandboxes</x:t>
        </x:is>
      </x:c>
      <x:c r="F14" s="32" t="inlineStr">
        <x:is>
          <x:t xml:space="preserve">Not Started</x:t>
        </x:is>
      </x:c>
      <x:c r="G14" s="32" t="str"/>
    </x:row>
    <x:row r="15" s="40" customFormat="1" ht="40" customHeight="1">
      <x:c r="A15" s="32" t="inlineStr">
        <x:is>
          <x:t xml:space="preserve">INF-12</x:t>
        </x:is>
      </x:c>
      <x:c r="B15" s="32" t="inlineStr">
        <x:is>
          <x:t xml:space="preserve">Mac execution</x:t>
        </x:is>
      </x:c>
      <x:c r="C15" s="32" t="inlineStr">
        <x:is>
          <x:t xml:space="preserve">Cloud/hosted Mac pool</x:t>
        </x:is>
      </x:c>
      <x:c r="D15" s="32" t="inlineStr">
        <x:is>
          <x:t xml:space="preserve">MVP</x:t>
        </x:is>
      </x:c>
      <x:c r="E15" s="32" t="inlineStr">
        <x:is>
          <x:t xml:space="preserve">Swift compile, simulator, tests, signing</x:t>
        </x:is>
      </x:c>
      <x:c r="F15" s="32" t="inlineStr">
        <x:is>
          <x:t xml:space="preserve">Not Started</x:t>
        </x:is>
      </x:c>
      <x:c r="G15" s="32" t="str"/>
    </x:row>
    <x:row r="16" s="40" customFormat="1" ht="40" customHeight="1">
      <x:c r="A16" s="32" t="inlineStr">
        <x:is>
          <x:t xml:space="preserve">INF-13</x:t>
        </x:is>
      </x:c>
      <x:c r="B16" s="32" t="inlineStr">
        <x:is>
          <x:t xml:space="preserve">Sandbox hardening</x:t>
        </x:is>
      </x:c>
      <x:c r="C16" s="32" t="inlineStr">
        <x:is>
          <x:t xml:space="preserve">gVisor/Kata/Firecracker</x:t>
        </x:is>
      </x:c>
      <x:c r="D16" s="32" t="inlineStr">
        <x:is>
          <x:t xml:space="preserve">ADVANCED</x:t>
        </x:is>
      </x:c>
      <x:c r="E16" s="32" t="inlineStr">
        <x:is>
          <x:t xml:space="preserve">High isolation for untrusted execution</x:t>
        </x:is>
      </x:c>
      <x:c r="F16" s="32" t="inlineStr">
        <x:is>
          <x:t xml:space="preserve">Not Started</x:t>
        </x:is>
      </x:c>
      <x:c r="G16" s="32" t="str"/>
    </x:row>
    <x:row r="17" s="40" customFormat="1" ht="40" customHeight="1">
      <x:c r="A17" s="32" t="inlineStr">
        <x:is>
          <x:t xml:space="preserve">INF-14</x:t>
        </x:is>
      </x:c>
      <x:c r="B17" s="32" t="inlineStr">
        <x:is>
          <x:t xml:space="preserve">Observability</x:t>
        </x:is>
      </x:c>
      <x:c r="C17" s="32" t="inlineStr">
        <x:is>
          <x:t xml:space="preserve">OpenTelemetry + Prometheus/Grafana + central logs</x:t>
        </x:is>
      </x:c>
      <x:c r="D17" s="32" t="inlineStr">
        <x:is>
          <x:t xml:space="preserve">MVP</x:t>
        </x:is>
      </x:c>
      <x:c r="E17" s="32" t="inlineStr">
        <x:is>
          <x:t xml:space="preserve">Task and service telemetry</x:t>
        </x:is>
      </x:c>
      <x:c r="F17" s="32" t="inlineStr">
        <x:is>
          <x:t xml:space="preserve">Not Started</x:t>
        </x:is>
      </x:c>
      <x:c r="G17" s="32" t="str"/>
    </x:row>
    <x:row r="18" s="40" customFormat="1" ht="40" customHeight="1">
      <x:c r="A18" s="32" t="inlineStr">
        <x:is>
          <x:t xml:space="preserve">INF-15</x:t>
        </x:is>
      </x:c>
      <x:c r="B18" s="32" t="inlineStr">
        <x:is>
          <x:t xml:space="preserve">Secrets</x:t>
        </x:is>
      </x:c>
      <x:c r="C18" s="32" t="inlineStr">
        <x:is>
          <x:t xml:space="preserve">Cloud KMS/Vault</x:t>
        </x:is>
      </x:c>
      <x:c r="D18" s="32" t="inlineStr">
        <x:is>
          <x:t xml:space="preserve">MVP</x:t>
        </x:is>
      </x:c>
      <x:c r="E18" s="32" t="inlineStr">
        <x:is>
          <x:t xml:space="preserve">Scoped secret delivery</x:t>
        </x:is>
      </x:c>
      <x:c r="F18" s="32" t="inlineStr">
        <x:is>
          <x:t xml:space="preserve">Not Started</x:t>
        </x:is>
      </x:c>
      <x:c r="G18" s="32" t="str"/>
    </x:row>
    <x:row r="19" s="40" customFormat="1" ht="40" customHeight="1">
      <x:c r="A19" s="32" t="inlineStr">
        <x:is>
          <x:t xml:space="preserve">INF-16</x:t>
        </x:is>
      </x:c>
      <x:c r="B19" s="32" t="inlineStr">
        <x:is>
          <x:t xml:space="preserve">CDN/WAF</x:t>
        </x:is>
      </x:c>
      <x:c r="C19" s="32" t="inlineStr">
        <x:is>
          <x:t xml:space="preserve">Managed CDN + WAF</x:t>
        </x:is>
      </x:c>
      <x:c r="D19" s="32" t="inlineStr">
        <x:is>
          <x:t xml:space="preserve">MID</x:t>
        </x:is>
      </x:c>
      <x:c r="E19" s="32" t="inlineStr">
        <x:is>
          <x:t xml:space="preserve">Preview/static delivery and edge protection</x:t>
        </x:is>
      </x:c>
      <x:c r="F19" s="32" t="inlineStr">
        <x:is>
          <x:t xml:space="preserve">Not Started</x:t>
        </x:is>
      </x:c>
      <x:c r="G19" s="32" t="str"/>
    </x:row>
    <x:row r="20">
      <x:c r="A20" s="43" t="inlineStr">
        <x:is>
          <x:t xml:space="preserve">INF-17</x:t>
        </x:is>
      </x:c>
      <x:c r="B20" s="43" t="inlineStr">
        <x:is>
          <x:t xml:space="preserve">Git provider</x:t>
        </x:is>
      </x:c>
      <x:c r="C20" s="43" t="inlineStr">
        <x:is>
          <x:t xml:space="preserve">GitHub/GitLab adapter; platform-managed Git optional</x:t>
        </x:is>
      </x:c>
      <x:c r="D20" s="43" t="inlineStr">
        <x:is>
          <x:t xml:space="preserve">MVP</x:t>
        </x:is>
      </x:c>
      <x:c r="E20" s="43" t="inlineStr">
        <x:is>
          <x:t xml:space="preserve">One repo per customer project; task branch/PR/checkpoint orchestration</x:t>
        </x:is>
      </x:c>
      <x:c r="F20" s="43" t="inlineStr">
        <x:is>
          <x:t xml:space="preserve">Not Started</x:t>
        </x:is>
      </x:c>
      <x:c r="G20" s="43" t="n"/>
    </x:row>
    <x:row r="21">
      <x:c r="A21" s="42" t="inlineStr">
        <x:is>
          <x:t xml:space="preserve">INF-18</x:t>
        </x:is>
      </x:c>
      <x:c r="B21" s="42" t="inlineStr">
        <x:is>
          <x:t xml:space="preserve">Monorepo orchestration</x:t>
        </x:is>
      </x:c>
      <x:c r="C21" s="42" t="inlineStr">
        <x:is>
          <x:t xml:space="preserve">Taskfile/Make + pnpm/Turborepo + Go workspaces + uv/Poetry</x:t>
        </x:is>
      </x:c>
      <x:c r="D21" s="42" t="inlineStr">
        <x:is>
          <x:t xml:space="preserve">MVP</x:t>
        </x:is>
      </x:c>
      <x:c r="E21" s="42" t="inlineStr">
        <x:is>
          <x:t xml:space="preserve">Cross-language repo without premature Bazel complexity</x:t>
        </x:is>
      </x:c>
      <x:c r="F21" s="42" t="inlineStr">
        <x:is>
          <x:t xml:space="preserve">Not Started</x:t>
        </x:is>
      </x:c>
      <x:c r="G21" s="42" t="n"/>
    </x:row>
    <x:row r="22">
      <x:c r="A22" s="43" t="inlineStr">
        <x:is>
          <x:t xml:space="preserve">INF-19</x:t>
        </x:is>
      </x:c>
      <x:c r="B22" s="43" t="inlineStr">
        <x:is>
          <x:t xml:space="preserve">Flutter toolchain</x:t>
        </x:is>
      </x:c>
      <x:c r="C22" s="43" t="inlineStr">
        <x:is>
          <x:t xml:space="preserve">Flutter SDK + Dart + Android toolchain + macOS iOS worker</x:t>
        </x:is>
      </x:c>
      <x:c r="D22" s="43" t="inlineStr">
        <x:is>
          <x:t xml:space="preserve">MVP</x:t>
        </x:is>
      </x:c>
      <x:c r="E22" s="43" t="inlineStr">
        <x:is>
          <x:t xml:space="preserve">Default cost-efficient mobile target</x:t>
        </x:is>
      </x:c>
      <x:c r="F22" s="43" t="inlineStr">
        <x:is>
          <x:t xml:space="preserve">Not Started</x:t>
        </x:is>
      </x:c>
      <x:c r="G22" s="43" t="n"/>
    </x:row>
    <x:row r="23">
      <x:c r="A23" s="42" t="inlineStr">
        <x:is>
          <x:t xml:space="preserve">INF-20</x:t>
        </x:is>
      </x:c>
      <x:c r="B23" s="42" t="inlineStr">
        <x:is>
          <x:t xml:space="preserve">React Native toolchain</x:t>
        </x:is>
      </x:c>
      <x:c r="C23" s="42" t="inlineStr">
        <x:is>
          <x:t xml:space="preserve">Node/pnpm + RN/Expo + Android toolchain + macOS iOS worker</x:t>
        </x:is>
      </x:c>
      <x:c r="D23" s="42" t="inlineStr">
        <x:is>
          <x:t xml:space="preserve">MVP</x:t>
        </x:is>
      </x:c>
      <x:c r="E23" s="42" t="inlineStr">
        <x:is>
          <x:t xml:space="preserve">Alternative cross-platform target; strong TS/web sharing</x:t>
        </x:is>
      </x:c>
      <x:c r="F23" s="42" t="inlineStr">
        <x:is>
          <x:t xml:space="preserve">Not Started</x:t>
        </x:is>
      </x:c>
      <x:c r="G23" s="42" t="n"/>
    </x:row>
    <x:row r="24">
      <x:c r="A24" s="43" t="inlineStr">
        <x:is>
          <x:t xml:space="preserve">INF-21</x:t>
        </x:is>
      </x:c>
      <x:c r="B24" s="43" t="inlineStr">
        <x:is>
          <x:t xml:space="preserve">Native toolchains</x:t>
        </x:is>
      </x:c>
      <x:c r="C24" s="43" t="inlineStr">
        <x:is>
          <x:t xml:space="preserve">Kotlin/Compose Android + Swift/SwiftUI iOS</x:t>
        </x:is>
      </x:c>
      <x:c r="D24" s="43" t="inlineStr">
        <x:is>
          <x:t xml:space="preserve">MVP/MID</x:t>
        </x:is>
      </x:c>
      <x:c r="E24" s="43" t="inlineStr">
        <x:is>
          <x:t xml:space="preserve">Complex/performance/platform-specific projects; beta then GA</x:t>
        </x:is>
      </x:c>
      <x:c r="F24" s="43" t="inlineStr">
        <x:is>
          <x:t xml:space="preserve">Not Started</x:t>
        </x:is>
      </x:c>
      <x:c r="G24" s="43" t="n"/>
    </x:row>
    <x:row r="25">
      <x:c r="A25" s="42" t="inlineStr">
        <x:is>
          <x:t xml:space="preserve">INF-22</x:t>
        </x:is>
      </x:c>
      <x:c r="B25" s="42" t="inlineStr">
        <x:is>
          <x:t xml:space="preserve">Build graph cache</x:t>
        </x:is>
      </x:c>
      <x:c r="C25" s="42" t="inlineStr">
        <x:is>
          <x:t xml:space="preserve">Remote dependency/build cache keyed by commit + toolchain</x:t>
        </x:is>
      </x:c>
      <x:c r="D25" s="42" t="inlineStr">
        <x:is>
          <x:t xml:space="preserve">MID</x:t>
        </x:is>
      </x:c>
      <x:c r="E25" s="42" t="inlineStr">
        <x:is>
          <x:t xml:space="preserve">Reduce Linux/Mac minutes and repeated work</x:t>
        </x:is>
      </x:c>
      <x:c r="F25" s="42" t="inlineStr">
        <x:is>
          <x:t xml:space="preserve">Not Started</x:t>
        </x:is>
      </x:c>
      <x:c r="G25" s="42" t="n"/>
    </x:row>
    <x:row r="26"/>
    <x:row r="27">
      <x:c r="A27" s="127" t="inlineStr">
        <x:is>
          <x:t xml:space="preserve">Runtime Provider</x:t>
        </x:is>
      </x:c>
      <x:c r="B27" s="127" t="inlineStr">
        <x:is>
          <x:t xml:space="preserve">SandboxProvider abstraction</x:t>
        </x:is>
      </x:c>
      <x:c r="C27" s="127" t="inlineStr">
        <x:is>
          <x:t xml:space="preserve">MVP</x:t>
        </x:is>
      </x:c>
      <x:c r="D27" s="127" t="inlineStr">
        <x:is>
          <x:t xml:space="preserve">Browser/Linux/macOS/local/BYOC adapters</x:t>
        </x:is>
      </x:c>
      <x:c r="E27" s="127" t="inlineStr">
        <x:is>
          <x:t xml:space="preserve">No vendor lock-in</x:t>
        </x:is>
      </x:c>
      <x:c r="F27" s="127" t="inlineStr">
        <x:is>
          <x:t xml:space="preserve">Mandatory</x:t>
        </x:is>
      </x:c>
    </x:row>
    <x:row r="28">
      <x:c r="A28" s="127" t="inlineStr">
        <x:is>
          <x:t xml:space="preserve">Durable Task State</x:t>
        </x:is>
      </x:c>
      <x:c r="B28" s="127" t="inlineStr">
        <x:is>
          <x:t xml:space="preserve">PostgreSQL event ledger + object storage artifacts</x:t>
        </x:is>
      </x:c>
      <x:c r="C28" s="127" t="inlineStr">
        <x:is>
          <x:t xml:space="preserve">MVP</x:t>
        </x:is>
      </x:c>
      <x:c r="D28" s="127" t="inlineStr">
        <x:is>
          <x:t xml:space="preserve">Checkpoint/resume/idempotency</x:t>
        </x:is>
      </x:c>
      <x:c r="E28" s="127" t="inlineStr">
        <x:is>
          <x:t xml:space="preserve">Survive crashes/retries</x:t>
        </x:is>
      </x:c>
      <x:c r="F28" s="127" t="inlineStr">
        <x:is>
          <x:t xml:space="preserve">Mandatory</x:t>
        </x:is>
      </x:c>
    </x:row>
    <x:row r="29">
      <x:c r="A29" s="127" t="inlineStr">
        <x:is>
          <x:t xml:space="preserve">MCP Gateway</x:t>
        </x:is>
      </x:c>
      <x:c r="B29" s="127" t="inlineStr">
        <x:is>
          <x:t xml:space="preserve">Governed tool extension boundary</x:t>
        </x:is>
      </x:c>
      <x:c r="C29" s="127" t="inlineStr">
        <x:is>
          <x:t xml:space="preserve">MVP foundation</x:t>
        </x:is>
      </x:c>
      <x:c r="D29" s="127" t="inlineStr">
        <x:is>
          <x:t xml:space="preserve">Verified/private MCP later</x:t>
        </x:is>
      </x:c>
      <x:c r="E29" s="127" t="inlineStr">
        <x:is>
          <x:t xml:space="preserve">Deny by default</x:t>
        </x:is>
      </x:c>
      <x:c r="F29" s="127" t="inlineStr">
        <x:is>
          <x:t xml:space="preserve">Mandatory</x:t>
        </x:is>
      </x:c>
    </x:row>
    <x:row r="30">
      <x:c r="A30" s="127" t="inlineStr">
        <x:is>
          <x:t xml:space="preserve">Local/Private Execution</x:t>
        </x:is>
      </x:c>
      <x:c r="B30" s="127" t="inlineStr">
        <x:is>
          <x:t xml:space="preserve">Signed Local Agent / BYOC runners</x:t>
        </x:is>
      </x:c>
      <x:c r="C30" s="127" t="inlineStr">
        <x:is>
          <x:t xml:space="preserve">MID/ADV</x:t>
        </x:is>
      </x:c>
      <x:c r="D30" s="127" t="inlineStr">
        <x:is>
          <x:t xml:space="preserve">Explicit trust mode</x:t>
        </x:is>
      </x:c>
      <x:c r="E30" s="127" t="inlineStr">
        <x:is>
          <x:t xml:space="preserve">Privacy/cost/residency</x:t>
        </x:is>
      </x:c>
      <x:c r="F30" s="127" t="inlineStr">
        <x:is>
          <x:t xml:space="preserve">Optional by plan</x:t>
        </x:is>
      </x:c>
    </x:row>
  </x:sheetData>
  <x:mergeCells>
    <x:mergeCell ref="A2:G2"/>
    <x:mergeCell ref="A1:G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9">
      <x:formula1>"Not Started,In Progress,Blocked,Done,Deferred"</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20" style="40" customWidth="1"/>
    <x:col min="2" max="2" width="29" style="40" customWidth="1"/>
    <x:col min="3" max="3" width="37" style="40" customWidth="1"/>
    <x:col min="4" max="4" width="29" style="40" customWidth="1"/>
    <x:col min="5" max="5" width="32" style="40" customWidth="1"/>
    <x:col min="6" max="6" width="26" style="40" customWidth="1"/>
    <x:col min="7" max="7" width="14" style="40" customWidth="1"/>
  </x:cols>
  <x:sheetData>
    <x:row r="1" s="40" customFormat="1" ht="30" customHeight="1">
      <x:c r="A1" s="380" t="inlineStr">
        <x:is>
          <x:t xml:space="preserve">OmniStackAI V5 — Model Costs</x:t>
        </x:is>
      </x:c>
      <x:c r="B1" s="375" t="n"/>
      <x:c r="C1" s="375" t="n"/>
      <x:c r="D1" s="375" t="n"/>
      <x:c r="E1" s="375" t="n"/>
      <x:c r="F1" s="375" t="n"/>
      <x:c r="G1" s="375" t="n"/>
    </x:row>
    <x:row r="2" s="40" customFormat="1" ht="34" customHeight="1">
      <x:c r="A2" s="381" t="inlineStr">
        <x:is>
          <x:t xml:space="preserve">LLM escalation ladder + compute budget. Deterministic tools come before LLM calls; expensive reasoning is an escalation, not a default.</x:t>
        </x:is>
      </x:c>
      <x:c r="B2" s="375" t="n"/>
      <x:c r="C2" s="375" t="n"/>
      <x:c r="D2" s="375" t="n"/>
      <x:c r="E2" s="375" t="n"/>
      <x:c r="F2" s="375" t="n"/>
      <x:c r="G2" s="375" t="n"/>
    </x:row>
    <x:row r="3" s="40" customFormat="1" ht="28" customHeight="1">
      <x:c r="A3" s="20" t="n"/>
      <x:c r="B3" s="20" t="n"/>
      <x:c r="C3" s="20" t="n"/>
      <x:c r="D3" s="20" t="n"/>
      <x:c r="E3" s="20" t="n"/>
      <x:c r="F3" s="20" t="n"/>
      <x:c r="G3" s="20" t="n"/>
    </x:row>
    <x:row r="4" s="40" customFormat="1" ht="28" customHeight="1">
      <x:c r="A4" s="141" t="inlineStr">
        <x:is>
          <x:t xml:space="preserve">Tier / Control</x:t>
        </x:is>
      </x:c>
      <x:c r="B4" s="142" t="inlineStr">
        <x:is>
          <x:t xml:space="preserve">Engine / Mechanism</x:t>
        </x:is>
      </x:c>
      <x:c r="C4" s="142" t="inlineStr">
        <x:is>
          <x:t xml:space="preserve">Primary Use</x:t>
        </x:is>
      </x:c>
      <x:c r="D4" s="142" t="inlineStr">
        <x:is>
          <x:t xml:space="preserve">Trigger to Escalate</x:t>
        </x:is>
      </x:c>
      <x:c r="E4" s="142" t="inlineStr">
        <x:is>
          <x:t xml:space="preserve">Cost Rule</x:t>
        </x:is>
      </x:c>
      <x:c r="F4" s="142" t="inlineStr">
        <x:is>
          <x:t xml:space="preserve">Tracked KPI</x:t>
        </x:is>
      </x:c>
      <x:c r="G4" s="143" t="inlineStr">
        <x:is>
          <x:t xml:space="preserve">Phase</x:t>
        </x:is>
      </x:c>
    </x:row>
    <x:row r="5" s="40" customFormat="1" ht="38" customHeight="1">
      <x:c r="A5" s="144" t="inlineStr">
        <x:is>
          <x:t xml:space="preserve">L0</x:t>
        </x:is>
      </x:c>
      <x:c r="B5" s="145" t="inlineStr">
        <x:is>
          <x:t xml:space="preserve">AST/LSP/compiler/Git/schema/test parser</x:t>
        </x:is>
      </x:c>
      <x:c r="C5" s="145" t="inlineStr">
        <x:is>
          <x:t xml:space="preserve">facts, references, build/test status, diffs</x:t>
        </x:is>
      </x:c>
      <x:c r="D5" s="145" t="inlineStr">
        <x:is>
          <x:t xml:space="preserve">reasoning needed</x:t>
        </x:is>
      </x:c>
      <x:c r="E5" s="145" t="inlineStr">
        <x:is>
          <x:t xml:space="preserve">No LLM for deterministic facts</x:t>
        </x:is>
      </x:c>
      <x:c r="F5" s="145" t="inlineStr">
        <x:is>
          <x:t xml:space="preserve">LLM calls avoided</x:t>
        </x:is>
      </x:c>
      <x:c r="G5" s="146" t="inlineStr">
        <x:is>
          <x:t xml:space="preserve">MVP</x:t>
        </x:is>
      </x:c>
    </x:row>
    <x:row r="6" s="40" customFormat="1" ht="38" customHeight="1">
      <x:c r="A6" s="223" t="inlineStr">
        <x:is>
          <x:t xml:space="preserve">L1</x:t>
        </x:is>
      </x:c>
      <x:c r="B6" s="284" t="inlineStr">
        <x:is>
          <x:t xml:space="preserve">Small/cheap model</x:t>
        </x:is>
      </x:c>
      <x:c r="C6" s="284" t="inlineStr">
        <x:is>
          <x:t xml:space="preserve">classification, ranking, summaries, log compaction</x:t>
        </x:is>
      </x:c>
      <x:c r="D6" s="284" t="inlineStr">
        <x:is>
          <x:t xml:space="preserve">implementation needed</x:t>
        </x:is>
      </x:c>
      <x:c r="E6" s="284" t="inlineStr">
        <x:is>
          <x:t xml:space="preserve">small context; cached where safe</x:t>
        </x:is>
      </x:c>
      <x:c r="F6" s="284" t="inlineStr">
        <x:is>
          <x:t xml:space="preserve">cost/classification</x:t>
        </x:is>
      </x:c>
      <x:c r="G6" s="225" t="inlineStr">
        <x:is>
          <x:t xml:space="preserve">MVP</x:t>
        </x:is>
      </x:c>
    </x:row>
    <x:row r="7" s="40" customFormat="1" ht="38" customHeight="1">
      <x:c r="A7" s="147" t="inlineStr">
        <x:is>
          <x:t xml:space="preserve">L2</x:t>
        </x:is>
      </x:c>
      <x:c r="B7" s="148" t="inlineStr">
        <x:is>
          <x:t xml:space="preserve">Coding model</x:t>
        </x:is>
      </x:c>
      <x:c r="C7" s="148" t="inlineStr">
        <x:is>
          <x:t xml:space="preserve">normal scoped implementation/repair</x:t>
        </x:is>
      </x:c>
      <x:c r="D7" s="148" t="inlineStr">
        <x:is>
          <x:t xml:space="preserve">complex/high risk</x:t>
        </x:is>
      </x:c>
      <x:c r="E7" s="148" t="inlineStr">
        <x:is>
          <x:t xml:space="preserve">default coding tier</x:t>
        </x:is>
      </x:c>
      <x:c r="F7" s="148" t="inlineStr">
        <x:is>
          <x:t xml:space="preserve">cost/accepted patch</x:t>
        </x:is>
      </x:c>
      <x:c r="G7" s="149" t="inlineStr">
        <x:is>
          <x:t xml:space="preserve">MVP</x:t>
        </x:is>
      </x:c>
    </x:row>
    <x:row r="8" s="40" customFormat="1" ht="38" customHeight="1">
      <x:c r="A8" s="223" t="inlineStr">
        <x:is>
          <x:t xml:space="preserve">L3</x:t>
        </x:is>
      </x:c>
      <x:c r="B8" s="284" t="inlineStr">
        <x:is>
          <x:t xml:space="preserve">Strong reasoning model</x:t>
        </x:is>
      </x:c>
      <x:c r="C8" s="284" t="inlineStr">
        <x:is>
          <x:t xml:space="preserve">architecture, security, concurrency, hard repair</x:t>
        </x:is>
      </x:c>
      <x:c r="D8" s="284" t="inlineStr">
        <x:is>
          <x:t xml:space="preserve">critical ambiguity</x:t>
        </x:is>
      </x:c>
      <x:c r="E8" s="284" t="inlineStr">
        <x:is>
          <x:t xml:space="preserve">use only with evidence</x:t>
        </x:is>
      </x:c>
      <x:c r="F8" s="284" t="inlineStr">
        <x:is>
          <x:t xml:space="preserve">escalation rate</x:t>
        </x:is>
      </x:c>
      <x:c r="G8" s="225" t="inlineStr">
        <x:is>
          <x:t xml:space="preserve">MVP/MID</x:t>
        </x:is>
      </x:c>
    </x:row>
    <x:row r="9" s="40" customFormat="1" ht="38" customHeight="1">
      <x:c r="A9" s="147" t="inlineStr">
        <x:is>
          <x:t xml:space="preserve">L4</x:t>
        </x:is>
      </x:c>
      <x:c r="B9" s="148" t="inlineStr">
        <x:is>
          <x:t xml:space="preserve">Independent reviewer</x:t>
        </x:is>
      </x:c>
      <x:c r="C9" s="148" t="inlineStr">
        <x:is>
          <x:t xml:space="preserve">critical release/security/payment/signing</x:t>
        </x:is>
      </x:c>
      <x:c r="D9" s="148" t="inlineStr">
        <x:is>
          <x:t xml:space="preserve">policy requires</x:t>
        </x:is>
      </x:c>
      <x:c r="E9" s="148" t="inlineStr">
        <x:is>
          <x:t xml:space="preserve">rare + bounded</x:t>
        </x:is>
      </x:c>
      <x:c r="F9" s="148" t="inlineStr">
        <x:is>
          <x:t xml:space="preserve">critical review cost</x:t>
        </x:is>
      </x:c>
      <x:c r="G9" s="149" t="inlineStr">
        <x:is>
          <x:t xml:space="preserve">MID</x:t>
        </x:is>
      </x:c>
    </x:row>
    <x:row r="10" s="40" customFormat="1" ht="38" customHeight="1">
      <x:c r="A10" s="223" t="inlineStr">
        <x:is>
          <x:t xml:space="preserve">Context Budget</x:t>
        </x:is>
      </x:c>
      <x:c r="B10" s="284" t="inlineStr">
        <x:is>
          <x:t xml:space="preserve">Token/context controller</x:t>
        </x:is>
      </x:c>
      <x:c r="C10" s="284" t="inlineStr">
        <x:is>
          <x:t xml:space="preserve">max input/output/retrieval per stage</x:t>
        </x:is>
      </x:c>
      <x:c r="D10" s="284" t="inlineStr">
        <x:is>
          <x:t xml:space="preserve">quality low</x:t>
        </x:is>
      </x:c>
      <x:c r="E10" s="284" t="inlineStr">
        <x:is>
          <x:t xml:space="preserve">progressive retrieval</x:t>
        </x:is>
      </x:c>
      <x:c r="F10" s="284" t="inlineStr">
        <x:is>
          <x:t xml:space="preserve">tokens/successful task</x:t>
        </x:is>
      </x:c>
      <x:c r="G10" s="225" t="inlineStr">
        <x:is>
          <x:t xml:space="preserve">MVP</x:t>
        </x:is>
      </x:c>
    </x:row>
    <x:row r="11" s="40" customFormat="1" ht="38" customHeight="1">
      <x:c r="A11" s="147" t="inlineStr">
        <x:is>
          <x:t xml:space="preserve">Retry Budget</x:t>
        </x:is>
      </x:c>
      <x:c r="B11" s="148" t="inlineStr">
        <x:is>
          <x:t xml:space="preserve">Run policy</x:t>
        </x:is>
      </x:c>
      <x:c r="C11" s="148" t="inlineStr">
        <x:is>
          <x:t xml:space="preserve">bounded agent/model/tool retries</x:t>
        </x:is>
      </x:c>
      <x:c r="D11" s="148" t="inlineStr">
        <x:is>
          <x:t xml:space="preserve">retry limit hit</x:t>
        </x:is>
      </x:c>
      <x:c r="E11" s="148" t="inlineStr">
        <x:is>
          <x:t xml:space="preserve">platform failures not repeatedly billed</x:t>
        </x:is>
      </x:c>
      <x:c r="F11" s="148" t="inlineStr">
        <x:is>
          <x:t xml:space="preserve">retry waste</x:t>
        </x:is>
      </x:c>
      <x:c r="G11" s="149" t="inlineStr">
        <x:is>
          <x:t xml:space="preserve">MVP</x:t>
        </x:is>
      </x:c>
    </x:row>
    <x:row r="12" s="40" customFormat="1" ht="38" customHeight="1">
      <x:c r="A12" s="223" t="inlineStr">
        <x:is>
          <x:t xml:space="preserve">Compute Budget</x:t>
        </x:is>
      </x:c>
      <x:c r="B12" s="284" t="inlineStr">
        <x:is>
          <x:t xml:space="preserve">Scheduler</x:t>
        </x:is>
      </x:c>
      <x:c r="C12" s="284" t="inlineStr">
        <x:is>
          <x:t xml:space="preserve">Linux/Android/macOS/device minutes</x:t>
        </x:is>
      </x:c>
      <x:c r="D12" s="284" t="inlineStr">
        <x:is>
          <x:t xml:space="preserve">stronger proof required</x:t>
        </x:is>
      </x:c>
      <x:c r="E12" s="284" t="inlineStr">
        <x:is>
          <x:t xml:space="preserve">cheapest capable runtime</x:t>
        </x:is>
      </x:c>
      <x:c r="F12" s="284" t="inlineStr">
        <x:is>
          <x:t xml:space="preserve">compute/successful task</x:t>
        </x:is>
      </x:c>
      <x:c r="G12" s="225" t="inlineStr">
        <x:is>
          <x:t xml:space="preserve">MVP</x:t>
        </x:is>
      </x:c>
    </x:row>
    <x:row r="13" s="40" customFormat="1" ht="38" customHeight="1">
      <x:c r="A13" s="156" t="inlineStr">
        <x:is>
          <x:t xml:space="preserve">Provider Router</x:t>
        </x:is>
      </x:c>
      <x:c r="B13" s="157" t="inlineStr">
        <x:is>
          <x:t xml:space="preserve">ModelProvider</x:t>
        </x:is>
      </x:c>
      <x:c r="C13" s="157" t="inlineStr">
        <x:is>
          <x:t xml:space="preserve">benchmark/cost/latency/availability/customer policy</x:t>
        </x:is>
      </x:c>
      <x:c r="D13" s="157" t="inlineStr">
        <x:is>
          <x:t xml:space="preserve">provider degradation</x:t>
        </x:is>
      </x:c>
      <x:c r="E13" s="157" t="inlineStr">
        <x:is>
          <x:t xml:space="preserve">circuit breaker/fallback</x:t>
        </x:is>
      </x:c>
      <x:c r="F13" s="157" t="inlineStr">
        <x:is>
          <x:t xml:space="preserve">quality-adjusted cost</x:t>
        </x:is>
      </x:c>
      <x:c r="G13" s="158" t="inlineStr">
        <x:is>
          <x:t xml:space="preserve">MVP</x:t>
        </x:is>
      </x:c>
    </x:row>
    <x:row r="14" s="40" customFormat="1" ht="38" customHeight="1">
      <x:c r="A14" s="32" t="n"/>
      <x:c r="B14" s="32" t="n"/>
      <x:c r="C14" s="32" t="n"/>
      <x:c r="D14" s="32" t="n"/>
      <x:c r="E14" s="32" t="n"/>
      <x:c r="F14" s="32" t="n"/>
      <x:c r="G14" s="32" t="n"/>
    </x:row>
    <x:row r="15" s="40" customFormat="1" ht="38" customHeight="1">
      <x:c r="A15" s="32" t="n"/>
      <x:c r="B15" s="32" t="n"/>
      <x:c r="C15" s="32" t="n"/>
      <x:c r="D15" s="32" t="n"/>
      <x:c r="E15" s="32" t="n"/>
      <x:c r="F15" s="32" t="n"/>
      <x:c r="G15" s="32" t="n"/>
    </x:row>
  </x:sheetData>
  <x:mergeCells>
    <x:mergeCell ref="A2:G2"/>
    <x:mergeCell ref="A1:G1"/>
  </x:mergeCells>
  <x:conditionalFormatting sqref="F4:F15">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5">
      <x:formula1>"Not Started,In Progress,Blocked,Done,Deferred"</x:formula1>
    </x:dataValidation>
  </x:dataValidations>
  <x:pageMargins left="0.7" right="0.7" top="0.75" bottom="0.75" header="0.3" footer="0.3"/>
</x:worksheet>
</file>

<file path=xl/worksheets/sheet12.xml><?xml version="1.0" encoding="utf-8"?>
<x:worksheet xmlns:x="http://schemas.openxmlformats.org/spreadsheetml/2006/main">
  <x:sheetFormatPr baseColWidth="8" defaultRowHeight="15"/>
  <x:cols>
    <x:col min="1" max="1" width="10" style="40" customWidth="1"/>
    <x:col min="2" max="2" width="30" style="40" customWidth="1"/>
    <x:col min="3" max="3" width="60" style="40" customWidth="1"/>
    <x:col min="4" max="4" width="18" style="40" customWidth="1"/>
    <x:col min="5" max="5" width="13" style="40" customWidth="1"/>
    <x:col min="6" max="6" width="30" style="40" customWidth="1"/>
    <x:col min="7" max="7" width="16" style="40" customWidth="1"/>
    <x:col min="8" max="8" width="34" style="40" customWidth="1"/>
  </x:cols>
  <x:sheetData>
    <x:row r="1" s="40" customFormat="1" ht="30" customHeight="1">
      <x:c r="A1" s="393" t="inlineStr">
        <x:is>
          <x:t xml:space="preserve">Analytics &amp; Product Health KPIs</x:t>
        </x:is>
      </x:c>
      <x:c r="B1" s="375" t="n"/>
      <x:c r="C1" s="375" t="n"/>
      <x:c r="D1" s="375" t="n"/>
      <x:c r="E1" s="375" t="n"/>
      <x:c r="F1" s="375" t="n"/>
      <x:c r="G1" s="375" t="n"/>
      <x:c r="H1" s="375" t="n"/>
    </x:row>
    <x:row r="2" s="40" customFormat="1" ht="34" customHeight="1">
      <x:c r="A2" s="392" t="inlineStr">
        <x:is>
          <x:t xml:space="preserve">These metrics tell us whether the platform is becoming more accurate, cheaper and more reliable as it grows.</x:t>
        </x:is>
      </x:c>
      <x:c r="B2" s="375" t="n"/>
      <x:c r="C2" s="375" t="n"/>
      <x:c r="D2" s="375" t="n"/>
      <x:c r="E2" s="375" t="n"/>
      <x:c r="F2" s="375" t="n"/>
      <x:c r="G2" s="375" t="n"/>
      <x:c r="H2" s="375" t="n"/>
    </x:row>
    <x:row r="3" s="40" customFormat="1" ht="28" customHeight="1">
      <x:c r="A3" s="20" t="inlineStr">
        <x:is>
          <x:t xml:space="preserve">ID</x:t>
        </x:is>
      </x:c>
      <x:c r="B3" s="20" t="inlineStr">
        <x:is>
          <x:t xml:space="preserve">Metric</x:t>
        </x:is>
      </x:c>
      <x:c r="C3" s="20" t="inlineStr">
        <x:is>
          <x:t xml:space="preserve">Definition</x:t>
        </x:is>
      </x:c>
      <x:c r="D3" s="20" t="inlineStr">
        <x:is>
          <x:t xml:space="preserve">Category</x:t>
        </x:is>
      </x:c>
      <x:c r="E3" s="20" t="inlineStr">
        <x:is>
          <x:t xml:space="preserve">Phase</x:t>
        </x:is>
      </x:c>
      <x:c r="F3" s="20" t="inlineStr">
        <x:is>
          <x:t xml:space="preserve">Target / Direction</x:t>
        </x:is>
      </x:c>
      <x:c r="G3" s="20" t="inlineStr">
        <x:is>
          <x:t xml:space="preserve">Current</x:t>
        </x:is>
      </x:c>
      <x:c r="H3" s="20" t="inlineStr">
        <x:is>
          <x:t xml:space="preserve">Notes</x:t>
        </x:is>
      </x:c>
    </x:row>
    <x:row r="4" s="40" customFormat="1" ht="38" customHeight="1">
      <x:c r="A4" s="32" t="inlineStr">
        <x:is>
          <x:t xml:space="preserve">KPI-01</x:t>
        </x:is>
      </x:c>
      <x:c r="B4" s="32" t="inlineStr">
        <x:is>
          <x:t xml:space="preserve">Build Success - First Attempt</x:t>
        </x:is>
      </x:c>
      <x:c r="C4" s="32" t="inlineStr">
        <x:is>
          <x:t xml:space="preserve">% tasks whose affected targets compile on first generated patch</x:t>
        </x:is>
      </x:c>
      <x:c r="D4" s="32" t="inlineStr">
        <x:is>
          <x:t xml:space="preserve">Quality</x:t>
        </x:is>
      </x:c>
      <x:c r="E4" s="32" t="inlineStr">
        <x:is>
          <x:t xml:space="preserve">MVP</x:t>
        </x:is>
      </x:c>
      <x:c r="F4" s="32" t="inlineStr">
        <x:is>
          <x:t xml:space="preserve">&gt;=70% then improve</x:t>
        </x:is>
      </x:c>
      <x:c r="G4" s="32" t="str"/>
      <x:c r="H4" s="32" t="str"/>
    </x:row>
    <x:row r="5" s="40" customFormat="1" ht="38" customHeight="1">
      <x:c r="A5" s="32" t="inlineStr">
        <x:is>
          <x:t xml:space="preserve">KPI-02</x:t>
        </x:is>
      </x:c>
      <x:c r="B5" s="32" t="inlineStr">
        <x:is>
          <x:t xml:space="preserve">Final Task Success</x:t>
        </x:is>
      </x:c>
      <x:c r="C5" s="32" t="inlineStr">
        <x:is>
          <x:t xml:space="preserve">% accepted tasks completed within bounded retries</x:t>
        </x:is>
      </x:c>
      <x:c r="D5" s="32" t="inlineStr">
        <x:is>
          <x:t xml:space="preserve">Quality</x:t>
        </x:is>
      </x:c>
      <x:c r="E5" s="32" t="inlineStr">
        <x:is>
          <x:t xml:space="preserve">MVP</x:t>
        </x:is>
      </x:c>
      <x:c r="F5" s="32" t="inlineStr">
        <x:is>
          <x:t xml:space="preserve">&gt;=95%</x:t>
        </x:is>
      </x:c>
      <x:c r="G5" s="32" t="str"/>
      <x:c r="H5" s="32" t="str"/>
    </x:row>
    <x:row r="6" s="40" customFormat="1" ht="38" customHeight="1">
      <x:c r="A6" s="32" t="inlineStr">
        <x:is>
          <x:t xml:space="preserve">KPI-03</x:t>
        </x:is>
      </x:c>
      <x:c r="B6" s="32" t="inlineStr">
        <x:is>
          <x:t xml:space="preserve">Regression Escape Rate</x:t>
        </x:is>
      </x:c>
      <x:c r="C6" s="32" t="inlineStr">
        <x:is>
          <x:t xml:space="preserve">Accepted tasks later linked to broken existing behavior</x:t>
        </x:is>
      </x:c>
      <x:c r="D6" s="32" t="inlineStr">
        <x:is>
          <x:t xml:space="preserve">Quality</x:t>
        </x:is>
      </x:c>
      <x:c r="E6" s="32" t="inlineStr">
        <x:is>
          <x:t xml:space="preserve">MVP</x:t>
        </x:is>
      </x:c>
      <x:c r="F6" s="32" t="inlineStr">
        <x:is>
          <x:t xml:space="preserve">&lt;2%, target &lt;0.5%</x:t>
        </x:is>
      </x:c>
      <x:c r="G6" s="32" t="str"/>
      <x:c r="H6" s="32" t="str"/>
    </x:row>
    <x:row r="7" s="40" customFormat="1" ht="38" customHeight="1">
      <x:c r="A7" s="32" t="inlineStr">
        <x:is>
          <x:t xml:space="preserve">KPI-04</x:t>
        </x:is>
      </x:c>
      <x:c r="B7" s="32" t="inlineStr">
        <x:is>
          <x:t xml:space="preserve">Unexpected Blast Radius</x:t>
        </x:is>
      </x:c>
      <x:c r="C7" s="32" t="inlineStr">
        <x:is>
          <x:t xml:space="preserve">% tasks changing files/modules outside predicted impact</x:t>
        </x:is>
      </x:c>
      <x:c r="D7" s="32" t="inlineStr">
        <x:is>
          <x:t xml:space="preserve">Quality</x:t>
        </x:is>
      </x:c>
      <x:c r="E7" s="32" t="inlineStr">
        <x:is>
          <x:t xml:space="preserve">MVP</x:t>
        </x:is>
      </x:c>
      <x:c r="F7" s="32" t="inlineStr">
        <x:is>
          <x:t xml:space="preserve">&lt;5%, target &lt;1%</x:t>
        </x:is>
      </x:c>
      <x:c r="G7" s="32" t="str"/>
      <x:c r="H7" s="32" t="str"/>
    </x:row>
    <x:row r="8" s="40" customFormat="1" ht="38" customHeight="1">
      <x:c r="A8" s="32" t="inlineStr">
        <x:is>
          <x:t xml:space="preserve">KPI-05</x:t>
        </x:is>
      </x:c>
      <x:c r="B8" s="32" t="inlineStr">
        <x:is>
          <x:t xml:space="preserve">Rollback/Revert Rate</x:t>
        </x:is>
      </x:c>
      <x:c r="C8" s="32" t="inlineStr">
        <x:is>
          <x:t xml:space="preserve">% accepted tasks reverted by user/system</x:t>
        </x:is>
      </x:c>
      <x:c r="D8" s="32" t="inlineStr">
        <x:is>
          <x:t xml:space="preserve">Quality</x:t>
        </x:is>
      </x:c>
      <x:c r="E8" s="32" t="inlineStr">
        <x:is>
          <x:t xml:space="preserve">MVP</x:t>
        </x:is>
      </x:c>
      <x:c r="F8" s="32" t="inlineStr">
        <x:is>
          <x:t xml:space="preserve">Trend down</x:t>
        </x:is>
      </x:c>
      <x:c r="G8" s="32" t="str"/>
      <x:c r="H8" s="32" t="str"/>
    </x:row>
    <x:row r="9" s="40" customFormat="1" ht="38" customHeight="1">
      <x:c r="A9" s="32" t="inlineStr">
        <x:is>
          <x:t xml:space="preserve">KPI-06</x:t>
        </x:is>
      </x:c>
      <x:c r="B9" s="32" t="inlineStr">
        <x:is>
          <x:t xml:space="preserve">Median Task Cycle Time</x:t>
        </x:is>
      </x:c>
      <x:c r="C9" s="32" t="inlineStr">
        <x:is>
          <x:t xml:space="preserve">Prompt approval to accepted commit</x:t>
        </x:is>
      </x:c>
      <x:c r="D9" s="32" t="inlineStr">
        <x:is>
          <x:t xml:space="preserve">Speed</x:t>
        </x:is>
      </x:c>
      <x:c r="E9" s="32" t="inlineStr">
        <x:is>
          <x:t xml:space="preserve">MVP</x:t>
        </x:is>
      </x:c>
      <x:c r="F9" s="32" t="inlineStr">
        <x:is>
          <x:t xml:space="preserve">Track by task class</x:t>
        </x:is>
      </x:c>
      <x:c r="G9" s="32" t="str"/>
      <x:c r="H9" s="32" t="str"/>
    </x:row>
    <x:row r="10" s="40" customFormat="1" ht="38" customHeight="1">
      <x:c r="A10" s="32" t="inlineStr">
        <x:is>
          <x:t xml:space="preserve">KPI-07</x:t>
        </x:is>
      </x:c>
      <x:c r="B10" s="32" t="inlineStr">
        <x:is>
          <x:t xml:space="preserve">LLM Cost per Successful Task</x:t>
        </x:is>
      </x:c>
      <x:c r="C10" s="32" t="inlineStr">
        <x:is>
          <x:t xml:space="preserve">Provider spend / successful tasks</x:t>
        </x:is>
      </x:c>
      <x:c r="D10" s="32" t="inlineStr">
        <x:is>
          <x:t xml:space="preserve">Cost</x:t>
        </x:is>
      </x:c>
      <x:c r="E10" s="32" t="inlineStr">
        <x:is>
          <x:t xml:space="preserve">MVP</x:t>
        </x:is>
      </x:c>
      <x:c r="F10" s="32" t="inlineStr">
        <x:is>
          <x:t xml:space="preserve">Trend down</x:t>
        </x:is>
      </x:c>
      <x:c r="G10" s="32" t="str"/>
      <x:c r="H10" s="32" t="str"/>
    </x:row>
    <x:row r="11" s="40" customFormat="1" ht="38" customHeight="1">
      <x:c r="A11" s="32" t="inlineStr">
        <x:is>
          <x:t xml:space="preserve">KPI-08</x:t>
        </x:is>
      </x:c>
      <x:c r="B11" s="32" t="inlineStr">
        <x:is>
          <x:t xml:space="preserve">Compute Cost per Task</x:t>
        </x:is>
      </x:c>
      <x:c r="C11" s="32" t="inlineStr">
        <x:is>
          <x:t xml:space="preserve">Linux + Mac + storage + bandwidth</x:t>
        </x:is>
      </x:c>
      <x:c r="D11" s="32" t="inlineStr">
        <x:is>
          <x:t xml:space="preserve">Cost</x:t>
        </x:is>
      </x:c>
      <x:c r="E11" s="32" t="inlineStr">
        <x:is>
          <x:t xml:space="preserve">MVP</x:t>
        </x:is>
      </x:c>
      <x:c r="F11" s="32" t="inlineStr">
        <x:is>
          <x:t xml:space="preserve">Trend down</x:t>
        </x:is>
      </x:c>
      <x:c r="G11" s="32" t="str"/>
      <x:c r="H11" s="32" t="str"/>
    </x:row>
    <x:row r="12" s="40" customFormat="1" ht="38" customHeight="1">
      <x:c r="A12" s="32" t="inlineStr">
        <x:is>
          <x:t xml:space="preserve">KPI-09</x:t>
        </x:is>
      </x:c>
      <x:c r="B12" s="32" t="inlineStr">
        <x:is>
          <x:t xml:space="preserve">Mac Minutes per iOS Task</x:t>
        </x:is>
      </x:c>
      <x:c r="C12" s="32" t="inlineStr">
        <x:is>
          <x:t xml:space="preserve">Cloud Mac usage per successful iOS task</x:t>
        </x:is>
      </x:c>
      <x:c r="D12" s="32" t="inlineStr">
        <x:is>
          <x:t xml:space="preserve">Cost</x:t>
        </x:is>
      </x:c>
      <x:c r="E12" s="32" t="inlineStr">
        <x:is>
          <x:t xml:space="preserve">MVP</x:t>
        </x:is>
      </x:c>
      <x:c r="F12" s="32" t="inlineStr">
        <x:is>
          <x:t xml:space="preserve">Minimize via compile caching</x:t>
        </x:is>
      </x:c>
      <x:c r="G12" s="32" t="str"/>
      <x:c r="H12" s="32" t="str"/>
    </x:row>
    <x:row r="13" s="40" customFormat="1" ht="38" customHeight="1">
      <x:c r="A13" s="32" t="inlineStr">
        <x:is>
          <x:t xml:space="preserve">KPI-10</x:t>
        </x:is>
      </x:c>
      <x:c r="B13" s="32" t="inlineStr">
        <x:is>
          <x:t xml:space="preserve">Browser Preview to Native Run Ratio</x:t>
        </x:is>
      </x:c>
      <x:c r="C13" s="32" t="inlineStr">
        <x:is>
          <x:t xml:space="preserve">How often cheap preview avoids native sessions</x:t>
        </x:is>
      </x:c>
      <x:c r="D13" s="32" t="inlineStr">
        <x:is>
          <x:t xml:space="preserve">Cost</x:t>
        </x:is>
      </x:c>
      <x:c r="E13" s="32" t="inlineStr">
        <x:is>
          <x:t xml:space="preserve">MID</x:t>
        </x:is>
      </x:c>
      <x:c r="F13" s="32" t="inlineStr">
        <x:is>
          <x:t xml:space="preserve">Increase without hurting quality</x:t>
        </x:is>
      </x:c>
      <x:c r="G13" s="32" t="str"/>
      <x:c r="H13" s="32" t="str"/>
    </x:row>
    <x:row r="14" s="40" customFormat="1" ht="38" customHeight="1">
      <x:c r="A14" s="32" t="inlineStr">
        <x:is>
          <x:t xml:space="preserve">KPI-11</x:t>
        </x:is>
      </x:c>
      <x:c r="B14" s="32" t="inlineStr">
        <x:is>
          <x:t xml:space="preserve">Deployment Success Rate</x:t>
        </x:is>
      </x:c>
      <x:c r="C14" s="32" t="inlineStr">
        <x:is>
          <x:t xml:space="preserve">Successful deployment without manual repair</x:t>
        </x:is>
      </x:c>
      <x:c r="D14" s="32" t="inlineStr">
        <x:is>
          <x:t xml:space="preserve">Reliability</x:t>
        </x:is>
      </x:c>
      <x:c r="E14" s="32" t="inlineStr">
        <x:is>
          <x:t xml:space="preserve">MVP</x:t>
        </x:is>
      </x:c>
      <x:c r="F14" s="32" t="inlineStr">
        <x:is>
          <x:t xml:space="preserve">&gt;=98%</x:t>
        </x:is>
      </x:c>
      <x:c r="G14" s="32" t="str"/>
      <x:c r="H14" s="32" t="str"/>
    </x:row>
    <x:row r="15" s="40" customFormat="1" ht="38" customHeight="1">
      <x:c r="A15" s="32" t="inlineStr">
        <x:is>
          <x:t xml:space="preserve">KPI-12</x:t>
        </x:is>
      </x:c>
      <x:c r="B15" s="32" t="inlineStr">
        <x:is>
          <x:t xml:space="preserve">Production Incident Rate</x:t>
        </x:is>
      </x:c>
      <x:c r="C15" s="32" t="inlineStr">
        <x:is>
          <x:t xml:space="preserve">Incidents per deployed project/version</x:t>
        </x:is>
      </x:c>
      <x:c r="D15" s="32" t="inlineStr">
        <x:is>
          <x:t xml:space="preserve">Reliability</x:t>
        </x:is>
      </x:c>
      <x:c r="E15" s="32" t="inlineStr">
        <x:is>
          <x:t xml:space="preserve">PRODUCTION</x:t>
        </x:is>
      </x:c>
      <x:c r="F15" s="32" t="inlineStr">
        <x:is>
          <x:t xml:space="preserve">Trend down</x:t>
        </x:is>
      </x:c>
      <x:c r="G15" s="32" t="str"/>
      <x:c r="H15" s="32" t="str"/>
    </x:row>
    <x:row r="16" s="40" customFormat="1" ht="38" customHeight="1">
      <x:c r="A16" s="32" t="inlineStr">
        <x:is>
          <x:t xml:space="preserve">KPI-13</x:t>
        </x:is>
      </x:c>
      <x:c r="B16" s="32" t="inlineStr">
        <x:is>
          <x:t xml:space="preserve">Test Coverage of Changed Logic</x:t>
        </x:is>
      </x:c>
      <x:c r="C16" s="32" t="inlineStr">
        <x:is>
          <x:t xml:space="preserve">Changed core logic exercised by tests</x:t>
        </x:is>
      </x:c>
      <x:c r="D16" s="32" t="inlineStr">
        <x:is>
          <x:t xml:space="preserve">Quality</x:t>
        </x:is>
      </x:c>
      <x:c r="E16" s="32" t="inlineStr">
        <x:is>
          <x:t xml:space="preserve">MID</x:t>
        </x:is>
      </x:c>
      <x:c r="F16" s="32" t="inlineStr">
        <x:is>
          <x:t xml:space="preserve">Project-defined threshold</x:t>
        </x:is>
      </x:c>
      <x:c r="G16" s="32" t="str"/>
      <x:c r="H16" s="32" t="str"/>
    </x:row>
    <x:row r="17" s="40" customFormat="1" ht="38" customHeight="1">
      <x:c r="A17" s="32" t="inlineStr">
        <x:is>
          <x:t xml:space="preserve">KPI-14</x:t>
        </x:is>
      </x:c>
      <x:c r="B17" s="32" t="inlineStr">
        <x:is>
          <x:t xml:space="preserve">Security Release Blockers</x:t>
        </x:is>
      </x:c>
      <x:c r="C17" s="32" t="inlineStr">
        <x:is>
          <x:t xml:space="preserve">Critical/high findings reaching production</x:t>
        </x:is>
      </x:c>
      <x:c r="D17" s="32" t="inlineStr">
        <x:is>
          <x:t xml:space="preserve">Security</x:t>
        </x:is>
      </x:c>
      <x:c r="E17" s="32" t="inlineStr">
        <x:is>
          <x:t xml:space="preserve">MVP</x:t>
        </x:is>
      </x:c>
      <x:c r="F17" s="32" t="inlineStr">
        <x:is>
          <x:t xml:space="preserve">0 critical</x:t>
        </x:is>
      </x:c>
      <x:c r="G17" s="32" t="str"/>
      <x:c r="H17" s="32" t="str"/>
    </x:row>
    <x:row r="18" s="40" customFormat="1" ht="38" customHeight="1">
      <x:c r="A18" s="32" t="inlineStr">
        <x:is>
          <x:t xml:space="preserve">KPI-15</x:t>
        </x:is>
      </x:c>
      <x:c r="B18" s="32" t="inlineStr">
        <x:is>
          <x:t xml:space="preserve">Model Routing Savings</x:t>
        </x:is>
      </x:c>
      <x:c r="C18" s="32" t="inlineStr">
        <x:is>
          <x:t xml:space="preserve">Cost saved vs always using premium model</x:t>
        </x:is>
      </x:c>
      <x:c r="D18" s="32" t="inlineStr">
        <x:is>
          <x:t xml:space="preserve">Cost</x:t>
        </x:is>
      </x:c>
      <x:c r="E18" s="32" t="inlineStr">
        <x:is>
          <x:t xml:space="preserve">MID</x:t>
        </x:is>
      </x:c>
      <x:c r="F18" s="32" t="inlineStr">
        <x:is>
          <x:t xml:space="preserve">&gt;20%</x:t>
        </x:is>
      </x:c>
      <x:c r="G18" s="32" t="str"/>
      <x:c r="H18" s="32" t="str"/>
    </x:row>
    <x:row r="19" s="40" customFormat="1" ht="38" customHeight="1">
      <x:c r="A19" s="32" t="inlineStr">
        <x:is>
          <x:t xml:space="preserve">KPI-16</x:t>
        </x:is>
      </x:c>
      <x:c r="B19" s="32" t="inlineStr">
        <x:is>
          <x:t xml:space="preserve">Agent Retry Rate</x:t>
        </x:is>
      </x:c>
      <x:c r="C19" s="32" t="inlineStr">
        <x:is>
          <x:t xml:space="preserve">Average internal retries/task</x:t>
        </x:is>
      </x:c>
      <x:c r="D19" s="32" t="inlineStr">
        <x:is>
          <x:t xml:space="preserve">Quality/Cost</x:t>
        </x:is>
      </x:c>
      <x:c r="E19" s="32" t="inlineStr">
        <x:is>
          <x:t xml:space="preserve">MVP</x:t>
        </x:is>
      </x:c>
      <x:c r="F19" s="32" t="inlineStr">
        <x:is>
          <x:t xml:space="preserve">Trend down</x:t>
        </x:is>
      </x:c>
      <x:c r="G19" s="32" t="str"/>
      <x:c r="H19" s="32" t="str"/>
    </x:row>
    <x:row r="20" s="40" customFormat="1" ht="38" customHeight="1">
      <x:c r="A20" s="32" t="inlineStr">
        <x:is>
          <x:t xml:space="preserve">KPI-17</x:t>
        </x:is>
      </x:c>
      <x:c r="B20" s="32" t="inlineStr">
        <x:is>
          <x:t xml:space="preserve">Support Tickets per 100 Active Projects</x:t>
        </x:is>
      </x:c>
      <x:c r="C20" s="32" t="inlineStr">
        <x:is>
          <x:t xml:space="preserve">Operational friction</x:t>
        </x:is>
      </x:c>
      <x:c r="D20" s="32" t="inlineStr">
        <x:is>
          <x:t xml:space="preserve">Support</x:t>
        </x:is>
      </x:c>
      <x:c r="E20" s="32" t="inlineStr">
        <x:is>
          <x:t xml:space="preserve">MID</x:t>
        </x:is>
      </x:c>
      <x:c r="F20" s="32" t="inlineStr">
        <x:is>
          <x:t xml:space="preserve">Trend down</x:t>
        </x:is>
      </x:c>
      <x:c r="G20" s="32" t="str"/>
      <x:c r="H20" s="32" t="str"/>
    </x:row>
    <x:row r="21" s="40" customFormat="1" ht="38" customHeight="1">
      <x:c r="A21" s="32" t="inlineStr">
        <x:is>
          <x:t xml:space="preserve">KPI-18</x:t>
        </x:is>
      </x:c>
      <x:c r="B21" s="32" t="inlineStr">
        <x:is>
          <x:t xml:space="preserve">Gross Margin by Plan</x:t>
        </x:is>
      </x:c>
      <x:c r="C21" s="32" t="inlineStr">
        <x:is>
          <x:t xml:space="preserve">Revenue minus model/compute/support variable cost</x:t>
        </x:is>
      </x:c>
      <x:c r="D21" s="32" t="inlineStr">
        <x:is>
          <x:t xml:space="preserve">Business</x:t>
        </x:is>
      </x:c>
      <x:c r="E21" s="32" t="inlineStr">
        <x:is>
          <x:t xml:space="preserve">PRODUCTION</x:t>
        </x:is>
      </x:c>
      <x:c r="F21" s="32" t="inlineStr">
        <x:is>
          <x:t xml:space="preserve">Plan target</x:t>
        </x:is>
      </x:c>
      <x:c r="G21" s="32" t="str"/>
      <x:c r="H21" s="32" t="str"/>
    </x:row>
    <x:row r="22" s="40" customFormat="1" ht="38" customHeight="1">
      <x:c r="A22" s="32" t="inlineStr">
        <x:is>
          <x:t xml:space="preserve">KPI-19</x:t>
        </x:is>
      </x:c>
      <x:c r="B22" s="32" t="inlineStr">
        <x:is>
          <x:t xml:space="preserve">Time to First Working App</x:t>
        </x:is>
      </x:c>
      <x:c r="C22" s="32" t="inlineStr">
        <x:is>
          <x:t xml:space="preserve">Signup to working multi-target preview</x:t>
        </x:is>
      </x:c>
      <x:c r="D22" s="32" t="inlineStr">
        <x:is>
          <x:t xml:space="preserve">Growth</x:t>
        </x:is>
      </x:c>
      <x:c r="E22" s="32" t="inlineStr">
        <x:is>
          <x:t xml:space="preserve">MVP</x:t>
        </x:is>
      </x:c>
      <x:c r="F22" s="32" t="inlineStr">
        <x:is>
          <x:t xml:space="preserve">Track p50/p90</x:t>
        </x:is>
      </x:c>
      <x:c r="G22" s="32" t="str"/>
      <x:c r="H22" s="32" t="str"/>
    </x:row>
    <x:row r="23" s="40" customFormat="1" ht="38" customHeight="1">
      <x:c r="A23" s="32" t="inlineStr">
        <x:is>
          <x:t xml:space="preserve">KPI-20</x:t>
        </x:is>
      </x:c>
      <x:c r="B23" s="32" t="inlineStr">
        <x:is>
          <x:t xml:space="preserve">Existing Repo Task Success</x:t>
        </x:is>
      </x:c>
      <x:c r="C23" s="32" t="inlineStr">
        <x:is>
          <x:t xml:space="preserve">Accepted safe changes on imported codebases</x:t>
        </x:is>
      </x:c>
      <x:c r="D23" s="32" t="inlineStr">
        <x:is>
          <x:t xml:space="preserve">Quality</x:t>
        </x:is>
      </x:c>
      <x:c r="E23" s="32" t="inlineStr">
        <x:is>
          <x:t xml:space="preserve">ADVANCED</x:t>
        </x:is>
      </x:c>
      <x:c r="F23" s="32" t="inlineStr">
        <x:is>
          <x:t xml:space="preserve">&gt;=90%</x:t>
        </x:is>
      </x:c>
      <x:c r="G23" s="32" t="str"/>
      <x:c r="H23" s="32" t="str"/>
    </x:row>
  </x:sheetData>
  <x:mergeCells>
    <x:mergeCell ref="A2:H2"/>
    <x:mergeCell ref="A1:H1"/>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10" style="40" customWidth="1"/>
    <x:col min="2" max="2" width="32" style="40" customWidth="1"/>
    <x:col min="3" max="3" width="58" style="40" customWidth="1"/>
    <x:col min="4" max="4" width="62" style="40" customWidth="1"/>
    <x:col min="5" max="5" width="20" style="40" customWidth="1"/>
    <x:col min="6" max="6" width="14" style="40" customWidth="1"/>
    <x:col min="7" max="7" width="54" style="40" customWidth="1"/>
    <x:col min="8" max="8" width="16" style="40" customWidth="1"/>
  </x:cols>
  <x:sheetData>
    <x:row r="1" s="40" customFormat="1" ht="30" customHeight="1">
      <x:c r="A1" s="393" t="inlineStr">
        <x:is>
          <x:t xml:space="preserve">Competitor / Failure-Mode Risk Register</x:t>
        </x:is>
      </x:c>
      <x:c r="B1" s="375" t="n"/>
      <x:c r="C1" s="375" t="n"/>
      <x:c r="D1" s="375" t="n"/>
      <x:c r="E1" s="375" t="n"/>
      <x:c r="F1" s="375" t="n"/>
      <x:c r="G1" s="375" t="n"/>
      <x:c r="H1" s="375" t="n"/>
    </x:row>
    <x:row r="2" s="40" customFormat="1" ht="34" customHeight="1">
      <x:c r="A2" s="392" t="inlineStr">
        <x:is>
          <x:t xml:space="preserve">Competitor notes use public Emergent documentation where available. Internal design risks are included because they commonly affect autonomous coding systems.</x:t>
        </x:is>
      </x:c>
      <x:c r="B2" s="375" t="n"/>
      <x:c r="C2" s="375" t="n"/>
      <x:c r="D2" s="375" t="n"/>
      <x:c r="E2" s="375" t="n"/>
      <x:c r="F2" s="375" t="n"/>
      <x:c r="G2" s="375" t="n"/>
      <x:c r="H2" s="375" t="n"/>
    </x:row>
    <x:row r="3" s="40" customFormat="1" ht="28" customHeight="1">
      <x:c r="A3" s="20" t="inlineStr">
        <x:is>
          <x:t xml:space="preserve">ID</x:t>
        </x:is>
      </x:c>
      <x:c r="B3" s="20" t="inlineStr">
        <x:is>
          <x:t xml:space="preserve">Observed Risk / Limitation</x:t>
        </x:is>
      </x:c>
      <x:c r="C3" s="20" t="inlineStr">
        <x:is>
          <x:t xml:space="preserve">Evidence / Meaning</x:t>
        </x:is>
      </x:c>
      <x:c r="D3" s="20" t="inlineStr">
        <x:is>
          <x:t xml:space="preserve">Our Prevention / Advantage</x:t>
        </x:is>
      </x:c>
      <x:c r="E3" s="20" t="inlineStr">
        <x:is>
          <x:t xml:space="preserve">Impact</x:t>
        </x:is>
      </x:c>
      <x:c r="F3" s="20" t="inlineStr">
        <x:is>
          <x:t xml:space="preserve">Phase</x:t>
        </x:is>
      </x:c>
      <x:c r="G3" s="20" t="inlineStr">
        <x:is>
          <x:t xml:space="preserve">Source</x:t>
        </x:is>
      </x:c>
      <x:c r="H3" s="20" t="inlineStr">
        <x:is>
          <x:t xml:space="preserve">Status</x:t>
        </x:is>
      </x:c>
    </x:row>
    <x:row r="4" s="40" customFormat="1" ht="52" customHeight="1">
      <x:c r="A4" s="32" t="inlineStr">
        <x:is>
          <x:t xml:space="preserve">RK-01</x:t>
        </x:is>
      </x:c>
      <x:c r="B4" s="32" t="inlineStr">
        <x:is>
          <x:t xml:space="preserve">Fixed mobile stack</x:t>
        </x:is>
      </x:c>
      <x:c r="C4" s="32" t="inlineStr">
        <x:is>
          <x:t xml:space="preserve">Emergent documents Expo/React Native + FastAPI + MongoDB and no native Kotlin/Swift.</x:t>
        </x:is>
      </x:c>
      <x:c r="D4" s="32" t="inlineStr">
        <x:is>
          <x:t xml:space="preserve">Framework-neutral IR + Auto recommendation: Flutter/RN by default for cost/speed, Native when complexity justifies it.</x:t>
        </x:is>
      </x:c>
      <x:c r="E4" s="32" t="inlineStr">
        <x:is>
          <x:t xml:space="preserve">Product differentiation</x:t>
        </x:is>
      </x:c>
      <x:c r="F4" s="32" t="inlineStr">
        <x:is>
          <x:t xml:space="preserve">MVP</x:t>
        </x:is>
      </x:c>
      <x:c r="G4" s="32" t="inlineStr">
        <x:is>
          <x:t xml:space="preserve">https://help.emergent.sh/mobile-app-development</x:t>
        </x:is>
      </x:c>
      <x:c r="H4" s="32" t="inlineStr">
        <x:is>
          <x:t xml:space="preserve">Not Started</x:t>
        </x:is>
      </x:c>
    </x:row>
    <x:row r="5" s="40" customFormat="1" ht="52" customHeight="1">
      <x:c r="A5" s="32" t="inlineStr">
        <x:is>
          <x:t xml:space="preserve">RK-02</x:t>
        </x:is>
      </x:c>
      <x:c r="B5" s="32" t="inlineStr">
        <x:is>
          <x:t xml:space="preserve">Long-project context limits</x:t>
        </x:is>
      </x:c>
      <x:c r="C5" s="32" t="inlineStr">
        <x:is>
          <x:t xml:space="preserve">Emergent documents context limits/forking for complex long projects.</x:t>
        </x:is>
      </x:c>
      <x:c r="D5" s="32" t="inlineStr">
        <x:is>
          <x:t xml:space="preserve">IR + ADRs + symbol graph + summaries + semantic retrieval; chat is not source of truth.</x:t>
        </x:is>
      </x:c>
      <x:c r="E5" s="32" t="inlineStr">
        <x:is>
          <x:t xml:space="preserve">Reliability</x:t>
        </x:is>
      </x:c>
      <x:c r="F5" s="32" t="inlineStr">
        <x:is>
          <x:t xml:space="preserve">MVP</x:t>
        </x:is>
      </x:c>
      <x:c r="G5" s="32" t="inlineStr">
        <x:is>
          <x:t xml:space="preserve">https://help.emergent.sh/context-limits</x:t>
        </x:is>
      </x:c>
      <x:c r="H5" s="32" t="inlineStr">
        <x:is>
          <x:t xml:space="preserve">Not Started</x:t>
        </x:is>
      </x:c>
    </x:row>
    <x:row r="6" s="40" customFormat="1" ht="52" customHeight="1">
      <x:c r="A6" s="32" t="inlineStr">
        <x:is>
          <x:t xml:space="preserve">RK-03</x:t>
        </x:is>
      </x:c>
      <x:c r="B6" s="32" t="inlineStr">
        <x:is>
          <x:t xml:space="preserve">Destructive rollback</x:t>
        </x:is>
      </x:c>
      <x:c r="C6" s="32" t="inlineStr">
        <x:is>
          <x:t xml:space="preserve">Emergent rollback docs say later work is lost and rollback cannot be undone.</x:t>
        </x:is>
      </x:c>
      <x:c r="D6" s="32" t="inlineStr">
        <x:is>
          <x:t xml:space="preserve">Git branch per task + revert + cherry-pick + immutable checkpoints.</x:t>
        </x:is>
      </x:c>
      <x:c r="E6" s="32" t="inlineStr">
        <x:is>
          <x:t xml:space="preserve">Developer trust</x:t>
        </x:is>
      </x:c>
      <x:c r="F6" s="32" t="inlineStr">
        <x:is>
          <x:t xml:space="preserve">MVP</x:t>
        </x:is>
      </x:c>
      <x:c r="G6" s="32" t="inlineStr">
        <x:is>
          <x:t xml:space="preserve">https://help.emergent.sh/rollback-feature</x:t>
        </x:is>
      </x:c>
      <x:c r="H6" s="32" t="inlineStr">
        <x:is>
          <x:t xml:space="preserve">Not Started</x:t>
        </x:is>
      </x:c>
    </x:row>
    <x:row r="7" s="40" customFormat="1" ht="52" customHeight="1">
      <x:c r="A7" s="32" t="inlineStr">
        <x:is>
          <x:t xml:space="preserve">RK-04</x:t>
        </x:is>
      </x:c>
      <x:c r="B7" s="32" t="inlineStr">
        <x:is>
          <x:t xml:space="preserve">Credit waste during rebuild</x:t>
        </x:is>
      </x:c>
      <x:c r="C7" s="32" t="inlineStr">
        <x:is>
          <x:t xml:space="preserve">Emergent docs note rebuilding after rollback spends credits again.</x:t>
        </x:is>
      </x:c>
      <x:c r="D7" s="32" t="inlineStr">
        <x:is>
          <x:t xml:space="preserve">Bounded retries included in task price; do not bill internal failed attempts separately.</x:t>
        </x:is>
      </x:c>
      <x:c r="E7" s="32" t="inlineStr">
        <x:is>
          <x:t xml:space="preserve">Pricing trust</x:t>
        </x:is>
      </x:c>
      <x:c r="F7" s="32" t="inlineStr">
        <x:is>
          <x:t xml:space="preserve">MVP</x:t>
        </x:is>
      </x:c>
      <x:c r="G7" s="32" t="inlineStr">
        <x:is>
          <x:t xml:space="preserve">https://help.emergent.sh/rollback-feature</x:t>
        </x:is>
      </x:c>
      <x:c r="H7" s="32" t="inlineStr">
        <x:is>
          <x:t xml:space="preserve">Not Started</x:t>
        </x:is>
      </x:c>
    </x:row>
    <x:row r="8" s="40" customFormat="1" ht="52" customHeight="1">
      <x:c r="A8" s="32" t="inlineStr">
        <x:is>
          <x:t xml:space="preserve">RK-05</x:t>
        </x:is>
      </x:c>
      <x:c r="B8" s="32" t="inlineStr">
        <x:is>
          <x:t xml:space="preserve">Preview/production differences</x:t>
        </x:is>
      </x:c>
      <x:c r="C8" s="32" t="inlineStr">
        <x:is>
          <x:t xml:space="preserve">Emergent docs describe separate preview/deployed DB and production resource constraints.</x:t>
        </x:is>
      </x:c>
      <x:c r="D8" s="32" t="inlineStr">
        <x:is>
          <x:t xml:space="preserve">Environment parity contracts, same artifact promoted, staging load/performance checks.</x:t>
        </x:is>
      </x:c>
      <x:c r="E8" s="32" t="inlineStr">
        <x:is>
          <x:t xml:space="preserve">Deployment reliability</x:t>
        </x:is>
      </x:c>
      <x:c r="F8" s="32" t="inlineStr">
        <x:is>
          <x:t xml:space="preserve">MID</x:t>
        </x:is>
      </x:c>
      <x:c r="G8" s="32" t="inlineStr">
        <x:is>
          <x:t xml:space="preserve">https://help.emergent.sh/platform-documentation</x:t>
        </x:is>
      </x:c>
      <x:c r="H8" s="32" t="inlineStr">
        <x:is>
          <x:t xml:space="preserve">Not Started</x:t>
        </x:is>
      </x:c>
    </x:row>
    <x:row r="9" s="40" customFormat="1" ht="52" customHeight="1">
      <x:c r="A9" s="32" t="inlineStr">
        <x:is>
          <x:t xml:space="preserve">RK-06</x:t>
        </x:is>
      </x:c>
      <x:c r="B9" s="32" t="inlineStr">
        <x:is>
          <x:t xml:space="preserve">Deployment resource issues</x:t>
        </x:is>
      </x:c>
      <x:c r="C9" s="32" t="inlineStr">
        <x:is>
          <x:t xml:space="preserve">Emergent docs mention heavy libraries/resource limits and shared resources.</x:t>
        </x:is>
      </x:c>
      <x:c r="D9" s="32" t="inlineStr">
        <x:is>
          <x:t xml:space="preserve">Per-project resource budgets, static size checks, limits surfaced before deployment.</x:t>
        </x:is>
      </x:c>
      <x:c r="E9" s="32" t="inlineStr">
        <x:is>
          <x:t xml:space="preserve">Scale</x:t>
        </x:is>
      </x:c>
      <x:c r="F9" s="32" t="inlineStr">
        <x:is>
          <x:t xml:space="preserve">MID</x:t>
        </x:is>
      </x:c>
      <x:c r="G9" s="32" t="inlineStr">
        <x:is>
          <x:t xml:space="preserve">https://help.emergent.sh/deployment-information</x:t>
        </x:is>
      </x:c>
      <x:c r="H9" s="32" t="inlineStr">
        <x:is>
          <x:t xml:space="preserve">Not Started</x:t>
        </x:is>
      </x:c>
    </x:row>
    <x:row r="10" s="40" customFormat="1" ht="52" customHeight="1">
      <x:c r="A10" s="32" t="inlineStr">
        <x:is>
          <x:t xml:space="preserve">RK-07</x:t>
        </x:is>
      </x:c>
      <x:c r="B10" s="32" t="inlineStr">
        <x:is>
          <x:t xml:space="preserve">External mobile build steps</x:t>
        </x:is>
      </x:c>
      <x:c r="C10" s="32" t="inlineStr">
        <x:is>
          <x:t xml:space="preserve">Emergent mobile docs rely on Expo EAS workflow for store binaries.</x:t>
        </x:is>
      </x:c>
      <x:c r="D10" s="32" t="inlineStr">
        <x:is>
          <x:t xml:space="preserve">Integrated Linux Android + Mac iOS build service; optional local Mac agent.</x:t>
        </x:is>
      </x:c>
      <x:c r="E10" s="32" t="inlineStr">
        <x:is>
          <x:t xml:space="preserve">Developer experience</x:t>
        </x:is>
      </x:c>
      <x:c r="F10" s="32" t="inlineStr">
        <x:is>
          <x:t xml:space="preserve">MID</x:t>
        </x:is>
      </x:c>
      <x:c r="G10" s="32" t="inlineStr">
        <x:is>
          <x:t xml:space="preserve">https://help.emergent.sh/mobile-app-development</x:t>
        </x:is>
      </x:c>
      <x:c r="H10" s="32" t="inlineStr">
        <x:is>
          <x:t xml:space="preserve">Not Started</x:t>
        </x:is>
      </x:c>
    </x:row>
    <x:row r="11" s="40" customFormat="1" ht="52" customHeight="1">
      <x:c r="A11" s="32" t="inlineStr">
        <x:is>
          <x:t xml:space="preserve">RK-08</x:t>
        </x:is>
      </x:c>
      <x:c r="B11" s="32" t="inlineStr">
        <x:is>
          <x:t xml:space="preserve">Default DB rigidity</x:t>
        </x:is>
      </x:c>
      <x:c r="C11" s="32" t="inlineStr">
        <x:is>
          <x:t xml:space="preserve">Emergent docs commonly use MongoDB default/fixed mobile stack.</x:t>
        </x:is>
      </x:c>
      <x:c r="D11" s="32" t="inlineStr">
        <x:is>
          <x:t xml:space="preserve">PostgreSQL default with selectable DB connectors and explicit migration contracts.</x:t>
        </x:is>
      </x:c>
      <x:c r="E11" s="32" t="inlineStr">
        <x:is>
          <x:t xml:space="preserve">Architecture flexibility</x:t>
        </x:is>
      </x:c>
      <x:c r="F11" s="32" t="inlineStr">
        <x:is>
          <x:t xml:space="preserve">MID</x:t>
        </x:is>
      </x:c>
      <x:c r="G11" s="32" t="inlineStr">
        <x:is>
          <x:t xml:space="preserve">https://help.emergent.sh/faqs</x:t>
        </x:is>
      </x:c>
      <x:c r="H11" s="32" t="inlineStr">
        <x:is>
          <x:t xml:space="preserve">Not Started</x:t>
        </x:is>
      </x:c>
    </x:row>
    <x:row r="12" s="40" customFormat="1" ht="52" customHeight="1">
      <x:c r="A12" s="32" t="inlineStr">
        <x:is>
          <x:t xml:space="preserve">RK-09</x:t>
        </x:is>
      </x:c>
      <x:c r="B12" s="32" t="inlineStr">
        <x:is>
          <x:t xml:space="preserve">Agent drift / unrelated changes</x:t>
        </x:is>
      </x:c>
      <x:c r="C12" s="32" t="inlineStr">
        <x:is>
          <x:t xml:space="preserve">General risk in autonomous coding systems.</x:t>
        </x:is>
      </x:c>
      <x:c r="D12" s="32" t="inlineStr">
        <x:is>
          <x:t xml:space="preserve">Change Impact Engine + blast-radius policy + AST patches + independent review.</x:t>
        </x:is>
      </x:c>
      <x:c r="E12" s="32" t="inlineStr">
        <x:is>
          <x:t xml:space="preserve">Core moat</x:t>
        </x:is>
      </x:c>
      <x:c r="F12" s="32" t="inlineStr">
        <x:is>
          <x:t xml:space="preserve">MVP</x:t>
        </x:is>
      </x:c>
      <x:c r="G12" s="32" t="inlineStr">
        <x:is>
          <x:t xml:space="preserve">Internal design principle</x:t>
        </x:is>
      </x:c>
      <x:c r="H12" s="32" t="inlineStr">
        <x:is>
          <x:t xml:space="preserve">Not Started</x:t>
        </x:is>
      </x:c>
    </x:row>
    <x:row r="13" s="40" customFormat="1" ht="52" customHeight="1">
      <x:c r="A13" s="32" t="inlineStr">
        <x:is>
          <x:t xml:space="preserve">RK-10</x:t>
        </x:is>
      </x:c>
      <x:c r="B13" s="32" t="inlineStr">
        <x:is>
          <x:t xml:space="preserve">Runaway agent loops</x:t>
        </x:is>
      </x:c>
      <x:c r="C13" s="32" t="inlineStr">
        <x:is>
          <x:t xml:space="preserve">General risk in autonomous agents.</x:t>
        </x:is>
      </x:c>
      <x:c r="D13" s="32" t="inlineStr">
        <x:is>
          <x:t xml:space="preserve">Hard token/tool/time/retry budgets and recovery stop conditions.</x:t>
        </x:is>
      </x:c>
      <x:c r="E13" s="32" t="inlineStr">
        <x:is>
          <x:t xml:space="preserve">Cost/reliability</x:t>
        </x:is>
      </x:c>
      <x:c r="F13" s="32" t="inlineStr">
        <x:is>
          <x:t xml:space="preserve">MVP</x:t>
        </x:is>
      </x:c>
      <x:c r="G13" s="32" t="inlineStr">
        <x:is>
          <x:t xml:space="preserve">Internal design principle</x:t>
        </x:is>
      </x:c>
      <x:c r="H13" s="32" t="inlineStr">
        <x:is>
          <x:t xml:space="preserve">Not Started</x:t>
        </x:is>
      </x:c>
    </x:row>
    <x:row r="14" s="40" customFormat="1" ht="52" customHeight="1">
      <x:c r="A14" s="32" t="inlineStr">
        <x:is>
          <x:t xml:space="preserve">RK-11</x:t>
        </x:is>
      </x:c>
      <x:c r="B14" s="32" t="inlineStr">
        <x:is>
          <x:t xml:space="preserve">Secrets exposed to code/LLM</x:t>
        </x:is>
      </x:c>
      <x:c r="C14" s="32" t="inlineStr">
        <x:is>
          <x:t xml:space="preserve">General AI coding risk.</x:t>
        </x:is>
      </x:c>
      <x:c r="D14" s="32" t="inlineStr">
        <x:is>
          <x:t xml:space="preserve">Secret broker, redaction, least privilege, no raw secret in prompt/log.</x:t>
        </x:is>
      </x:c>
      <x:c r="E14" s="32" t="inlineStr">
        <x:is>
          <x:t xml:space="preserve">Security</x:t>
        </x:is>
      </x:c>
      <x:c r="F14" s="32" t="inlineStr">
        <x:is>
          <x:t xml:space="preserve">MVP</x:t>
        </x:is>
      </x:c>
      <x:c r="G14" s="32" t="inlineStr">
        <x:is>
          <x:t xml:space="preserve">Internal design principle</x:t>
        </x:is>
      </x:c>
      <x:c r="H14" s="32" t="inlineStr">
        <x:is>
          <x:t xml:space="preserve">Not Started</x:t>
        </x:is>
      </x:c>
    </x:row>
    <x:row r="15" s="40" customFormat="1" ht="52" customHeight="1">
      <x:c r="A15" s="32" t="inlineStr">
        <x:is>
          <x:t xml:space="preserve">RK-12</x:t>
        </x:is>
      </x:c>
      <x:c r="B15" s="32" t="inlineStr">
        <x:is>
          <x:t xml:space="preserve">Generated code looks good but does not compile</x:t>
        </x:is>
      </x:c>
      <x:c r="C15" s="32" t="inlineStr">
        <x:is>
          <x:t xml:space="preserve">General AI coding risk.</x:t>
        </x:is>
      </x:c>
      <x:c r="D15" s="32" t="inlineStr">
        <x:is>
          <x:t xml:space="preserve">Affected-target compile gate before accepting a task.</x:t>
        </x:is>
      </x:c>
      <x:c r="E15" s="32" t="inlineStr">
        <x:is>
          <x:t xml:space="preserve">Quality</x:t>
        </x:is>
      </x:c>
      <x:c r="F15" s="32" t="inlineStr">
        <x:is>
          <x:t xml:space="preserve">MVP</x:t>
        </x:is>
      </x:c>
      <x:c r="G15" s="32" t="inlineStr">
        <x:is>
          <x:t xml:space="preserve">Internal design principle</x:t>
        </x:is>
      </x:c>
      <x:c r="H15" s="32" t="inlineStr">
        <x:is>
          <x:t xml:space="preserve">Not Started</x:t>
        </x:is>
      </x:c>
    </x:row>
    <x:row r="16" s="40" customFormat="1" ht="52" customHeight="1">
      <x:c r="A16" s="32" t="inlineStr">
        <x:is>
          <x:t xml:space="preserve">RK-13</x:t>
        </x:is>
      </x:c>
      <x:c r="B16" s="32" t="inlineStr">
        <x:is>
          <x:t xml:space="preserve">Cross-platform behavior divergence</x:t>
        </x:is>
      </x:c>
      <x:c r="C16" s="32" t="inlineStr">
        <x:is>
          <x:t xml:space="preserve">Multiple targets/frameworks can drift or duplicate logic.</x:t>
        </x:is>
      </x:c>
      <x:c r="D16" s="32" t="inlineStr">
        <x:is>
          <x:t xml:space="preserve">Share contracts/tokens/domain rules, activate only selected framework adapters, run cross-target consistency checks and preserve one IR.</x:t>
        </x:is>
      </x:c>
      <x:c r="E16" s="32" t="inlineStr">
        <x:is>
          <x:t xml:space="preserve">Quality</x:t>
        </x:is>
      </x:c>
      <x:c r="F16" s="32" t="inlineStr">
        <x:is>
          <x:t xml:space="preserve">MID</x:t>
        </x:is>
      </x:c>
      <x:c r="G16" s="32" t="inlineStr">
        <x:is>
          <x:t xml:space="preserve">Internal design principle</x:t>
        </x:is>
      </x:c>
      <x:c r="H16" s="32" t="inlineStr">
        <x:is>
          <x:t xml:space="preserve">Not Started</x:t>
        </x:is>
      </x:c>
    </x:row>
    <x:row r="17" s="40" customFormat="1" ht="52" customHeight="1">
      <x:c r="A17" s="32" t="inlineStr">
        <x:is>
          <x:t xml:space="preserve">RK-14</x:t>
        </x:is>
      </x:c>
      <x:c r="B17" s="32" t="inlineStr">
        <x:is>
          <x:t xml:space="preserve">Mac compute becomes expensive</x:t>
        </x:is>
      </x:c>
      <x:c r="C17" s="32" t="inlineStr">
        <x:is>
          <x:t xml:space="preserve">Real iOS build/simulator requires macOS compute.</x:t>
        </x:is>
      </x:c>
      <x:c r="D17" s="32" t="inlineStr">
        <x:is>
          <x:t xml:space="preserve">Browser preview default, cached compile validation, metered native sessions, local Mac option.</x:t>
        </x:is>
      </x:c>
      <x:c r="E17" s="32" t="inlineStr">
        <x:is>
          <x:t xml:space="preserve">Unit economics</x:t>
        </x:is>
      </x:c>
      <x:c r="F17" s="32" t="inlineStr">
        <x:is>
          <x:t xml:space="preserve">MVP/MID</x:t>
        </x:is>
      </x:c>
      <x:c r="G17" s="32" t="inlineStr">
        <x:is>
          <x:t xml:space="preserve">Internal design principle</x:t>
        </x:is>
      </x:c>
      <x:c r="H17" s="32" t="inlineStr">
        <x:is>
          <x:t xml:space="preserve">Not Started</x:t>
        </x:is>
      </x:c>
    </x:row>
  </x:sheetData>
  <x:mergeCells>
    <x:mergeCell ref="A2:H2"/>
    <x:mergeCell ref="A1:H1"/>
  </x:mergeCells>
  <x:conditionalFormatting sqref="H4:H17">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7">
      <x:formula1>"Not Started,In Progress,Blocked,Done,Deferred"</x:formula1>
    </x:dataValidation>
  </x:dataValidations>
  <x:pageMargins left="0.7" right="0.7" top="0.75" bottom="0.75" header="0.3" footer="0.3"/>
</x:worksheet>
</file>

<file path=xl/worksheets/sheet14.xml><?xml version="1.0" encoding="utf-8"?>
<x:worksheet xmlns:x="http://schemas.openxmlformats.org/spreadsheetml/2006/main">
  <x:sheetFormatPr baseColWidth="8" defaultRowHeight="15"/>
  <x:cols>
    <x:col min="1" max="1" width="10" style="40" customWidth="1"/>
    <x:col min="2" max="2" width="22" style="40" customWidth="1"/>
    <x:col min="3" max="3" width="64" style="40" customWidth="1"/>
    <x:col min="4" max="4" width="14" style="40" customWidth="1"/>
    <x:col min="5" max="5" width="14" style="40" customWidth="1"/>
    <x:col min="6" max="6" width="16" style="40" customWidth="1"/>
    <x:col min="7" max="7" width="44" style="40" customWidth="1"/>
  </x:cols>
  <x:sheetData>
    <x:row r="1" s="40" customFormat="1" ht="30" customHeight="1">
      <x:c r="A1" s="393" t="inlineStr">
        <x:is>
          <x:t xml:space="preserve">Production Readiness Gates</x:t>
        </x:is>
      </x:c>
      <x:c r="B1" s="375" t="n"/>
      <x:c r="C1" s="375" t="n"/>
      <x:c r="D1" s="375" t="n"/>
      <x:c r="E1" s="375" t="n"/>
      <x:c r="F1" s="375" t="n"/>
      <x:c r="G1" s="375" t="n"/>
    </x:row>
    <x:row r="2" s="40" customFormat="1" ht="34" customHeight="1">
      <x:c r="A2" s="392" t="inlineStr">
        <x:is>
          <x:t xml:space="preserve">Do not call the platform production-ready until every Blocking gate has evidence and is Done.</x:t>
        </x:is>
      </x:c>
      <x:c r="B2" s="375" t="n"/>
      <x:c r="C2" s="375" t="n"/>
      <x:c r="D2" s="375" t="n"/>
      <x:c r="E2" s="375" t="n"/>
      <x:c r="F2" s="375" t="n"/>
      <x:c r="G2" s="375" t="n"/>
    </x:row>
    <x:row r="3" s="40" customFormat="1" ht="28" customHeight="1">
      <x:c r="A3" s="20" t="inlineStr">
        <x:is>
          <x:t xml:space="preserve">ID</x:t>
        </x:is>
      </x:c>
      <x:c r="B3" s="20" t="inlineStr">
        <x:is>
          <x:t xml:space="preserve">Category</x:t>
        </x:is>
      </x:c>
      <x:c r="C3" s="20" t="inlineStr">
        <x:is>
          <x:t xml:space="preserve">Gate</x:t>
        </x:is>
      </x:c>
      <x:c r="D3" s="20" t="inlineStr">
        <x:is>
          <x:t xml:space="preserve">Phase</x:t>
        </x:is>
      </x:c>
      <x:c r="E3" s="20" t="inlineStr">
        <x:is>
          <x:t xml:space="preserve">Severity</x:t>
        </x:is>
      </x:c>
      <x:c r="F3" s="20" t="inlineStr">
        <x:is>
          <x:t xml:space="preserve">Status</x:t>
        </x:is>
      </x:c>
      <x:c r="G3" s="20" t="inlineStr">
        <x:is>
          <x:t xml:space="preserve">Evidence / Link</x:t>
        </x:is>
      </x:c>
    </x:row>
    <x:row r="4" s="40" customFormat="1" ht="38" customHeight="1">
      <x:c r="A4" s="32" t="inlineStr">
        <x:is>
          <x:t xml:space="preserve">PG-01</x:t>
        </x:is>
      </x:c>
      <x:c r="B4" s="32" t="inlineStr">
        <x:is>
          <x:t xml:space="preserve">Architecture</x:t>
        </x:is>
      </x:c>
      <x:c r="C4" s="32" t="inlineStr">
        <x:is>
          <x:t xml:space="preserve">All P0 MVP architecture requirements complete</x:t>
        </x:is>
      </x:c>
      <x:c r="D4" s="32" t="inlineStr">
        <x:is>
          <x:t xml:space="preserve">PRODUCTION</x:t>
        </x:is>
      </x:c>
      <x:c r="E4" s="32" t="inlineStr">
        <x:is>
          <x:t xml:space="preserve">Blocking</x:t>
        </x:is>
      </x:c>
      <x:c r="F4" s="32" t="inlineStr">
        <x:is>
          <x:t xml:space="preserve">Not Started</x:t>
        </x:is>
      </x:c>
      <x:c r="G4" s="32" t="str"/>
    </x:row>
    <x:row r="5" s="40" customFormat="1" ht="38" customHeight="1">
      <x:c r="A5" s="32" t="inlineStr">
        <x:is>
          <x:t xml:space="preserve">PG-02</x:t>
        </x:is>
      </x:c>
      <x:c r="B5" s="32" t="inlineStr">
        <x:is>
          <x:t xml:space="preserve">Quality</x:t>
        </x:is>
      </x:c>
      <x:c r="C5" s="32" t="inlineStr">
        <x:is>
          <x:t xml:space="preserve">Critical flows have automated E2E and regression tests</x:t>
        </x:is>
      </x:c>
      <x:c r="D5" s="32" t="inlineStr">
        <x:is>
          <x:t xml:space="preserve">PRODUCTION</x:t>
        </x:is>
      </x:c>
      <x:c r="E5" s="32" t="inlineStr">
        <x:is>
          <x:t xml:space="preserve">Blocking</x:t>
        </x:is>
      </x:c>
      <x:c r="F5" s="32" t="inlineStr">
        <x:is>
          <x:t xml:space="preserve">Not Started</x:t>
        </x:is>
      </x:c>
      <x:c r="G5" s="32" t="str"/>
    </x:row>
    <x:row r="6" s="40" customFormat="1" ht="38" customHeight="1">
      <x:c r="A6" s="32" t="inlineStr">
        <x:is>
          <x:t xml:space="preserve">PG-03</x:t>
        </x:is>
      </x:c>
      <x:c r="B6" s="32" t="inlineStr">
        <x:is>
          <x:t xml:space="preserve">Quality</x:t>
        </x:is>
      </x:c>
      <x:c r="C6" s="32" t="inlineStr">
        <x:is>
          <x:t xml:space="preserve">Release qualification suite passes across supported target versions</x:t>
        </x:is>
      </x:c>
      <x:c r="D6" s="32" t="inlineStr">
        <x:is>
          <x:t xml:space="preserve">PRODUCTION</x:t>
        </x:is>
      </x:c>
      <x:c r="E6" s="32" t="inlineStr">
        <x:is>
          <x:t xml:space="preserve">Blocking</x:t>
        </x:is>
      </x:c>
      <x:c r="F6" s="32" t="inlineStr">
        <x:is>
          <x:t xml:space="preserve">Not Started</x:t>
        </x:is>
      </x:c>
      <x:c r="G6" s="32" t="str"/>
    </x:row>
    <x:row r="7" s="40" customFormat="1" ht="38" customHeight="1">
      <x:c r="A7" s="32" t="inlineStr">
        <x:is>
          <x:t xml:space="preserve">PG-04</x:t>
        </x:is>
      </x:c>
      <x:c r="B7" s="32" t="inlineStr">
        <x:is>
          <x:t xml:space="preserve">Security</x:t>
        </x:is>
      </x:c>
      <x:c r="C7" s="32" t="inlineStr">
        <x:is>
          <x:t xml:space="preserve">No unresolved critical/high release-blocking security findings</x:t>
        </x:is>
      </x:c>
      <x:c r="D7" s="32" t="inlineStr">
        <x:is>
          <x:t xml:space="preserve">PRODUCTION</x:t>
        </x:is>
      </x:c>
      <x:c r="E7" s="32" t="inlineStr">
        <x:is>
          <x:t xml:space="preserve">Blocking</x:t>
        </x:is>
      </x:c>
      <x:c r="F7" s="32" t="inlineStr">
        <x:is>
          <x:t xml:space="preserve">Not Started</x:t>
        </x:is>
      </x:c>
      <x:c r="G7" s="32" t="str"/>
    </x:row>
    <x:row r="8" s="40" customFormat="1" ht="38" customHeight="1">
      <x:c r="A8" s="32" t="inlineStr">
        <x:is>
          <x:t xml:space="preserve">PG-05</x:t>
        </x:is>
      </x:c>
      <x:c r="B8" s="32" t="inlineStr">
        <x:is>
          <x:t xml:space="preserve">Security</x:t>
        </x:is>
      </x:c>
      <x:c r="C8" s="32" t="inlineStr">
        <x:is>
          <x:t xml:space="preserve">Tenant isolation test suite passes</x:t>
        </x:is>
      </x:c>
      <x:c r="D8" s="32" t="inlineStr">
        <x:is>
          <x:t xml:space="preserve">PRODUCTION</x:t>
        </x:is>
      </x:c>
      <x:c r="E8" s="32" t="inlineStr">
        <x:is>
          <x:t xml:space="preserve">Blocking</x:t>
        </x:is>
      </x:c>
      <x:c r="F8" s="32" t="inlineStr">
        <x:is>
          <x:t xml:space="preserve">Not Started</x:t>
        </x:is>
      </x:c>
      <x:c r="G8" s="32" t="str"/>
    </x:row>
    <x:row r="9" s="40" customFormat="1" ht="38" customHeight="1">
      <x:c r="A9" s="32" t="inlineStr">
        <x:is>
          <x:t xml:space="preserve">PG-06</x:t>
        </x:is>
      </x:c>
      <x:c r="B9" s="32" t="inlineStr">
        <x:is>
          <x:t xml:space="preserve">Security</x:t>
        </x:is>
      </x:c>
      <x:c r="C9" s="32" t="inlineStr">
        <x:is>
          <x:t xml:space="preserve">External penetration test completed and critical items fixed</x:t>
        </x:is>
      </x:c>
      <x:c r="D9" s="32" t="inlineStr">
        <x:is>
          <x:t xml:space="preserve">PRODUCTION</x:t>
        </x:is>
      </x:c>
      <x:c r="E9" s="32" t="inlineStr">
        <x:is>
          <x:t xml:space="preserve">Blocking</x:t>
        </x:is>
      </x:c>
      <x:c r="F9" s="32" t="inlineStr">
        <x:is>
          <x:t xml:space="preserve">Not Started</x:t>
        </x:is>
      </x:c>
      <x:c r="G9" s="32" t="str"/>
    </x:row>
    <x:row r="10" s="40" customFormat="1" ht="38" customHeight="1">
      <x:c r="A10" s="32" t="inlineStr">
        <x:is>
          <x:t xml:space="preserve">PG-07</x:t>
        </x:is>
      </x:c>
      <x:c r="B10" s="32" t="inlineStr">
        <x:is>
          <x:t xml:space="preserve">Operations</x:t>
        </x:is>
      </x:c>
      <x:c r="C10" s="32" t="inlineStr">
        <x:is>
          <x:t xml:space="preserve">On-call, incident runbooks, status communication and postmortem process active</x:t>
        </x:is>
      </x:c>
      <x:c r="D10" s="32" t="inlineStr">
        <x:is>
          <x:t xml:space="preserve">PRODUCTION</x:t>
        </x:is>
      </x:c>
      <x:c r="E10" s="32" t="inlineStr">
        <x:is>
          <x:t xml:space="preserve">Blocking</x:t>
        </x:is>
      </x:c>
      <x:c r="F10" s="32" t="inlineStr">
        <x:is>
          <x:t xml:space="preserve">Not Started</x:t>
        </x:is>
      </x:c>
      <x:c r="G10" s="32" t="str"/>
    </x:row>
    <x:row r="11" s="40" customFormat="1" ht="38" customHeight="1">
      <x:c r="A11" s="32" t="inlineStr">
        <x:is>
          <x:t xml:space="preserve">PG-08</x:t>
        </x:is>
      </x:c>
      <x:c r="B11" s="32" t="inlineStr">
        <x:is>
          <x:t xml:space="preserve">Reliability</x:t>
        </x:is>
      </x:c>
      <x:c r="C11" s="32" t="inlineStr">
        <x:is>
          <x:t xml:space="preserve">Backup restore drill completed successfully</x:t>
        </x:is>
      </x:c>
      <x:c r="D11" s="32" t="inlineStr">
        <x:is>
          <x:t xml:space="preserve">PRODUCTION</x:t>
        </x:is>
      </x:c>
      <x:c r="E11" s="32" t="inlineStr">
        <x:is>
          <x:t xml:space="preserve">Blocking</x:t>
        </x:is>
      </x:c>
      <x:c r="F11" s="32" t="inlineStr">
        <x:is>
          <x:t xml:space="preserve">Not Started</x:t>
        </x:is>
      </x:c>
      <x:c r="G11" s="32" t="str"/>
    </x:row>
    <x:row r="12" s="40" customFormat="1" ht="38" customHeight="1">
      <x:c r="A12" s="32" t="inlineStr">
        <x:is>
          <x:t xml:space="preserve">PG-09</x:t>
        </x:is>
      </x:c>
      <x:c r="B12" s="32" t="inlineStr">
        <x:is>
          <x:t xml:space="preserve">Reliability</x:t>
        </x:is>
      </x:c>
      <x:c r="C12" s="32" t="inlineStr">
        <x:is>
          <x:t xml:space="preserve">Load test demonstrates target concurrent tasks/builds/previews</x:t>
        </x:is>
      </x:c>
      <x:c r="D12" s="32" t="inlineStr">
        <x:is>
          <x:t xml:space="preserve">PRODUCTION</x:t>
        </x:is>
      </x:c>
      <x:c r="E12" s="32" t="inlineStr">
        <x:is>
          <x:t xml:space="preserve">Blocking</x:t>
        </x:is>
      </x:c>
      <x:c r="F12" s="32" t="inlineStr">
        <x:is>
          <x:t xml:space="preserve">Not Started</x:t>
        </x:is>
      </x:c>
      <x:c r="G12" s="32" t="str"/>
    </x:row>
    <x:row r="13" s="40" customFormat="1" ht="38" customHeight="1">
      <x:c r="A13" s="32" t="inlineStr">
        <x:is>
          <x:t xml:space="preserve">PG-10</x:t>
        </x:is>
      </x:c>
      <x:c r="B13" s="32" t="inlineStr">
        <x:is>
          <x:t xml:space="preserve">Reliability</x:t>
        </x:is>
      </x:c>
      <x:c r="C13" s="32" t="inlineStr">
        <x:is>
          <x:t xml:space="preserve">Defined SLOs and alerting are live</x:t>
        </x:is>
      </x:c>
      <x:c r="D13" s="32" t="inlineStr">
        <x:is>
          <x:t xml:space="preserve">PRODUCTION</x:t>
        </x:is>
      </x:c>
      <x:c r="E13" s="32" t="inlineStr">
        <x:is>
          <x:t xml:space="preserve">Blocking</x:t>
        </x:is>
      </x:c>
      <x:c r="F13" s="32" t="inlineStr">
        <x:is>
          <x:t xml:space="preserve">Not Started</x:t>
        </x:is>
      </x:c>
      <x:c r="G13" s="32" t="str"/>
    </x:row>
    <x:row r="14" s="40" customFormat="1" ht="38" customHeight="1">
      <x:c r="A14" s="32" t="inlineStr">
        <x:is>
          <x:t xml:space="preserve">PG-11</x:t>
        </x:is>
      </x:c>
      <x:c r="B14" s="32" t="inlineStr">
        <x:is>
          <x:t xml:space="preserve">Deployment</x:t>
        </x:is>
      </x:c>
      <x:c r="C14" s="32" t="inlineStr">
        <x:is>
          <x:t xml:space="preserve">Canary/rollback platform release process proven</x:t>
        </x:is>
      </x:c>
      <x:c r="D14" s="32" t="inlineStr">
        <x:is>
          <x:t xml:space="preserve">PRODUCTION</x:t>
        </x:is>
      </x:c>
      <x:c r="E14" s="32" t="inlineStr">
        <x:is>
          <x:t xml:space="preserve">Blocking</x:t>
        </x:is>
      </x:c>
      <x:c r="F14" s="32" t="inlineStr">
        <x:is>
          <x:t xml:space="preserve">Not Started</x:t>
        </x:is>
      </x:c>
      <x:c r="G14" s="32" t="str"/>
    </x:row>
    <x:row r="15" s="40" customFormat="1" ht="38" customHeight="1">
      <x:c r="A15" s="32" t="inlineStr">
        <x:is>
          <x:t xml:space="preserve">PG-12</x:t>
        </x:is>
      </x:c>
      <x:c r="B15" s="32" t="inlineStr">
        <x:is>
          <x:t xml:space="preserve">Billing</x:t>
        </x:is>
      </x:c>
      <x:c r="C15" s="32" t="inlineStr">
        <x:is>
          <x:t xml:space="preserve">Usage ledger reconciles provider/compute invoices within tolerance</x:t>
        </x:is>
      </x:c>
      <x:c r="D15" s="32" t="inlineStr">
        <x:is>
          <x:t xml:space="preserve">PRODUCTION</x:t>
        </x:is>
      </x:c>
      <x:c r="E15" s="32" t="inlineStr">
        <x:is>
          <x:t xml:space="preserve">Blocking</x:t>
        </x:is>
      </x:c>
      <x:c r="F15" s="32" t="inlineStr">
        <x:is>
          <x:t xml:space="preserve">Not Started</x:t>
        </x:is>
      </x:c>
      <x:c r="G15" s="32" t="str"/>
    </x:row>
    <x:row r="16" s="40" customFormat="1" ht="38" customHeight="1">
      <x:c r="A16" s="32" t="inlineStr">
        <x:is>
          <x:t xml:space="preserve">PG-13</x:t>
        </x:is>
      </x:c>
      <x:c r="B16" s="32" t="inlineStr">
        <x:is>
          <x:t xml:space="preserve">Cost</x:t>
        </x:is>
      </x:c>
      <x:c r="C16" s="32" t="inlineStr">
        <x:is>
          <x:t xml:space="preserve">Spending caps and anomaly kill switches tested</x:t>
        </x:is>
      </x:c>
      <x:c r="D16" s="32" t="inlineStr">
        <x:is>
          <x:t xml:space="preserve">PRODUCTION</x:t>
        </x:is>
      </x:c>
      <x:c r="E16" s="32" t="inlineStr">
        <x:is>
          <x:t xml:space="preserve">Blocking</x:t>
        </x:is>
      </x:c>
      <x:c r="F16" s="32" t="inlineStr">
        <x:is>
          <x:t xml:space="preserve">Not Started</x:t>
        </x:is>
      </x:c>
      <x:c r="G16" s="32" t="str"/>
    </x:row>
    <x:row r="17" s="40" customFormat="1" ht="38" customHeight="1">
      <x:c r="A17" s="32" t="inlineStr">
        <x:is>
          <x:t xml:space="preserve">PG-14</x:t>
        </x:is>
      </x:c>
      <x:c r="B17" s="32" t="inlineStr">
        <x:is>
          <x:t xml:space="preserve">Privacy</x:t>
        </x:is>
      </x:c>
      <x:c r="C17" s="32" t="inlineStr">
        <x:is>
          <x:t xml:space="preserve">Deletion/export/retention workflows tested</x:t>
        </x:is>
      </x:c>
      <x:c r="D17" s="32" t="inlineStr">
        <x:is>
          <x:t xml:space="preserve">PRODUCTION</x:t>
        </x:is>
      </x:c>
      <x:c r="E17" s="32" t="inlineStr">
        <x:is>
          <x:t xml:space="preserve">Blocking</x:t>
        </x:is>
      </x:c>
      <x:c r="F17" s="32" t="inlineStr">
        <x:is>
          <x:t xml:space="preserve">Not Started</x:t>
        </x:is>
      </x:c>
      <x:c r="G17" s="32" t="str"/>
    </x:row>
    <x:row r="18" s="40" customFormat="1" ht="38" customHeight="1">
      <x:c r="A18" s="32" t="inlineStr">
        <x:is>
          <x:t xml:space="preserve">PG-15</x:t>
        </x:is>
      </x:c>
      <x:c r="B18" s="32" t="inlineStr">
        <x:is>
          <x:t xml:space="preserve">Support</x:t>
        </x:is>
      </x:c>
      <x:c r="C18" s="32" t="inlineStr">
        <x:is>
          <x:t xml:space="preserve">Redacted diagnostic bundle/support workflow ready</x:t>
        </x:is>
      </x:c>
      <x:c r="D18" s="32" t="inlineStr">
        <x:is>
          <x:t xml:space="preserve">PRODUCTION</x:t>
        </x:is>
      </x:c>
      <x:c r="E18" s="32" t="inlineStr">
        <x:is>
          <x:t xml:space="preserve">Blocking</x:t>
        </x:is>
      </x:c>
      <x:c r="F18" s="32" t="inlineStr">
        <x:is>
          <x:t xml:space="preserve">Not Started</x:t>
        </x:is>
      </x:c>
      <x:c r="G18" s="32" t="str"/>
    </x:row>
    <x:row r="19" s="40" customFormat="1" ht="38" customHeight="1">
      <x:c r="A19" s="32" t="inlineStr">
        <x:is>
          <x:t xml:space="preserve">PG-16</x:t>
        </x:is>
      </x:c>
      <x:c r="B19" s="32" t="inlineStr">
        <x:is>
          <x:t xml:space="preserve">Business</x:t>
        </x:is>
      </x:c>
      <x:c r="C19" s="32" t="inlineStr">
        <x:is>
          <x:t xml:space="preserve">Plan entitlements and quota enforcement tested</x:t>
        </x:is>
      </x:c>
      <x:c r="D19" s="32" t="inlineStr">
        <x:is>
          <x:t xml:space="preserve">PRODUCTION</x:t>
        </x:is>
      </x:c>
      <x:c r="E19" s="32" t="inlineStr">
        <x:is>
          <x:t xml:space="preserve">Blocking</x:t>
        </x:is>
      </x:c>
      <x:c r="F19" s="32" t="inlineStr">
        <x:is>
          <x:t xml:space="preserve">Not Started</x:t>
        </x:is>
      </x:c>
      <x:c r="G19" s="32" t="str"/>
    </x:row>
    <x:row r="21">
      <x:c r="A21" s="540" t="str">
        <x:v>V6 Additional Blocking Evidence</x:v>
      </x:c>
      <x:c r="B21" s="540"/>
      <x:c r="C21" s="540"/>
      <x:c r="D21" s="540"/>
      <x:c r="E21" s="540"/>
      <x:c r="F21" s="540"/>
      <x:c r="G21" s="540"/>
    </x:row>
    <x:row r="22">
      <x:c r="A22" s="545" t="str">
        <x:v>ID</x:v>
      </x:c>
      <x:c r="B22" s="545" t="str">
        <x:v>Category</x:v>
      </x:c>
      <x:c r="C22" s="545" t="str">
        <x:v>Gate</x:v>
      </x:c>
      <x:c r="D22" s="545" t="str">
        <x:v>Phase</x:v>
      </x:c>
      <x:c r="E22" s="545" t="str">
        <x:v>Severity</x:v>
      </x:c>
      <x:c r="F22" s="545" t="str">
        <x:v>Status</x:v>
      </x:c>
      <x:c r="G22" s="545" t="str">
        <x:v>Evidence / Link</x:v>
      </x:c>
    </x:row>
    <x:row r="23">
      <x:c r="A23" s="421" t="str">
        <x:v>PG-17</x:v>
      </x:c>
      <x:c r="B23" s="421" t="str">
        <x:v>AI Continuity</x:v>
      </x:c>
      <x:c r="C23" s="421" t="str">
        <x:v>Fresh AI/developer session resumes current task from Git + durable state without old chat</x:v>
      </x:c>
      <x:c r="D23" s="421" t="str">
        <x:v>PRODUCTION</x:v>
      </x:c>
      <x:c r="E23" s="421" t="str">
        <x:v>Blocking</x:v>
      </x:c>
      <x:c r="F23" s="421" t="str">
        <x:v>Not Started</x:v>
      </x:c>
      <x:c r="G23" s="421"/>
    </x:row>
    <x:row r="24">
      <x:c r="A24" s="421" t="str">
        <x:v>PG-18</x:v>
      </x:c>
      <x:c r="B24" s="421" t="str">
        <x:v>Model Provider</x:v>
      </x:c>
      <x:c r="C24" s="421" t="str">
        <x:v>Selected local/cloud provider profiles pass conformance, task-class quality and fallback tests</x:v>
      </x:c>
      <x:c r="D24" s="421" t="str">
        <x:v>PRODUCTION</x:v>
      </x:c>
      <x:c r="E24" s="421" t="str">
        <x:v>Blocking</x:v>
      </x:c>
      <x:c r="F24" s="421" t="str">
        <x:v>Not Started</x:v>
      </x:c>
      <x:c r="G24" s="421"/>
    </x:row>
    <x:row r="25">
      <x:c r="A25" s="421" t="str">
        <x:v>PG-19</x:v>
      </x:c>
      <x:c r="B25" s="421" t="str">
        <x:v>Local Security</x:v>
      </x:c>
      <x:c r="C25" s="421" t="str">
        <x:v>Local/private model endpoint exposure/auth/network policy and model-license review pass</x:v>
      </x:c>
      <x:c r="D25" s="421" t="str">
        <x:v>PRODUCTION</x:v>
      </x:c>
      <x:c r="E25" s="421" t="str">
        <x:v>Blocking</x:v>
      </x:c>
      <x:c r="F25" s="421" t="str">
        <x:v>Not Started</x:v>
      </x:c>
      <x:c r="G25" s="421"/>
    </x:row>
    <x:row r="26">
      <x:c r="A26" s="421" t="str">
        <x:v>PG-20</x:v>
      </x:c>
      <x:c r="B26" s="421" t="str">
        <x:v>Data Release</x:v>
      </x:c>
      <x:c r="C26" s="421" t="str">
        <x:v>Expand/migrate/contract migration and rollback/roll-forward rehearsal passes for stateful changes</x:v>
      </x:c>
      <x:c r="D26" s="421" t="str">
        <x:v>PRODUCTION</x:v>
      </x:c>
      <x:c r="E26" s="421" t="str">
        <x:v>Blocking</x:v>
      </x:c>
      <x:c r="F26" s="421" t="str">
        <x:v>Not Started</x:v>
      </x:c>
      <x:c r="G26" s="421"/>
    </x:row>
    <x:row r="27">
      <x:c r="A27" s="421" t="str">
        <x:v>PG-21</x:v>
      </x:c>
      <x:c r="B27" s="421" t="str">
        <x:v>Agentic Security</x:v>
      </x:c>
      <x:c r="C27" s="421" t="str">
        <x:v>Prompt/tool poisoning, secret exfiltration, replay/approval-confusion and provider-compromise tests pass</x:v>
      </x:c>
      <x:c r="D27" s="421" t="str">
        <x:v>PRODUCTION</x:v>
      </x:c>
      <x:c r="E27" s="421" t="str">
        <x:v>Blocking</x:v>
      </x:c>
      <x:c r="F27" s="421" t="str">
        <x:v>Not Started</x:v>
      </x:c>
      <x:c r="G27" s="421"/>
    </x:row>
  </x:sheetData>
  <x:mergeCells>
    <x:mergeCell ref="A2:G2"/>
    <x:mergeCell ref="A1:G1"/>
    <x:mergeCell ref="A21:G2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2">
    <x:dataValidation type="list" allowBlank="0" showDropDown="0" showInputMessage="0" showErrorMessage="0" sqref="F4:F19">
      <x:formula1>"Not Started,In Progress,Blocked,Done,Deferred"</x:formula1>
    </x:dataValidation>
    <x:dataValidation type="list" sqref="F23:F27">
      <x:formula1>"Not Started,In Progress,Blocked,Done,Deferred"</x:formula1>
    </x:dataValidation>
  </x:dataValidations>
  <x:pageMargins left="0.7" right="0.7" top="0.75" bottom="0.75" header="0.3" footer="0.3"/>
</x:worksheet>
</file>

<file path=xl/worksheets/sheet15.xml><?xml version="1.0" encoding="utf-8"?>
<x:worksheet xmlns:x="http://schemas.openxmlformats.org/spreadsheetml/2006/main">
  <x:sheetFormatPr baseColWidth="8" defaultRowHeight="15"/>
  <x:cols>
    <x:col min="1" max="1" width="29" style="40" customWidth="1"/>
    <x:col min="2" max="2" width="64" style="40" customWidth="1"/>
    <x:col min="3" max="3" width="54" style="40" customWidth="1"/>
  </x:cols>
  <x:sheetData>
    <x:row r="1" s="40" customFormat="1" ht="30" customHeight="1">
      <x:c r="A1" s="380" t="inlineStr">
        <x:is>
          <x:t xml:space="preserve">OmniStackAI V5 — Sources &amp; Research</x:t>
        </x:is>
      </x:c>
      <x:c r="B1" s="375" t="n"/>
      <x:c r="C1" s="375" t="n"/>
    </x:row>
    <x:row r="2" s="40" customFormat="1" ht="34" customHeight="1">
      <x:c r="A2" s="381" t="inlineStr">
        <x:is>
          <x:t xml:space="preserve">Public competitor facts must be revalidated before marketing use. These are public sources, not reverse engineering.</x:t>
        </x:is>
      </x:c>
      <x:c r="B2" s="375" t="n"/>
      <x:c r="C2" s="375" t="n"/>
    </x:row>
    <x:row r="3" s="40" customFormat="1" ht="28" customHeight="1">
      <x:c r="A3" s="20" t="n"/>
      <x:c r="B3" s="20" t="n"/>
      <x:c r="C3" s="20" t="n"/>
    </x:row>
    <x:row r="4" s="40" customFormat="1" ht="28" customHeight="1">
      <x:c r="A4" s="141" t="inlineStr">
        <x:is>
          <x:t xml:space="preserve">Source / Topic</x:t>
        </x:is>
      </x:c>
      <x:c r="B4" s="142" t="inlineStr">
        <x:is>
          <x:t xml:space="preserve">URL</x:t>
        </x:is>
      </x:c>
      <x:c r="C4" s="143" t="inlineStr">
        <x:is>
          <x:t xml:space="preserve">Use</x:t>
        </x:is>
      </x:c>
    </x:row>
    <x:row r="5" s="40" customFormat="1" ht="40" customHeight="1">
      <x:c r="A5" s="144" t="inlineStr">
        <x:is>
          <x:t xml:space="preserve">Emergent enterprise stack</x:t>
        </x:is>
      </x:c>
      <x:c r="B5" s="145" t="inlineStr">
        <x:is>
          <x:t xml:space="preserve">https://emergent.sh/enterprise</x:t>
        </x:is>
      </x:c>
      <x:c r="C5" s="146" t="inlineStr">
        <x:is>
          <x:t xml:space="preserve">React, Node/FastAPI, MongoDB, Expo/RN, Git ownership</x:t>
        </x:is>
      </x:c>
    </x:row>
    <x:row r="6" s="40" customFormat="1" ht="40" customHeight="1">
      <x:c r="A6" s="147" t="inlineStr">
        <x:is>
          <x:t xml:space="preserve">Emergent K8s environments</x:t>
        </x:is>
      </x:c>
      <x:c r="B6" s="148" t="inlineStr">
        <x:is>
          <x:t xml:space="preserve">https://emergent.sh/blog/real-environments-for-ai-agents-and-why-we-bet-on-kubernetes</x:t>
        </x:is>
      </x:c>
      <x:c r="C6" s="149" t="inlineStr">
        <x:is>
          <x:t xml:space="preserve">full Linux pods, warm pool, isolation, preview</x:t>
        </x:is>
      </x:c>
    </x:row>
    <x:row r="7" s="40" customFormat="1" ht="40" customHeight="1">
      <x:c r="A7" s="147" t="inlineStr">
        <x:is>
          <x:t xml:space="preserve">Emergent deployment + Temporal</x:t>
        </x:is>
      </x:c>
      <x:c r="B7" s="148" t="inlineStr">
        <x:is>
          <x:t xml:space="preserve">https://emergent.sh/blog/why-we-rebuilt-our-deployment-engine</x:t>
        </x:is>
      </x:c>
      <x:c r="C7" s="149" t="inlineStr">
        <x:is>
          <x:t xml:space="preserve">immutable runs, blue-green, Temporal</x:t>
        </x:is>
      </x:c>
    </x:row>
    <x:row r="8" s="40" customFormat="1" ht="40" customHeight="1">
      <x:c r="A8" s="147" t="inlineStr">
        <x:is>
          <x:t xml:space="preserve">Emergent E3</x:t>
        </x:is>
      </x:c>
      <x:c r="B8" s="148" t="inlineStr">
        <x:is>
          <x:t xml:space="preserve">https://emergent.sh/blog/introducing-e-3-autonomous-app-building-on-emergent</x:t>
        </x:is>
      </x:c>
      <x:c r="C8" s="149" t="inlineStr">
        <x:is>
          <x:t xml:space="preserve">long orchestration, phases, testing</x:t>
        </x:is>
      </x:c>
    </x:row>
    <x:row r="9" s="40" customFormat="1" ht="40" customHeight="1">
      <x:c r="A9" s="147" t="inlineStr">
        <x:is>
          <x:t xml:space="preserve">Emergent context</x:t>
        </x:is>
      </x:c>
      <x:c r="B9" s="148" t="inlineStr">
        <x:is>
          <x:t xml:space="preserve">https://help.emergent.sh/context-limits</x:t>
        </x:is>
      </x:c>
      <x:c r="C9" s="149" t="inlineStr">
        <x:is>
          <x:t xml:space="preserve">200K context, compression/forks, filtered subagents</x:t>
        </x:is>
      </x:c>
    </x:row>
    <x:row r="10">
      <x:c r="A10" s="147" t="inlineStr">
        <x:is>
          <x:t xml:space="preserve">Lovable overview</x:t>
        </x:is>
      </x:c>
      <x:c r="B10" s="148" t="inlineStr">
        <x:is>
          <x:t xml:space="preserve">https://docs.lovable.dev/introduction/welcome</x:t>
        </x:is>
      </x:c>
      <x:c r="C10" s="149" t="inlineStr">
        <x:is>
          <x:t xml:space="preserve">web full-stack product scope</x:t>
        </x:is>
      </x:c>
    </x:row>
    <x:row r="11">
      <x:c r="A11" s="147" t="inlineStr">
        <x:is>
          <x:t xml:space="preserve">Lovable Cloud</x:t>
        </x:is>
      </x:c>
      <x:c r="B11" s="148" t="inlineStr">
        <x:is>
          <x:t xml:space="preserve">https://docs.lovable.dev/features/cloud</x:t>
        </x:is>
      </x:c>
      <x:c r="C11" s="149" t="inlineStr">
        <x:is>
          <x:t xml:space="preserve">managed backend, PostgreSQL foundation</x:t>
        </x:is>
      </x:c>
    </x:row>
    <x:row r="12">
      <x:c r="A12" s="147" t="inlineStr">
        <x:is>
          <x:t xml:space="preserve">Lovable Supabase</x:t>
        </x:is>
      </x:c>
      <x:c r="B12" s="148" t="inlineStr">
        <x:is>
          <x:t xml:space="preserve">https://docs.lovable.dev/integrations/supabase</x:t>
        </x:is>
      </x:c>
      <x:c r="C12" s="149" t="inlineStr">
        <x:is>
          <x:t xml:space="preserve">Postgres, reviewed migrations, secrets</x:t>
        </x:is>
      </x:c>
    </x:row>
    <x:row r="13">
      <x:c r="A13" s="147" t="inlineStr">
        <x:is>
          <x:t xml:space="preserve">Bolt technologies</x:t>
        </x:is>
      </x:c>
      <x:c r="B13" s="148" t="inlineStr">
        <x:is>
          <x:t xml:space="preserve">https://support.bolt.new/building/using-bolt/browser-support</x:t>
        </x:is>
      </x:c>
      <x:c r="C13" s="149" t="inlineStr">
        <x:is>
          <x:t xml:space="preserve">JS/WebContainers focus, Expo mobile</x:t>
        </x:is>
      </x:c>
    </x:row>
    <x:row r="14">
      <x:c r="A14" s="147" t="inlineStr">
        <x:is>
          <x:t xml:space="preserve">Bolt Expo</x:t>
        </x:is>
      </x:c>
      <x:c r="B14" s="148" t="inlineStr">
        <x:is>
          <x:t xml:space="preserve">https://support.bolt.new/integrations/expo</x:t>
        </x:is>
      </x:c>
      <x:c r="C14" s="149" t="inlineStr">
        <x:is>
          <x:t xml:space="preserve">Expo Go QR + EAS</x:t>
        </x:is>
      </x:c>
    </x:row>
    <x:row r="15">
      <x:c r="A15" s="147" t="inlineStr">
        <x:is>
          <x:t xml:space="preserve">Bolt project knowledge</x:t>
        </x:is>
      </x:c>
      <x:c r="B15" s="148" t="inlineStr">
        <x:is>
          <x:t xml:space="preserve">https://support.bolt.new/building/using-bolt/project-settings</x:t>
        </x:is>
      </x:c>
      <x:c r="C15" s="149" t="inlineStr">
        <x:is>
          <x:t xml:space="preserve">Project Knowledge + context cleanup</x:t>
        </x:is>
      </x:c>
    </x:row>
    <x:row r="16">
      <x:c r="A16" s="147" t="inlineStr">
        <x:is>
          <x:t xml:space="preserve">Replit Expo</x:t>
        </x:is>
      </x:c>
      <x:c r="B16" s="148" t="inlineStr">
        <x:is>
          <x:t xml:space="preserve">https://docs.replit.com/learn/mobile/expo</x:t>
        </x:is>
      </x:c>
      <x:c r="C16" s="149" t="inlineStr">
        <x:is>
          <x:t xml:space="preserve">Expo Go QR workflow</x:t>
        </x:is>
      </x:c>
    </x:row>
    <x:row r="17">
      <x:c r="A17" s="147" t="inlineStr">
        <x:is>
          <x:t xml:space="preserve">Replit checkpoints</x:t>
        </x:is>
      </x:c>
      <x:c r="B17" s="148" t="inlineStr">
        <x:is>
          <x:t xml:space="preserve">https://docs.replit.com/features/version-control/checkpoints-and-rollbacks</x:t>
        </x:is>
      </x:c>
      <x:c r="C17" s="149" t="inlineStr">
        <x:is>
          <x:t xml:space="preserve">checkpoint/recovery model</x:t>
        </x:is>
      </x:c>
    </x:row>
    <x:row r="18">
      <x:c r="A18" s="147" t="inlineStr">
        <x:is>
          <x:t xml:space="preserve">Cursor dynamic context</x:t>
        </x:is>
      </x:c>
      <x:c r="B18" s="148" t="inlineStr">
        <x:is>
          <x:t xml:space="preserve">https://cursor.com/blog/dynamic-context-discovery</x:t>
        </x:is>
      </x:c>
      <x:c r="C18" s="149" t="inlineStr">
        <x:is>
          <x:t xml:space="preserve">token-efficient context discovery</x:t>
        </x:is>
      </x:c>
    </x:row>
    <x:row r="19">
      <x:c r="A19" s="147" t="inlineStr">
        <x:is>
          <x:t xml:space="preserve">Cursor rules</x:t>
        </x:is>
      </x:c>
      <x:c r="B19" s="148" t="inlineStr">
        <x:is>
          <x:t xml:space="preserve">https://docs.cursor.com/context/rules</x:t>
        </x:is>
      </x:c>
      <x:c r="C19" s="149" t="inlineStr">
        <x:is>
          <x:t xml:space="preserve">persistent scoped rules</x:t>
        </x:is>
      </x:c>
    </x:row>
    <x:row r="20">
      <x:c r="A20" s="147" t="inlineStr">
        <x:is>
          <x:t xml:space="preserve">Cursor indexing security</x:t>
        </x:is>
      </x:c>
      <x:c r="B20" s="148" t="inlineStr">
        <x:is>
          <x:t xml:space="preserve">https://www.cursor.com/security</x:t>
        </x:is>
      </x:c>
      <x:c r="C20" s="149" t="inlineStr">
        <x:is>
          <x:t xml:space="preserve">Merkle/hash based codebase indexing</x:t>
        </x:is>
      </x:c>
    </x:row>
    <x:row r="21">
      <x:c r="A21" s="147" t="inlineStr">
        <x:is>
          <x:t xml:space="preserve">Windsurf memories</x:t>
        </x:is>
      </x:c>
      <x:c r="B21" s="148" t="inlineStr">
        <x:is>
          <x:t xml:space="preserve">https://docs.windsurf.com/windsurf/cascade/memories</x:t>
        </x:is>
      </x:c>
      <x:c r="C21" s="149" t="inlineStr">
        <x:is>
          <x:t xml:space="preserve">memories/rules across conversations</x:t>
        </x:is>
      </x:c>
    </x:row>
    <x:row r="22">
      <x:c r="A22" s="147" t="inlineStr">
        <x:is>
          <x:t xml:space="preserve">Windsurf context</x:t>
        </x:is>
      </x:c>
      <x:c r="B22" s="148" t="inlineStr">
        <x:is>
          <x:t xml:space="preserve">https://docs.windsurf.com/context-awareness/overview</x:t>
        </x:is>
      </x:c>
      <x:c r="C22" s="149" t="inlineStr">
        <x:is>
          <x:t xml:space="preserve">RAG/codebase context awareness</x:t>
        </x:is>
      </x:c>
    </x:row>
    <x:row r="23">
      <x:c r="A23" s="147" t="inlineStr">
        <x:is>
          <x:t xml:space="preserve">StackBlitz WebContainers</x:t>
        </x:is>
      </x:c>
      <x:c r="B23" s="148" t="inlineStr">
        <x:is>
          <x:t xml:space="preserve">https://webcontainers.io/</x:t>
        </x:is>
      </x:c>
      <x:c r="C23" s="149" t="inlineStr">
        <x:is>
          <x:t xml:space="preserve">browser-side Node/WASM runtime reference</x:t>
        </x:is>
      </x:c>
    </x:row>
    <x:row r="24">
      <x:c r="A24" s="147" t="inlineStr">
        <x:is>
          <x:t xml:space="preserve">Temporal docs</x:t>
        </x:is>
      </x:c>
      <x:c r="B24" s="148" t="inlineStr">
        <x:is>
          <x:t xml:space="preserve">https://docs.temporal.io/</x:t>
        </x:is>
      </x:c>
      <x:c r="C24" s="149" t="inlineStr">
        <x:is>
          <x:t xml:space="preserve">durable workflow reference</x:t>
        </x:is>
      </x:c>
    </x:row>
    <x:row r="25">
      <x:c r="A25" s="147" t="inlineStr">
        <x:is>
          <x:t xml:space="preserve">PostgreSQL</x:t>
        </x:is>
      </x:c>
      <x:c r="B25" s="148" t="inlineStr">
        <x:is>
          <x:t xml:space="preserve">https://www.postgresql.org/docs/</x:t>
        </x:is>
      </x:c>
      <x:c r="C25" s="149" t="inlineStr">
        <x:is>
          <x:t xml:space="preserve">platform database reference</x:t>
        </x:is>
      </x:c>
    </x:row>
    <x:row r="26">
      <x:c r="A26" s="147" t="inlineStr">
        <x:is>
          <x:t xml:space="preserve">pgvector</x:t>
        </x:is>
      </x:c>
      <x:c r="B26" s="148" t="inlineStr">
        <x:is>
          <x:t xml:space="preserve">https://github.com/pgvector/pgvector</x:t>
        </x:is>
      </x:c>
      <x:c r="C26" s="149" t="inlineStr">
        <x:is>
          <x:t xml:space="preserve">vector extension reference</x:t>
        </x:is>
      </x:c>
    </x:row>
    <x:row r="27">
      <x:c r="A27" s="147" t="inlineStr">
        <x:is>
          <x:t xml:space="preserve">OWASP Top 10</x:t>
        </x:is>
      </x:c>
      <x:c r="B27" s="148" t="inlineStr">
        <x:is>
          <x:t xml:space="preserve">https://owasp.org/www-project-top-ten/</x:t>
        </x:is>
      </x:c>
      <x:c r="C27" s="149" t="inlineStr">
        <x:is>
          <x:t xml:space="preserve">security baseline</x:t>
        </x:is>
      </x:c>
    </x:row>
    <x:row r="28">
      <x:c r="A28" s="147" t="inlineStr">
        <x:is>
          <x:t xml:space="preserve">Team reference - bolt.diy</x:t>
        </x:is>
      </x:c>
      <x:c r="B28" s="148" t="inlineStr">
        <x:is>
          <x:t xml:space="preserve">https://github.com/stackblitz-labs/bolt.diy</x:t>
        </x:is>
      </x:c>
      <x:c r="C28" s="149" t="inlineStr">
        <x:is>
          <x:t xml:space="preserve">reference architecture study</x:t>
        </x:is>
      </x:c>
    </x:row>
    <x:row r="29">
      <x:c r="A29" s="147" t="inlineStr">
        <x:is>
          <x:t xml:space="preserve">Team reference - OpenHands</x:t>
        </x:is>
      </x:c>
      <x:c r="B29" s="148" t="inlineStr">
        <x:is>
          <x:t xml:space="preserve">https://github.com/All-Hands-AI/OpenHands</x:t>
        </x:is>
      </x:c>
      <x:c r="C29" s="149" t="inlineStr">
        <x:is>
          <x:t xml:space="preserve">coding-agent loop/runtime study</x:t>
        </x:is>
      </x:c>
    </x:row>
    <x:row r="30">
      <x:c r="A30" s="147" t="inlineStr">
        <x:is>
          <x:t xml:space="preserve">Team reference - E2B</x:t>
        </x:is>
      </x:c>
      <x:c r="B30" s="148" t="inlineStr">
        <x:is>
          <x:t xml:space="preserve">https://e2b.dev/docs</x:t>
        </x:is>
      </x:c>
      <x:c r="C30" s="149" t="inlineStr">
        <x:is>
          <x:t xml:space="preserve">managed Linux sandbox benchmark</x:t>
        </x:is>
      </x:c>
    </x:row>
    <x:row r="31">
      <x:c r="A31" s="156" t="inlineStr">
        <x:is>
          <x:t xml:space="preserve">Team reference - Daytona</x:t>
        </x:is>
      </x:c>
      <x:c r="B31" s="157" t="inlineStr">
        <x:is>
          <x:t xml:space="preserve">https://www.daytona.io/docs</x:t>
        </x:is>
      </x:c>
      <x:c r="C31" s="158" t="inlineStr">
        <x:is>
          <x:t xml:space="preserve">managed workspace/sandbox benchmark</x:t>
        </x:is>
      </x:c>
    </x:row>
  </x:sheetData>
  <x:mergeCells>
    <x:mergeCell ref="A1:C1"/>
    <x:mergeCell ref="A2:C2"/>
  </x:mergeCells>
  <x:pageMargins left="0.7" right="0.7" top="0.75" bottom="0.75" header="0.3" footer="0.3"/>
</x:worksheet>
</file>

<file path=xl/worksheets/sheet16.xml><?xml version="1.0" encoding="utf-8"?>
<x:worksheet xmlns:x="http://schemas.openxmlformats.org/spreadsheetml/2006/main">
  <x:sheetFormatPr baseColWidth="8" defaultRowHeight="15"/>
  <x:cols>
    <x:col min="1" max="1" width="18" style="40" customWidth="1"/>
    <x:col min="2" max="2" width="24" style="40" customWidth="1"/>
    <x:col min="3" max="3" width="34" style="40" customWidth="1"/>
    <x:col min="4" max="4" width="40" style="40" customWidth="1"/>
    <x:col min="5" max="5" width="28" style="40" customWidth="1"/>
    <x:col min="6" max="6" width="18" style="40" customWidth="1"/>
    <x:col min="7" max="7" width="18" style="40" customWidth="1"/>
    <x:col min="8" max="8" width="14" style="40" customWidth="1"/>
    <x:col min="9" max="9" width="18" style="40" customWidth="1"/>
    <x:col min="10" max="10" width="42" style="40" customWidth="1"/>
  </x:cols>
  <x:sheetData>
    <x:row r="1">
      <x:c r="A1" s="394" t="inlineStr">
        <x:is>
          <x:t xml:space="preserve">Mobile / Web Framework Strategy</x:t>
        </x:is>
      </x:c>
      <x:c r="B1" s="375" t="n"/>
      <x:c r="C1" s="375" t="n"/>
      <x:c r="D1" s="375" t="n"/>
      <x:c r="E1" s="375" t="n"/>
      <x:c r="F1" s="375" t="n"/>
      <x:c r="G1" s="375" t="n"/>
      <x:c r="H1" s="375" t="n"/>
      <x:c r="I1" s="375" t="n"/>
      <x:c r="J1" s="375" t="n"/>
    </x:row>
    <x:row r="2">
      <x:c r="A2" s="395" t="inlineStr">
        <x:is>
          <x:t xml:space="preserve">Default rule: use Auto/Recommended. Prefer a cross-platform mobile codebase for small/medium products; recommend Native only when measured requirements justify the added engineering and build cost. Industry name alone is not enough.</x:t>
        </x:is>
      </x:c>
      <x:c r="B2" s="375" t="n"/>
      <x:c r="C2" s="375" t="n"/>
      <x:c r="D2" s="375" t="n"/>
      <x:c r="E2" s="375" t="n"/>
      <x:c r="F2" s="375" t="n"/>
      <x:c r="G2" s="375" t="n"/>
      <x:c r="H2" s="375" t="n"/>
      <x:c r="I2" s="375" t="n"/>
      <x:c r="J2" s="375" t="n"/>
    </x:row>
    <x:row r="3">
      <x:c r="A3" s="54" t="inlineStr">
        <x:is>
          <x:t xml:space="preserve">Profile</x:t>
        </x:is>
      </x:c>
      <x:c r="B3" s="54" t="inlineStr">
        <x:is>
          <x:t xml:space="preserve">Mobile Codebase</x:t>
        </x:is>
      </x:c>
      <x:c r="C3" s="54" t="inlineStr">
        <x:is>
          <x:t xml:space="preserve">Best Fit</x:t>
        </x:is>
      </x:c>
      <x:c r="D3" s="54" t="inlineStr">
        <x:is>
          <x:t xml:space="preserve">Avoid / Escalate When</x:t>
        </x:is>
      </x:c>
      <x:c r="E3" s="54" t="inlineStr">
        <x:is>
          <x:t xml:space="preserve">Public Web</x:t>
        </x:is>
      </x:c>
      <x:c r="F3" s="54" t="inlineStr">
        <x:is>
          <x:t xml:space="preserve">Admin</x:t>
        </x:is>
      </x:c>
      <x:c r="G3" s="54" t="inlineStr">
        <x:is>
          <x:t xml:space="preserve">Real iOS Needs Mac?</x:t>
        </x:is>
      </x:c>
      <x:c r="H3" s="54" t="inlineStr">
        <x:is>
          <x:t xml:space="preserve">Relative Cost</x:t>
        </x:is>
      </x:c>
      <x:c r="I3" s="54" t="inlineStr">
        <x:is>
          <x:t xml:space="preserve">Recommended Phase</x:t>
        </x:is>
      </x:c>
      <x:c r="J3" s="54" t="inlineStr">
        <x:is>
          <x:t xml:space="preserve">Key Rule</x:t>
        </x:is>
      </x:c>
    </x:row>
    <x:row r="4">
      <x:c r="A4" s="43" t="inlineStr">
        <x:is>
          <x:t xml:space="preserve">Auto / Recommended</x:t>
        </x:is>
      </x:c>
      <x:c r="B4" s="43" t="inlineStr">
        <x:is>
          <x:t xml:space="preserve">Chosen by decision engine</x:t>
        </x:is>
      </x:c>
      <x:c r="C4" s="43" t="inlineStr">
        <x:is>
          <x:t xml:space="preserve">Default for every new project</x:t>
        </x:is>
      </x:c>
      <x:c r="D4" s="43" t="inlineStr">
        <x:is>
          <x:t xml:space="preserve">User explicitly overrides or existing repo fixes stack</x:t>
        </x:is>
      </x:c>
      <x:c r="E4" s="43" t="inlineStr">
        <x:is>
          <x:t xml:space="preserve">Next.js default</x:t>
        </x:is>
      </x:c>
      <x:c r="F4" s="43" t="inlineStr">
        <x:is>
          <x:t xml:space="preserve">Next.js</x:t>
        </x:is>
      </x:c>
      <x:c r="G4" s="43" t="inlineStr">
        <x:is>
          <x:t xml:space="preserve">Depends on selected mobile target</x:t>
        </x:is>
      </x:c>
      <x:c r="H4" s="43" t="inlineStr">
        <x:is>
          <x:t xml:space="preserve">Lowest safe option</x:t>
        </x:is>
      </x:c>
      <x:c r="I4" s="43" t="inlineStr">
        <x:is>
          <x:t xml:space="preserve">MVP</x:t>
        </x:is>
      </x:c>
      <x:c r="J4" s="43" t="inlineStr">
        <x:is>
          <x:t xml:space="preserve">Explain the recommendation and estimated cost before generation.</x:t>
        </x:is>
      </x:c>
    </x:row>
    <x:row r="5">
      <x:c r="A5" s="42" t="inlineStr">
        <x:is>
          <x:t xml:space="preserve">Flutter</x:t>
        </x:is>
      </x:c>
      <x:c r="B5" s="42" t="inlineStr">
        <x:is>
          <x:t xml:space="preserve">One Dart codebase for Android+iOS</x:t>
        </x:is>
      </x:c>
      <x:c r="C5" s="42" t="inlineStr">
        <x:is>
          <x:t xml:space="preserve">Small/medium apps, custom consistent UI, fast delivery, mobile-first teams</x:t>
        </x:is>
      </x:c>
      <x:c r="D5" s="42" t="inlineStr">
        <x:is>
          <x:t xml:space="preserve">Very deep platform APIs, complex background work, heavy native SDK constraints</x:t>
        </x:is>
      </x:c>
      <x:c r="E5" s="42" t="inlineStr">
        <x:is>
          <x:t xml:space="preserve">Next.js default; Flutter Web optional</x:t>
        </x:is>
      </x:c>
      <x:c r="F5" s="42" t="inlineStr">
        <x:is>
          <x:t xml:space="preserve">Next.js</x:t>
        </x:is>
      </x:c>
      <x:c r="G5" s="42" t="inlineStr">
        <x:is>
          <x:t xml:space="preserve">Yes for real iOS build/run</x:t>
        </x:is>
      </x:c>
      <x:c r="H5" s="42" t="inlineStr">
        <x:is>
          <x:t xml:space="preserve">Low-Medium</x:t>
        </x:is>
      </x:c>
      <x:c r="I5" s="42" t="inlineStr">
        <x:is>
          <x:t xml:space="preserve">MVP</x:t>
        </x:is>
      </x:c>
      <x:c r="J5" s="42" t="inlineStr">
        <x:is>
          <x:t xml:space="preserve">Do not force Flutter Web/admin just because mobile uses Flutter.</x:t>
        </x:is>
      </x:c>
    </x:row>
    <x:row r="6">
      <x:c r="A6" s="43" t="inlineStr">
        <x:is>
          <x:t xml:space="preserve">React Native</x:t>
        </x:is>
      </x:c>
      <x:c r="B6" s="43" t="inlineStr">
        <x:is>
          <x:t xml:space="preserve">One TS/JS codebase for Android+iOS</x:t>
        </x:is>
      </x:c>
      <x:c r="C6" s="43" t="inlineStr">
        <x:is>
          <x:t xml:space="preserve">React/TS teams, product UI, strong ecosystem, more web logic/component reuse</x:t>
        </x:is>
      </x:c>
      <x:c r="D6" s="43" t="inlineStr">
        <x:is>
          <x:t xml:space="preserve">Very deep native integrations, unusually heavy background/performance constraints</x:t>
        </x:is>
      </x:c>
      <x:c r="E6" s="43" t="inlineStr">
        <x:is>
          <x:t xml:space="preserve">Next.js default; RN Web/Expo Web optional</x:t>
        </x:is>
      </x:c>
      <x:c r="F6" s="43" t="inlineStr">
        <x:is>
          <x:t xml:space="preserve">Next.js</x:t>
        </x:is>
      </x:c>
      <x:c r="G6" s="43" t="inlineStr">
        <x:is>
          <x:t xml:space="preserve">Yes for real iOS build/run</x:t>
        </x:is>
      </x:c>
      <x:c r="H6" s="43" t="inlineStr">
        <x:is>
          <x:t xml:space="preserve">Low-Medium</x:t>
        </x:is>
      </x:c>
      <x:c r="I6" s="43" t="inlineStr">
        <x:is>
          <x:t xml:space="preserve">MVP</x:t>
        </x:is>
      </x:c>
      <x:c r="J6" s="43" t="inlineStr">
        <x:is>
          <x:t xml:space="preserve">Best cross-platform choice when TypeScript/React reuse matters.</x:t>
        </x:is>
      </x:c>
    </x:row>
    <x:row r="7">
      <x:c r="A7" s="42" t="inlineStr">
        <x:is>
          <x:t xml:space="preserve">Native</x:t>
        </x:is>
      </x:c>
      <x:c r="B7" s="42" t="inlineStr">
        <x:is>
          <x:t xml:space="preserve">Kotlin Android + Swift iOS</x:t>
        </x:is>
      </x:c>
      <x:c r="C7" s="42" t="inlineStr">
        <x:is>
          <x:t xml:space="preserve">Deep device APIs, premium platform UX, hardware, high performance, complex background, strict platform control</x:t>
        </x:is>
      </x:c>
      <x:c r="D7" s="42" t="inlineStr">
        <x:is>
          <x:t xml:space="preserve">Budget/time are primary and requirements are standard app flows</x:t>
        </x:is>
      </x:c>
      <x:c r="E7" s="42" t="inlineStr">
        <x:is>
          <x:t xml:space="preserve">Next.js</x:t>
        </x:is>
      </x:c>
      <x:c r="F7" s="42" t="inlineStr">
        <x:is>
          <x:t xml:space="preserve">Next.js</x:t>
        </x:is>
      </x:c>
      <x:c r="G7" s="42" t="inlineStr">
        <x:is>
          <x:t xml:space="preserve">Yes</x:t>
        </x:is>
      </x:c>
      <x:c r="H7" s="42" t="inlineStr">
        <x:is>
          <x:t xml:space="preserve">High</x:t>
        </x:is>
      </x:c>
      <x:c r="I7" s="42" t="inlineStr">
        <x:is>
          <x:t xml:space="preserve">MVP beta / MID GA</x:t>
        </x:is>
      </x:c>
      <x:c r="J7" s="42" t="inlineStr">
        <x:is>
          <x:t xml:space="preserve">Do not choose only because app is called fintech or e-commerce; choose from actual requirements.</x:t>
        </x:is>
      </x:c>
    </x:row>
    <x:row r="8">
      <x:c r="A8" s="43" t="inlineStr">
        <x:is>
          <x:t xml:space="preserve">Web/PWA only</x:t>
        </x:is>
      </x:c>
      <x:c r="B8" s="43" t="inlineStr">
        <x:is>
          <x:t xml:space="preserve">No mobile-native code</x:t>
        </x:is>
      </x:c>
      <x:c r="C8" s="43" t="inlineStr">
        <x:is>
          <x:t xml:space="preserve">Internal tools, portals, prototypes, installable web experiences</x:t>
        </x:is>
      </x:c>
      <x:c r="D8" s="43" t="inlineStr">
        <x:is>
          <x:t xml:space="preserve">App Store presence, native sensors/background/device APIs are required</x:t>
        </x:is>
      </x:c>
      <x:c r="E8" s="43" t="inlineStr">
        <x:is>
          <x:t xml:space="preserve">Next.js/PWA</x:t>
        </x:is>
      </x:c>
      <x:c r="F8" s="43" t="inlineStr">
        <x:is>
          <x:t xml:space="preserve">Next.js</x:t>
        </x:is>
      </x:c>
      <x:c r="G8" s="43" t="inlineStr">
        <x:is>
          <x:t xml:space="preserve">No</x:t>
        </x:is>
      </x:c>
      <x:c r="H8" s="43" t="inlineStr">
        <x:is>
          <x:t xml:space="preserve">Lowest</x:t>
        </x:is>
      </x:c>
      <x:c r="I8" s="43" t="inlineStr">
        <x:is>
          <x:t xml:space="preserve">MVP</x:t>
        </x:is>
      </x:c>
      <x:c r="J8" s="43" t="inlineStr">
        <x:is>
          <x:t xml:space="preserve">Offer as lowest-cost alternative when mobile stores/native APIs are unnecessary.</x:t>
        </x:is>
      </x:c>
    </x:row>
  </x:sheetData>
  <x:mergeCells>
    <x:mergeCell ref="A1:J1"/>
    <x:mergeCell ref="A2:J2"/>
  </x:mergeCells>
  <x:pageMargins left="0.7" right="0.7" top="0.75" bottom="0.75" header="0.3" footer="0.3"/>
</x:worksheet>
</file>

<file path=xl/worksheets/sheet17.xml><?xml version="1.0" encoding="utf-8"?>
<x:worksheet xmlns:x="http://schemas.openxmlformats.org/spreadsheetml/2006/main">
  <x:sheetFormatPr baseColWidth="8" defaultRowHeight="15"/>
  <x:cols>
    <x:col min="1" max="1" width="34" style="40" customWidth="1"/>
    <x:col min="2" max="2" width="14" style="40" customWidth="1"/>
    <x:col min="3" max="3" width="14" style="40" customWidth="1"/>
    <x:col min="4" max="4" width="14" style="40" customWidth="1"/>
    <x:col min="5" max="5" width="14" style="40" customWidth="1"/>
    <x:col min="6" max="6" width="16" style="40" customWidth="1"/>
    <x:col min="7" max="7" width="16" style="40" customWidth="1"/>
    <x:col min="8" max="8" width="16" style="40" customWidth="1"/>
    <x:col min="9" max="9" width="48" style="40" customWidth="1"/>
    <x:col min="10" max="10" width="34" style="40" customWidth="1"/>
  </x:cols>
  <x:sheetData>
    <x:row r="1">
      <x:c r="A1" s="394" t="inlineStr">
        <x:is>
          <x:t xml:space="preserve">Framework Decision Scorecard - Editable Per Project</x:t>
        </x:is>
      </x:c>
      <x:c r="B1" s="375" t="n"/>
      <x:c r="C1" s="375" t="n"/>
      <x:c r="D1" s="375" t="n"/>
      <x:c r="E1" s="375" t="n"/>
      <x:c r="F1" s="375" t="n"/>
      <x:c r="G1" s="375" t="n"/>
      <x:c r="H1" s="375" t="n"/>
      <x:c r="I1" s="375" t="n"/>
      <x:c r="J1" s="375" t="n"/>
    </x:row>
    <x:row r="2">
      <x:c r="A2" s="395" t="inlineStr">
        <x:is>
          <x:t xml:space="preserve">Set Importance from 0-5. Higher weighted score means better technical fit. This is a recommendation aid, not an automatic compliance decision. The architect must still record rationale in an ADR.</x:t>
        </x:is>
      </x:c>
      <x:c r="B2" s="375" t="n"/>
      <x:c r="C2" s="375" t="n"/>
      <x:c r="D2" s="375" t="n"/>
      <x:c r="E2" s="375" t="n"/>
      <x:c r="F2" s="375" t="n"/>
      <x:c r="G2" s="375" t="n"/>
      <x:c r="H2" s="375" t="n"/>
      <x:c r="I2" s="375" t="n"/>
      <x:c r="J2" s="375" t="n"/>
    </x:row>
    <x:row r="3">
      <x:c r="A3" s="54" t="inlineStr">
        <x:is>
          <x:t xml:space="preserve">Criterion</x:t>
        </x:is>
      </x:c>
      <x:c r="B3" s="54" t="inlineStr">
        <x:is>
          <x:t xml:space="preserve">Importance 0-5</x:t>
        </x:is>
      </x:c>
      <x:c r="C3" s="54" t="inlineStr">
        <x:is>
          <x:t xml:space="preserve">Flutter Fit 0-5</x:t>
        </x:is>
      </x:c>
      <x:c r="D3" s="54" t="inlineStr">
        <x:is>
          <x:t xml:space="preserve">RN Fit 0-5</x:t>
        </x:is>
      </x:c>
      <x:c r="E3" s="54" t="inlineStr">
        <x:is>
          <x:t xml:space="preserve">Native Fit 0-5</x:t>
        </x:is>
      </x:c>
      <x:c r="F3" s="54" t="inlineStr">
        <x:is>
          <x:t xml:space="preserve">Flutter Weighted</x:t>
        </x:is>
      </x:c>
      <x:c r="G3" s="54" t="inlineStr">
        <x:is>
          <x:t xml:space="preserve">RN Weighted</x:t>
        </x:is>
      </x:c>
      <x:c r="H3" s="54" t="inlineStr">
        <x:is>
          <x:t xml:space="preserve">Native Weighted</x:t>
        </x:is>
      </x:c>
      <x:c r="I3" s="54" t="inlineStr">
        <x:is>
          <x:t xml:space="preserve">Why It Matters</x:t>
        </x:is>
      </x:c>
      <x:c r="J3" s="54" t="inlineStr">
        <x:is>
          <x:t xml:space="preserve">Project Notes</x:t>
        </x:is>
      </x:c>
    </x:row>
    <x:row r="4">
      <x:c r="A4" s="43" t="inlineStr">
        <x:is>
          <x:t xml:space="preserve">Budget sensitivity</x:t>
        </x:is>
      </x:c>
      <x:c r="B4" s="43" t="n">
        <x:v>5</x:v>
      </x:c>
      <x:c r="C4" s="43" t="n">
        <x:v>5</x:v>
      </x:c>
      <x:c r="D4" s="43" t="n">
        <x:v>5</x:v>
      </x:c>
      <x:c r="E4" s="43" t="n">
        <x:v>2</x:v>
      </x:c>
      <x:c r="F4" s="43" t="n">
        <x:f>B4*C4</x:f>
        <x:v>25</x:v>
      </x:c>
      <x:c r="G4" s="43" t="n">
        <x:f>B4*D4</x:f>
        <x:v>25</x:v>
      </x:c>
      <x:c r="H4" s="43" t="n">
        <x:f>B4*E4</x:f>
        <x:v>10</x:v>
      </x:c>
      <x:c r="I4" s="43" t="inlineStr">
        <x:is>
          <x:t xml:space="preserve">Cross-platform usually reduces duplicated mobile implementation.</x:t>
        </x:is>
      </x:c>
      <x:c r="J4" s="43" t="str"/>
    </x:row>
    <x:row r="5">
      <x:c r="A5" s="42" t="inlineStr">
        <x:is>
          <x:t xml:space="preserve">Speed to market</x:t>
        </x:is>
      </x:c>
      <x:c r="B5" s="42" t="n">
        <x:v>5</x:v>
      </x:c>
      <x:c r="C5" s="42" t="n">
        <x:v>5</x:v>
      </x:c>
      <x:c r="D5" s="42" t="n">
        <x:v>5</x:v>
      </x:c>
      <x:c r="E5" s="42" t="n">
        <x:v>2</x:v>
      </x:c>
      <x:c r="F5" s="42" t="n">
        <x:f>B5*C5</x:f>
        <x:v>25</x:v>
      </x:c>
      <x:c r="G5" s="42" t="n">
        <x:f>B5*D5</x:f>
        <x:v>25</x:v>
      </x:c>
      <x:c r="H5" s="42" t="n">
        <x:f>B5*E5</x:f>
        <x:v>10</x:v>
      </x:c>
      <x:c r="I5" s="42" t="inlineStr">
        <x:is>
          <x:t xml:space="preserve">Single mobile codebase is normally faster for standard flows.</x:t>
        </x:is>
      </x:c>
      <x:c r="J5" s="42" t="str"/>
    </x:row>
    <x:row r="6">
      <x:c r="A6" s="43" t="inlineStr">
        <x:is>
          <x:t xml:space="preserve">React/TypeScript team/reuse</x:t>
        </x:is>
      </x:c>
      <x:c r="B6" s="43" t="n">
        <x:v>2</x:v>
      </x:c>
      <x:c r="C6" s="43" t="n">
        <x:v>2</x:v>
      </x:c>
      <x:c r="D6" s="43" t="n">
        <x:v>5</x:v>
      </x:c>
      <x:c r="E6" s="43" t="n">
        <x:v>2</x:v>
      </x:c>
      <x:c r="F6" s="43" t="n">
        <x:f>B6*C6</x:f>
        <x:v>4</x:v>
      </x:c>
      <x:c r="G6" s="43" t="n">
        <x:f>B6*D6</x:f>
        <x:v>10</x:v>
      </x:c>
      <x:c r="H6" s="43" t="n">
        <x:f>B6*E6</x:f>
        <x:v>4</x:v>
      </x:c>
      <x:c r="I6" s="43" t="inlineStr">
        <x:is>
          <x:t xml:space="preserve">RN aligns with React/TS web skills and package sharing.</x:t>
        </x:is>
      </x:c>
      <x:c r="J6" s="43" t="str"/>
    </x:row>
    <x:row r="7">
      <x:c r="A7" s="42" t="inlineStr">
        <x:is>
          <x:t xml:space="preserve">Highly custom consistent UI</x:t>
        </x:is>
      </x:c>
      <x:c r="B7" s="42" t="n">
        <x:v>4</x:v>
      </x:c>
      <x:c r="C7" s="42" t="n">
        <x:v>5</x:v>
      </x:c>
      <x:c r="D7" s="42" t="n">
        <x:v>4</x:v>
      </x:c>
      <x:c r="E7" s="42" t="n">
        <x:v>5</x:v>
      </x:c>
      <x:c r="F7" s="42" t="n">
        <x:f>B7*C7</x:f>
        <x:v>20</x:v>
      </x:c>
      <x:c r="G7" s="42" t="n">
        <x:f>B7*D7</x:f>
        <x:v>16</x:v>
      </x:c>
      <x:c r="H7" s="42" t="n">
        <x:f>B7*E7</x:f>
        <x:v>20</x:v>
      </x:c>
      <x:c r="I7" s="42" t="inlineStr">
        <x:is>
          <x:t xml:space="preserve">Flutter is strong for controlled cross-platform visual consistency.</x:t>
        </x:is>
      </x:c>
      <x:c r="J7" s="42" t="str"/>
    </x:row>
    <x:row r="8">
      <x:c r="A8" s="43" t="inlineStr">
        <x:is>
          <x:t xml:space="preserve">Web code/component sharing</x:t>
        </x:is>
      </x:c>
      <x:c r="B8" s="43" t="n">
        <x:v>3</x:v>
      </x:c>
      <x:c r="C8" s="43" t="n">
        <x:v>3</x:v>
      </x:c>
      <x:c r="D8" s="43" t="n">
        <x:v>5</x:v>
      </x:c>
      <x:c r="E8" s="43" t="n">
        <x:v>1</x:v>
      </x:c>
      <x:c r="F8" s="43" t="n">
        <x:f>B8*C8</x:f>
        <x:v>9</x:v>
      </x:c>
      <x:c r="G8" s="43" t="n">
        <x:f>B8*D8</x:f>
        <x:v>15</x:v>
      </x:c>
      <x:c r="H8" s="43" t="n">
        <x:f>B8*E8</x:f>
        <x:v>3</x:v>
      </x:c>
      <x:c r="I8" s="43" t="inlineStr">
        <x:is>
          <x:t xml:space="preserve">RN/TS can share more with React/Next; Flutter Web is optional.</x:t>
        </x:is>
      </x:c>
      <x:c r="J8" s="43" t="str"/>
    </x:row>
    <x:row r="9">
      <x:c r="A9" s="42" t="inlineStr">
        <x:is>
          <x:t xml:space="preserve">Deep native API / SDK usage</x:t>
        </x:is>
      </x:c>
      <x:c r="B9" s="42" t="n">
        <x:v>2</x:v>
      </x:c>
      <x:c r="C9" s="42" t="n">
        <x:v>3</x:v>
      </x:c>
      <x:c r="D9" s="42" t="n">
        <x:v>3</x:v>
      </x:c>
      <x:c r="E9" s="42" t="n">
        <x:v>5</x:v>
      </x:c>
      <x:c r="F9" s="42" t="n">
        <x:f>B9*C9</x:f>
        <x:v>6</x:v>
      </x:c>
      <x:c r="G9" s="42" t="n">
        <x:f>B9*D9</x:f>
        <x:v>6</x:v>
      </x:c>
      <x:c r="H9" s="42" t="n">
        <x:f>B9*E9</x:f>
        <x:v>10</x:v>
      </x:c>
      <x:c r="I9" s="42" t="inlineStr">
        <x:is>
          <x:t xml:space="preserve">Native lowers bridge/plugin risk for platform-specific integrations.</x:t>
        </x:is>
      </x:c>
      <x:c r="J9" s="42" t="str"/>
    </x:row>
    <x:row r="10">
      <x:c r="A10" s="43" t="inlineStr">
        <x:is>
          <x:t xml:space="preserve">High performance / latency sensitivity</x:t>
        </x:is>
      </x:c>
      <x:c r="B10" s="43" t="n">
        <x:v>3</x:v>
      </x:c>
      <x:c r="C10" s="43" t="n">
        <x:v>4</x:v>
      </x:c>
      <x:c r="D10" s="43" t="n">
        <x:v>4</x:v>
      </x:c>
      <x:c r="E10" s="43" t="n">
        <x:v>5</x:v>
      </x:c>
      <x:c r="F10" s="43" t="n">
        <x:f>B10*C10</x:f>
        <x:v>12</x:v>
      </x:c>
      <x:c r="G10" s="43" t="n">
        <x:f>B10*D10</x:f>
        <x:v>12</x:v>
      </x:c>
      <x:c r="H10" s="43" t="n">
        <x:f>B10*E10</x:f>
        <x:v>15</x:v>
      </x:c>
      <x:c r="I10" s="43" t="inlineStr">
        <x:is>
          <x:t xml:space="preserve">Native gives maximum platform control; modern cross-platform is still strong for most apps.</x:t>
        </x:is>
      </x:c>
      <x:c r="J10" s="43" t="str"/>
    </x:row>
    <x:row r="11">
      <x:c r="A11" s="42" t="inlineStr">
        <x:is>
          <x:t xml:space="preserve">Complex background execution</x:t>
        </x:is>
      </x:c>
      <x:c r="B11" s="42" t="n">
        <x:v>2</x:v>
      </x:c>
      <x:c r="C11" s="42" t="n">
        <x:v>3</x:v>
      </x:c>
      <x:c r="D11" s="42" t="n">
        <x:v>3</x:v>
      </x:c>
      <x:c r="E11" s="42" t="n">
        <x:v>5</x:v>
      </x:c>
      <x:c r="F11" s="42" t="n">
        <x:f>B11*C11</x:f>
        <x:v>6</x:v>
      </x:c>
      <x:c r="G11" s="42" t="n">
        <x:f>B11*D11</x:f>
        <x:v>6</x:v>
      </x:c>
      <x:c r="H11" s="42" t="n">
        <x:f>B11*E11</x:f>
        <x:v>10</x:v>
      </x:c>
      <x:c r="I11" s="42" t="inlineStr">
        <x:is>
          <x:t xml:space="preserve">OS lifecycle/background constraints favor native control.</x:t>
        </x:is>
      </x:c>
      <x:c r="J11" s="42" t="str"/>
    </x:row>
    <x:row r="12">
      <x:c r="A12" s="43" t="inlineStr">
        <x:is>
          <x:t xml:space="preserve">Hardware: NFC/BLE/sensors/CarPlay/etc.</x:t>
        </x:is>
      </x:c>
      <x:c r="B12" s="43" t="n">
        <x:v>1</x:v>
      </x:c>
      <x:c r="C12" s="43" t="n">
        <x:v>3</x:v>
      </x:c>
      <x:c r="D12" s="43" t="n">
        <x:v>3</x:v>
      </x:c>
      <x:c r="E12" s="43" t="n">
        <x:v>5</x:v>
      </x:c>
      <x:c r="F12" s="43" t="n">
        <x:f>B12*C12</x:f>
        <x:v>3</x:v>
      </x:c>
      <x:c r="G12" s="43" t="n">
        <x:f>B12*D12</x:f>
        <x:v>3</x:v>
      </x:c>
      <x:c r="H12" s="43" t="n">
        <x:f>B12*E12</x:f>
        <x:v>5</x:v>
      </x:c>
      <x:c r="I12" s="43" t="inlineStr">
        <x:is>
          <x:t xml:space="preserve">Native integration burden rises with specialized hardware.</x:t>
        </x:is>
      </x:c>
      <x:c r="J12" s="43" t="str"/>
    </x:row>
    <x:row r="13">
      <x:c r="A13" s="42" t="inlineStr">
        <x:is>
          <x:t xml:space="preserve">Strict platform security/compliance controls</x:t>
        </x:is>
      </x:c>
      <x:c r="B13" s="42" t="n">
        <x:v>2</x:v>
      </x:c>
      <x:c r="C13" s="42" t="n">
        <x:v>4</x:v>
      </x:c>
      <x:c r="D13" s="42" t="n">
        <x:v>4</x:v>
      </x:c>
      <x:c r="E13" s="42" t="n">
        <x:v>5</x:v>
      </x:c>
      <x:c r="F13" s="42" t="n">
        <x:f>B13*C13</x:f>
        <x:v>8</x:v>
      </x:c>
      <x:c r="G13" s="42" t="n">
        <x:f>B13*D13</x:f>
        <x:v>8</x:v>
      </x:c>
      <x:c r="H13" s="42" t="n">
        <x:f>B13*E13</x:f>
        <x:v>10</x:v>
      </x:c>
      <x:c r="I13" s="42" t="inlineStr">
        <x:is>
          <x:t xml:space="preserve">Native may simplify platform-specific security controls, but architecture matters more than framework name.</x:t>
        </x:is>
      </x:c>
      <x:c r="J13" s="42" t="str"/>
    </x:row>
    <x:row r="14">
      <x:c r="A14" s="43" t="inlineStr">
        <x:is>
          <x:t xml:space="preserve">Platform-specific UX/accessibility depth</x:t>
        </x:is>
      </x:c>
      <x:c r="B14" s="43" t="n">
        <x:v>3</x:v>
      </x:c>
      <x:c r="C14" s="43" t="n">
        <x:v>3</x:v>
      </x:c>
      <x:c r="D14" s="43" t="n">
        <x:v>4</x:v>
      </x:c>
      <x:c r="E14" s="43" t="n">
        <x:v>5</x:v>
      </x:c>
      <x:c r="F14" s="43" t="n">
        <x:f>B14*C14</x:f>
        <x:v>9</x:v>
      </x:c>
      <x:c r="G14" s="43" t="n">
        <x:f>B14*D14</x:f>
        <x:v>12</x:v>
      </x:c>
      <x:c r="H14" s="43" t="n">
        <x:f>B14*E14</x:f>
        <x:v>15</x:v>
      </x:c>
      <x:c r="I14" s="43" t="inlineStr">
        <x:is>
          <x:t xml:space="preserve">Native provides deepest platform behavior; RN often follows native conventions well.</x:t>
        </x:is>
      </x:c>
      <x:c r="J14" s="43" t="str"/>
    </x:row>
    <x:row r="15"/>
    <x:row r="16">
      <x:c r="A16" s="49" t="inlineStr">
        <x:is>
          <x:t xml:space="preserve">TOTAL FIT SCORE</x:t>
        </x:is>
      </x:c>
      <x:c r="B16" s="49" t="n"/>
      <x:c r="C16" s="49" t="n"/>
      <x:c r="D16" s="49" t="n"/>
      <x:c r="E16" s="49" t="n"/>
      <x:c r="F16" s="49" t="n">
        <x:f>SUM(F4:F14)</x:f>
        <x:v>127</x:v>
      </x:c>
      <x:c r="G16" s="49" t="n">
        <x:f>SUM(G4:G14)</x:f>
        <x:v>138</x:v>
      </x:c>
      <x:c r="H16" s="49" t="n">
        <x:f>SUM(H4:H14)</x:f>
        <x:v>112</x:v>
      </x:c>
    </x:row>
    <x:row r="17"/>
    <x:row r="18">
      <x:c r="A18" s="395" t="inlineStr">
        <x:is>
          <x:t xml:space="preserve">Interpretation: choose the highest score unless a blocking requirement exists. If scores are close, prefer the lower-cost cross-platform option and validate risky native capabilities with a proof-of-concept before committing.</x:t>
        </x:is>
      </x:c>
      <x:c r="B18" s="375" t="n"/>
      <x:c r="C18" s="375" t="n"/>
      <x:c r="D18" s="375" t="n"/>
      <x:c r="E18" s="375" t="n"/>
      <x:c r="F18" s="375" t="n"/>
      <x:c r="G18" s="375" t="n"/>
      <x:c r="H18" s="375" t="n"/>
      <x:c r="I18" s="375" t="n"/>
      <x:c r="J18" s="375" t="n"/>
    </x:row>
  </x:sheetData>
  <x:mergeCells>
    <x:mergeCell ref="A1:J1"/>
    <x:mergeCell ref="A18:J18"/>
    <x:mergeCell ref="A2:J2"/>
  </x:mergeCells>
  <x:dataValidations count="1">
    <x:dataValidation operator="between" allowBlank="0" showDropDown="0" showInputMessage="0" showErrorMessage="0" sqref="B4:E14">
      <x:formula1>0</x:formula1>
      <x:formula2>5</x:formula2>
    </x:dataValidation>
  </x:dataValidations>
  <x:pageMargins left="0.7" right="0.7" top="0.75" bottom="0.75" header="0.3" footer="0.3"/>
</x:worksheet>
</file>

<file path=xl/worksheets/sheet18.xml><?xml version="1.0" encoding="utf-8"?>
<x:worksheet xmlns:x="http://schemas.openxmlformats.org/spreadsheetml/2006/main">
  <x:sheetFormatPr baseColWidth="8" defaultRowHeight="15"/>
  <x:cols>
    <x:col min="1" max="1" width="22" style="40" customWidth="1"/>
    <x:col min="2" max="2" width="28" style="40" customWidth="1"/>
    <x:col min="3" max="3" width="43" style="40" customWidth="1"/>
    <x:col min="4" max="4" width="34" style="40" customWidth="1"/>
    <x:col min="5" max="5" width="34" style="40" customWidth="1"/>
    <x:col min="6" max="6" width="18" style="40" customWidth="1"/>
    <x:col min="7" max="7" width="40" style="40" customWidth="1"/>
    <x:col min="8" max="8" width="14" style="40" customWidth="1"/>
    <x:col min="9" max="9" width="14" style="40" customWidth="1"/>
  </x:cols>
  <x:sheetData>
    <x:row r="1" s="40" customFormat="1" ht="30" customHeight="1">
      <x:c r="A1" s="380" t="inlineStr">
        <x:is>
          <x:t xml:space="preserve">OmniStackAI V5 — Repo Architecture</x:t>
        </x:is>
      </x:c>
      <x:c r="B1" s="375" t="n"/>
      <x:c r="C1" s="375" t="n"/>
      <x:c r="D1" s="375" t="n"/>
      <x:c r="E1" s="375" t="n"/>
      <x:c r="F1" s="375" t="n"/>
      <x:c r="G1" s="375" t="n"/>
      <x:c r="H1" s="375" t="n"/>
      <x:c r="I1" s="375" t="n"/>
    </x:row>
    <x:row r="2" s="40" customFormat="1" ht="34" customHeight="1">
      <x:c r="A2" s="381" t="inlineStr">
        <x:is>
          <x:t xml:space="preserve">Canonical naming: omnistackai-platform for the platform. One repository per customer product, monorepo inside by default.</x:t>
        </x:is>
      </x:c>
      <x:c r="B2" s="375" t="n"/>
      <x:c r="C2" s="375" t="n"/>
      <x:c r="D2" s="375" t="n"/>
      <x:c r="E2" s="375" t="n"/>
      <x:c r="F2" s="375" t="n"/>
      <x:c r="G2" s="375" t="n"/>
      <x:c r="H2" s="375" t="n"/>
      <x:c r="I2" s="375" t="n"/>
    </x:row>
    <x:row r="3">
      <x:c r="A3" s="54" t="n"/>
      <x:c r="B3" s="54" t="n"/>
      <x:c r="C3" s="54" t="n"/>
      <x:c r="D3" s="54" t="n"/>
      <x:c r="E3" s="54" t="n"/>
      <x:c r="F3" s="54" t="n"/>
      <x:c r="G3" s="54" t="n"/>
      <x:c r="H3" s="54" t="n"/>
      <x:c r="I3" s="54" t="n"/>
    </x:row>
    <x:row r="4" s="40" customFormat="1" ht="28" customHeight="1">
      <x:c r="A4" s="141" t="inlineStr">
        <x:is>
          <x:t xml:space="preserve">Scope</x:t>
        </x:is>
      </x:c>
      <x:c r="B4" s="142" t="inlineStr">
        <x:is>
          <x:t xml:space="preserve">Repository</x:t>
        </x:is>
      </x:c>
      <x:c r="C4" s="142" t="inlineStr">
        <x:is>
          <x:t xml:space="preserve">Structure</x:t>
        </x:is>
      </x:c>
      <x:c r="D4" s="142" t="inlineStr">
        <x:is>
          <x:t xml:space="preserve">Branch Strategy</x:t>
        </x:is>
      </x:c>
      <x:c r="E4" s="142" t="inlineStr">
        <x:is>
          <x:t xml:space="preserve">Split Trigger</x:t>
        </x:is>
      </x:c>
      <x:c r="F4" s="142" t="inlineStr">
        <x:is>
          <x:t xml:space="preserve">Ownership</x:t>
        </x:is>
      </x:c>
      <x:c r="G4" s="142" t="inlineStr">
        <x:is>
          <x:t xml:space="preserve">Key Rule</x:t>
        </x:is>
      </x:c>
      <x:c r="H4" s="143" t="inlineStr">
        <x:is>
          <x:t xml:space="preserve">Phase</x:t>
        </x:is>
      </x:c>
      <x:c r="I4" s="43" t="n"/>
    </x:row>
    <x:row r="5">
      <x:c r="A5" s="144" t="inlineStr">
        <x:is>
          <x:t xml:space="preserve">OmniStackAI platform</x:t>
        </x:is>
      </x:c>
      <x:c r="B5" s="145" t="inlineStr">
        <x:is>
          <x:t xml:space="preserve">omnistackai-platform</x:t>
        </x:is>
      </x:c>
      <x:c r="C5" s="145" t="inlineStr">
        <x:is>
          <x:t xml:space="preserve">apps + services + modules + workers + packages + ai + templates + infra + security</x:t>
        </x:is>
      </x:c>
      <x:c r="D5" s="145" t="inlineStr">
        <x:is>
          <x:t xml:space="preserve">trunk + short-lived branches</x:t>
        </x:is>
      </x:c>
      <x:c r="E5" s="145" t="inlineStr">
        <x:is>
          <x:t xml:space="preserve">real scale/security/release ownership boundary</x:t>
        </x:is>
      </x:c>
      <x:c r="F5" s="145" t="inlineStr">
        <x:is>
          <x:t xml:space="preserve">OmniStackAI</x:t>
        </x:is>
      </x:c>
      <x:c r="G5" s="145" t="inlineStr">
        <x:is>
          <x:t xml:space="preserve">modules are not microservices by default</x:t>
        </x:is>
      </x:c>
      <x:c r="H5" s="146" t="inlineStr">
        <x:is>
          <x:t xml:space="preserve">MVP</x:t>
        </x:is>
      </x:c>
      <x:c r="I5" s="42" t="n"/>
    </x:row>
    <x:row r="6">
      <x:c r="A6" s="223" t="inlineStr">
        <x:is>
          <x:t xml:space="preserve">Customer product</x:t>
        </x:is>
      </x:c>
      <x:c r="B6" s="284" t="inlineStr">
        <x:is>
          <x:t xml:space="preserve">&lt;org&gt;-&lt;product&gt;</x:t>
        </x:is>
      </x:c>
      <x:c r="C6" s="284" t="inlineStr">
        <x:is>
          <x:t xml:space="preserve">apps + services + packages + database + infra + tests + docs + .ai</x:t>
        </x:is>
      </x:c>
      <x:c r="D6" s="284" t="inlineStr">
        <x:is>
          <x:t xml:space="preserve">protected main + ai/&lt;task-id&gt; worktree</x:t>
        </x:is>
      </x:c>
      <x:c r="E6" s="284" t="inlineStr">
        <x:is>
          <x:t xml:space="preserve">independent teams/compliance/build scale</x:t>
        </x:is>
      </x:c>
      <x:c r="F6" s="284" t="inlineStr">
        <x:is>
          <x:t xml:space="preserve">customer or transferable</x:t>
        </x:is>
      </x:c>
      <x:c r="G6" s="284" t="inlineStr">
        <x:is>
          <x:t xml:space="preserve">never mix customer projects in one repo</x:t>
        </x:is>
      </x:c>
      <x:c r="H6" s="225" t="inlineStr">
        <x:is>
          <x:t xml:space="preserve">MVP</x:t>
        </x:is>
      </x:c>
      <x:c r="I6" s="43" t="n"/>
    </x:row>
    <x:row r="7">
      <x:c r="A7" s="147" t="inlineStr">
        <x:is>
          <x:t xml:space="preserve">Local Agent</x:t>
        </x:is>
      </x:c>
      <x:c r="B7" s="148" t="inlineStr">
        <x:is>
          <x:t xml:space="preserve">omnistackai-local-agent (optional split)</x:t>
        </x:is>
      </x:c>
      <x:c r="C7" s="148" t="inlineStr">
        <x:is>
          <x:t xml:space="preserve">desktop agent + updater + signing lifecycle</x:t>
        </x:is>
      </x:c>
      <x:c r="D7" s="148" t="inlineStr">
        <x:is>
          <x:t xml:space="preserve">signed releases</x:t>
        </x:is>
      </x:c>
      <x:c r="E7" s="148" t="inlineStr">
        <x:is>
          <x:t xml:space="preserve">separate security/update lifecycle</x:t>
        </x:is>
      </x:c>
      <x:c r="F7" s="148" t="inlineStr">
        <x:is>
          <x:t xml:space="preserve">OmniStackAI</x:t>
        </x:is>
      </x:c>
      <x:c r="G7" s="148" t="inlineStr">
        <x:is>
          <x:t xml:space="preserve">split only when justified</x:t>
        </x:is>
      </x:c>
      <x:c r="H7" s="149" t="inlineStr">
        <x:is>
          <x:t xml:space="preserve">MID</x:t>
        </x:is>
      </x:c>
      <x:c r="I7" s="42" t="n"/>
    </x:row>
    <x:row r="8">
      <x:c r="A8" s="239" t="inlineStr">
        <x:is>
          <x:t xml:space="preserve">Enterprise multi-repo</x:t>
        </x:is>
      </x:c>
      <x:c r="B8" s="240" t="inlineStr">
        <x:is>
          <x:t xml:space="preserve">customer-defined</x:t>
        </x:is>
      </x:c>
      <x:c r="C8" s="240" t="inlineStr">
        <x:is>
          <x:t xml:space="preserve">existing mature repos</x:t>
        </x:is>
      </x:c>
      <x:c r="D8" s="240" t="inlineStr">
        <x:is>
          <x:t xml:space="preserve">customer policy</x:t>
        </x:is>
      </x:c>
      <x:c r="E8" s="240" t="inlineStr">
        <x:is>
          <x:t xml:space="preserve">explicit architecture policy</x:t>
        </x:is>
      </x:c>
      <x:c r="F8" s="240" t="inlineStr">
        <x:is>
          <x:t xml:space="preserve">customer</x:t>
        </x:is>
      </x:c>
      <x:c r="G8" s="240" t="inlineStr">
        <x:is>
          <x:t xml:space="preserve">AI must never silently split repos</x:t>
        </x:is>
      </x:c>
      <x:c r="H8" s="241" t="inlineStr">
        <x:is>
          <x:t xml:space="preserve">ADV</x:t>
        </x:is>
      </x:c>
    </x:row>
    <x:row r="9">
      <x:c r="A9" s="377" t="n"/>
      <x:c r="B9" s="375" t="n"/>
      <x:c r="C9" s="375" t="n"/>
      <x:c r="D9" s="375" t="n"/>
      <x:c r="E9" s="375" t="n"/>
      <x:c r="F9" s="375" t="n"/>
      <x:c r="G9" s="375" t="n"/>
      <x:c r="H9" s="375" t="n"/>
      <x:c r="I9" s="375" t="n"/>
    </x:row>
    <x:row r="10">
      <x:c r="A10" s="54" t="n"/>
      <x:c r="B10" s="54" t="n"/>
      <x:c r="C10" s="54" t="n"/>
      <x:c r="D10" s="54" t="n"/>
      <x:c r="E10" s="54" t="n"/>
      <x:c r="F10" s="54" t="n"/>
      <x:c r="G10" s="54" t="n"/>
      <x:c r="H10" s="54" t="n"/>
      <x:c r="I10" s="54" t="n"/>
    </x:row>
    <x:row r="11">
      <x:c r="A11" s="43" t="n"/>
      <x:c r="B11" s="43" t="n"/>
      <x:c r="C11" s="43" t="n"/>
      <x:c r="D11" s="43" t="n"/>
      <x:c r="E11" s="43" t="n"/>
      <x:c r="F11" s="43" t="n"/>
      <x:c r="G11" s="43" t="n"/>
      <x:c r="H11" s="43" t="n"/>
      <x:c r="I11" s="43" t="n"/>
    </x:row>
    <x:row r="12">
      <x:c r="A12" s="42" t="n"/>
      <x:c r="B12" s="42" t="n"/>
      <x:c r="C12" s="42" t="n"/>
      <x:c r="D12" s="42" t="n"/>
      <x:c r="E12" s="42" t="n"/>
      <x:c r="F12" s="42" t="n"/>
      <x:c r="G12" s="42" t="n"/>
      <x:c r="H12" s="42" t="n"/>
      <x:c r="I12" s="42" t="n"/>
    </x:row>
    <x:row r="13">
      <x:c r="A13" s="43" t="n"/>
      <x:c r="B13" s="43" t="n"/>
      <x:c r="C13" s="43" t="n"/>
      <x:c r="D13" s="43" t="n"/>
      <x:c r="E13" s="43" t="n"/>
      <x:c r="F13" s="43" t="n"/>
      <x:c r="G13" s="43" t="n"/>
      <x:c r="H13" s="43" t="n"/>
      <x:c r="I13" s="43" t="n"/>
    </x:row>
    <x:row r="14">
      <x:c r="A14" s="42" t="n"/>
      <x:c r="B14" s="42" t="n"/>
      <x:c r="C14" s="42" t="n"/>
      <x:c r="D14" s="42" t="n"/>
      <x:c r="E14" s="42" t="n"/>
      <x:c r="F14" s="42" t="n"/>
      <x:c r="G14" s="42" t="n"/>
      <x:c r="H14" s="42" t="n"/>
      <x:c r="I14" s="42" t="n"/>
    </x:row>
    <x:row r="15">
      <x:c r="A15" s="43" t="n"/>
      <x:c r="B15" s="43" t="n"/>
      <x:c r="C15" s="43" t="n"/>
      <x:c r="D15" s="43" t="n"/>
      <x:c r="E15" s="43" t="n"/>
      <x:c r="F15" s="43" t="n"/>
      <x:c r="G15" s="43" t="n"/>
      <x:c r="H15" s="43" t="n"/>
      <x:c r="I15" s="43" t="n"/>
    </x:row>
    <x:row r="16">
      <x:c r="A16" s="42" t="n"/>
      <x:c r="B16" s="42" t="n"/>
      <x:c r="C16" s="42" t="n"/>
      <x:c r="D16" s="42" t="n"/>
      <x:c r="E16" s="42" t="n"/>
      <x:c r="F16" s="42" t="n"/>
      <x:c r="G16" s="42" t="n"/>
      <x:c r="H16" s="42" t="n"/>
      <x:c r="I16" s="42" t="n"/>
    </x:row>
  </x:sheetData>
  <x:mergeCells>
    <x:mergeCell ref="A2:I2"/>
    <x:mergeCell ref="A2:H2"/>
    <x:mergeCell ref="A1:I1"/>
    <x:mergeCell ref="A9:I9"/>
    <x:mergeCell ref="A1:H1"/>
  </x:mergeCells>
  <x:pageMargins left="0.7" right="0.7" top="0.75" bottom="0.75" header="0.3" footer="0.3"/>
</x:worksheet>
</file>

<file path=xl/worksheets/sheet19.xml><?xml version="1.0" encoding="utf-8"?>
<x:worksheet xmlns:x="http://schemas.openxmlformats.org/spreadsheetml/2006/main">
  <x:sheetFormatPr baseColWidth="8" defaultRowHeight="15"/>
  <x:cols>
    <x:col min="1" max="1" width="28" style="40" customWidth="1"/>
    <x:col min="2" max="2" width="14" style="40" customWidth="1"/>
    <x:col min="3" max="3" width="18" style="40" customWidth="1"/>
    <x:col min="4" max="4" width="14" style="40" customWidth="1"/>
    <x:col min="5" max="5" width="42" style="40" customWidth="1"/>
    <x:col min="6" max="6" width="26" style="40" customWidth="1"/>
    <x:col min="7" max="7" width="18" style="40" customWidth="1"/>
    <x:col min="8" max="8" width="44" style="40" customWidth="1"/>
  </x:cols>
  <x:sheetData>
    <x:row r="1">
      <x:c r="A1" s="394" t="inlineStr">
        <x:is>
          <x:t xml:space="preserve">Generated Customer Project Monorepo Structure</x:t>
        </x:is>
      </x:c>
      <x:c r="B1" s="375" t="n"/>
      <x:c r="C1" s="375" t="n"/>
      <x:c r="D1" s="375" t="n"/>
      <x:c r="E1" s="375" t="n"/>
      <x:c r="F1" s="375" t="n"/>
      <x:c r="G1" s="375" t="n"/>
      <x:c r="H1" s="375" t="n"/>
    </x:row>
    <x:row r="2">
      <x:c r="A2" s="395" t="inlineStr">
        <x:is>
          <x:t xml:space="preserve">The root layout stays stable. Only the mobile target folders change. This makes Application IR, context retrieval, testing, Git and deployment predictable across Flutter, React Native and Native projects.</x:t>
        </x:is>
      </x:c>
      <x:c r="B2" s="375" t="n"/>
      <x:c r="C2" s="375" t="n"/>
      <x:c r="D2" s="375" t="n"/>
      <x:c r="E2" s="375" t="n"/>
      <x:c r="F2" s="375" t="n"/>
      <x:c r="G2" s="375" t="n"/>
      <x:c r="H2" s="375" t="n"/>
    </x:row>
    <x:row r="3">
      <x:c r="A3" s="54" t="inlineStr">
        <x:is>
          <x:t xml:space="preserve">Path</x:t>
        </x:is>
      </x:c>
      <x:c r="B3" s="54" t="inlineStr">
        <x:is>
          <x:t xml:space="preserve">Flutter Project</x:t>
        </x:is>
      </x:c>
      <x:c r="C3" s="54" t="inlineStr">
        <x:is>
          <x:t xml:space="preserve">React Native Project</x:t>
        </x:is>
      </x:c>
      <x:c r="D3" s="54" t="inlineStr">
        <x:is>
          <x:t xml:space="preserve">Native Project</x:t>
        </x:is>
      </x:c>
      <x:c r="E3" s="54" t="inlineStr">
        <x:is>
          <x:t xml:space="preserve">Purpose</x:t>
        </x:is>
      </x:c>
      <x:c r="F3" s="54" t="inlineStr">
        <x:is>
          <x:t xml:space="preserve">Owner/Agent</x:t>
        </x:is>
      </x:c>
      <x:c r="G3" s="54" t="inlineStr">
        <x:is>
          <x:t xml:space="preserve">Phase</x:t>
        </x:is>
      </x:c>
      <x:c r="H3" s="54" t="inlineStr">
        <x:is>
          <x:t xml:space="preserve">Rule</x:t>
        </x:is>
      </x:c>
    </x:row>
    <x:row r="4">
      <x:c r="A4" s="43" t="inlineStr">
        <x:is>
          <x:t xml:space="preserve">.ai/</x:t>
        </x:is>
      </x:c>
      <x:c r="B4" s="43" t="inlineStr">
        <x:is>
          <x:t xml:space="preserve">Yes</x:t>
        </x:is>
      </x:c>
      <x:c r="C4" s="43" t="inlineStr">
        <x:is>
          <x:t xml:space="preserve">Yes</x:t>
        </x:is>
      </x:c>
      <x:c r="D4" s="43" t="inlineStr">
        <x:is>
          <x:t xml:space="preserve">Yes</x:t>
        </x:is>
      </x:c>
      <x:c r="E4" s="43" t="inlineStr">
        <x:is>
          <x:t xml:space="preserve">Application IR, ADRs, policies, task metadata and safe project memory.</x:t>
        </x:is>
      </x:c>
      <x:c r="F4" s="43" t="inlineStr">
        <x:is>
          <x:t xml:space="preserve">Architect/Context Manager</x:t>
        </x:is>
      </x:c>
      <x:c r="G4" s="43" t="inlineStr">
        <x:is>
          <x:t xml:space="preserve">MVP</x:t>
        </x:is>
      </x:c>
      <x:c r="H4" s="43" t="inlineStr">
        <x:is>
          <x:t xml:space="preserve">Machine-readable; never store secrets.</x:t>
        </x:is>
      </x:c>
    </x:row>
    <x:row r="5">
      <x:c r="A5" s="42" t="inlineStr">
        <x:is>
          <x:t xml:space="preserve">apps/mobile-flutter/</x:t>
        </x:is>
      </x:c>
      <x:c r="B5" s="42" t="inlineStr">
        <x:is>
          <x:t xml:space="preserve">Yes</x:t>
        </x:is>
      </x:c>
      <x:c r="C5" s="42" t="inlineStr">
        <x:is>
          <x:t xml:space="preserve">No</x:t>
        </x:is>
      </x:c>
      <x:c r="D5" s="42" t="inlineStr">
        <x:is>
          <x:t xml:space="preserve">No</x:t>
        </x:is>
      </x:c>
      <x:c r="E5" s="42" t="inlineStr">
        <x:is>
          <x:t xml:space="preserve">Single Dart mobile codebase for Android/iOS.</x:t>
        </x:is>
      </x:c>
      <x:c r="F5" s="42" t="inlineStr">
        <x:is>
          <x:t xml:space="preserve">Cross-platform Mobile Agent</x:t>
        </x:is>
      </x:c>
      <x:c r="G5" s="42" t="inlineStr">
        <x:is>
          <x:t xml:space="preserve">MVP</x:t>
        </x:is>
      </x:c>
      <x:c r="H5" s="42" t="inlineStr">
        <x:is>
          <x:t xml:space="preserve">Optional Flutter Web entry only when web_strategy=flutter_web.</x:t>
        </x:is>
      </x:c>
    </x:row>
    <x:row r="6">
      <x:c r="A6" s="43" t="inlineStr">
        <x:is>
          <x:t xml:space="preserve">apps/mobile-react-native/</x:t>
        </x:is>
      </x:c>
      <x:c r="B6" s="43" t="inlineStr">
        <x:is>
          <x:t xml:space="preserve">No</x:t>
        </x:is>
      </x:c>
      <x:c r="C6" s="43" t="inlineStr">
        <x:is>
          <x:t xml:space="preserve">Yes</x:t>
        </x:is>
      </x:c>
      <x:c r="D6" s="43" t="inlineStr">
        <x:is>
          <x:t xml:space="preserve">No</x:t>
        </x:is>
      </x:c>
      <x:c r="E6" s="43" t="inlineStr">
        <x:is>
          <x:t xml:space="preserve">Single RN/Expo mobile codebase for Android/iOS.</x:t>
        </x:is>
      </x:c>
      <x:c r="F6" s="43" t="inlineStr">
        <x:is>
          <x:t xml:space="preserve">Cross-platform Mobile Agent</x:t>
        </x:is>
      </x:c>
      <x:c r="G6" s="43" t="inlineStr">
        <x:is>
          <x:t xml:space="preserve">MVP</x:t>
        </x:is>
      </x:c>
      <x:c r="H6" s="43" t="inlineStr">
        <x:is>
          <x:t xml:space="preserve">Web adapter is optional; do not make admin depend on it.</x:t>
        </x:is>
      </x:c>
    </x:row>
    <x:row r="7">
      <x:c r="A7" s="42" t="inlineStr">
        <x:is>
          <x:t xml:space="preserve">apps/android/</x:t>
        </x:is>
      </x:c>
      <x:c r="B7" s="42" t="inlineStr">
        <x:is>
          <x:t xml:space="preserve">No</x:t>
        </x:is>
      </x:c>
      <x:c r="C7" s="42" t="inlineStr">
        <x:is>
          <x:t xml:space="preserve">No</x:t>
        </x:is>
      </x:c>
      <x:c r="D7" s="42" t="inlineStr">
        <x:is>
          <x:t xml:space="preserve">Yes</x:t>
        </x:is>
      </x:c>
      <x:c r="E7" s="42" t="inlineStr">
        <x:is>
          <x:t xml:space="preserve">Native Kotlin + Jetpack Compose app.</x:t>
        </x:is>
      </x:c>
      <x:c r="F7" s="42" t="inlineStr">
        <x:is>
          <x:t xml:space="preserve">Native Android Agent</x:t>
        </x:is>
      </x:c>
      <x:c r="G7" s="42" t="inlineStr">
        <x:is>
          <x:t xml:space="preserve">MVP beta / MID GA</x:t>
        </x:is>
      </x:c>
      <x:c r="H7" s="42" t="inlineStr">
        <x:is>
          <x:t xml:space="preserve">Platform-specific source of truth for Android.</x:t>
        </x:is>
      </x:c>
    </x:row>
    <x:row r="8">
      <x:c r="A8" s="43" t="inlineStr">
        <x:is>
          <x:t xml:space="preserve">apps/ios/</x:t>
        </x:is>
      </x:c>
      <x:c r="B8" s="43" t="inlineStr">
        <x:is>
          <x:t xml:space="preserve">No</x:t>
        </x:is>
      </x:c>
      <x:c r="C8" s="43" t="inlineStr">
        <x:is>
          <x:t xml:space="preserve">No</x:t>
        </x:is>
      </x:c>
      <x:c r="D8" s="43" t="inlineStr">
        <x:is>
          <x:t xml:space="preserve">Yes</x:t>
        </x:is>
      </x:c>
      <x:c r="E8" s="43" t="inlineStr">
        <x:is>
          <x:t xml:space="preserve">Native Swift + SwiftUI app.</x:t>
        </x:is>
      </x:c>
      <x:c r="F8" s="43" t="inlineStr">
        <x:is>
          <x:t xml:space="preserve">Native iOS Agent</x:t>
        </x:is>
      </x:c>
      <x:c r="G8" s="43" t="inlineStr">
        <x:is>
          <x:t xml:space="preserve">MVP beta / MID GA</x:t>
        </x:is>
      </x:c>
      <x:c r="H8" s="43" t="inlineStr">
        <x:is>
          <x:t xml:space="preserve">Actual iOS compile/run uses macOS.</x:t>
        </x:is>
      </x:c>
    </x:row>
    <x:row r="9">
      <x:c r="A9" s="42" t="inlineStr">
        <x:is>
          <x:t xml:space="preserve">apps/web/</x:t>
        </x:is>
      </x:c>
      <x:c r="B9" s="42" t="inlineStr">
        <x:is>
          <x:t xml:space="preserve">Yes</x:t>
        </x:is>
      </x:c>
      <x:c r="C9" s="42" t="inlineStr">
        <x:is>
          <x:t xml:space="preserve">Yes</x:t>
        </x:is>
      </x:c>
      <x:c r="D9" s="42" t="inlineStr">
        <x:is>
          <x:t xml:space="preserve">Yes</x:t>
        </x:is>
      </x:c>
      <x:c r="E9" s="42" t="inlineStr">
        <x:is>
          <x:t xml:space="preserve">Customer-facing web/PWA, normally Next.js.</x:t>
        </x:is>
      </x:c>
      <x:c r="F9" s="42" t="inlineStr">
        <x:is>
          <x:t xml:space="preserve">Web Agent</x:t>
        </x:is>
      </x:c>
      <x:c r="G9" s="42" t="inlineStr">
        <x:is>
          <x:t xml:space="preserve">MVP</x:t>
        </x:is>
      </x:c>
      <x:c r="H9" s="42" t="inlineStr">
        <x:is>
          <x:t xml:space="preserve">Can use generated contracts and design tokens.</x:t>
        </x:is>
      </x:c>
    </x:row>
    <x:row r="10">
      <x:c r="A10" s="43" t="inlineStr">
        <x:is>
          <x:t xml:space="preserve">apps/admin/</x:t>
        </x:is>
      </x:c>
      <x:c r="B10" s="43" t="inlineStr">
        <x:is>
          <x:t xml:space="preserve">Yes</x:t>
        </x:is>
      </x:c>
      <x:c r="C10" s="43" t="inlineStr">
        <x:is>
          <x:t xml:space="preserve">Yes</x:t>
        </x:is>
      </x:c>
      <x:c r="D10" s="43" t="inlineStr">
        <x:is>
          <x:t xml:space="preserve">Yes</x:t>
        </x:is>
      </x:c>
      <x:c r="E10" s="43" t="inlineStr">
        <x:is>
          <x:t xml:space="preserve">Admin/operations console, normally Next.js.</x:t>
        </x:is>
      </x:c>
      <x:c r="F10" s="43" t="inlineStr">
        <x:is>
          <x:t xml:space="preserve">Web/Admin Agent</x:t>
        </x:is>
      </x:c>
      <x:c r="G10" s="43" t="inlineStr">
        <x:is>
          <x:t xml:space="preserve">MVP</x:t>
        </x:is>
      </x:c>
      <x:c r="H10" s="43" t="inlineStr">
        <x:is>
          <x:t xml:space="preserve">Desktop-first; do not force mobile framework.</x:t>
        </x:is>
      </x:c>
    </x:row>
    <x:row r="11">
      <x:c r="A11" s="42" t="inlineStr">
        <x:is>
          <x:t xml:space="preserve">services/api/</x:t>
        </x:is>
      </x:c>
      <x:c r="B11" s="42" t="inlineStr">
        <x:is>
          <x:t xml:space="preserve">Yes</x:t>
        </x:is>
      </x:c>
      <x:c r="C11" s="42" t="inlineStr">
        <x:is>
          <x:t xml:space="preserve">Yes</x:t>
        </x:is>
      </x:c>
      <x:c r="D11" s="42" t="inlineStr">
        <x:is>
          <x:t xml:space="preserve">Yes</x:t>
        </x:is>
      </x:c>
      <x:c r="E11" s="42" t="inlineStr">
        <x:is>
          <x:t xml:space="preserve">Primary application backend: Go or Python by selected profile.</x:t>
        </x:is>
      </x:c>
      <x:c r="F11" s="42" t="inlineStr">
        <x:is>
          <x:t xml:space="preserve">Backend Agent</x:t>
        </x:is>
      </x:c>
      <x:c r="G11" s="42" t="inlineStr">
        <x:is>
          <x:t xml:space="preserve">MVP</x:t>
        </x:is>
      </x:c>
      <x:c r="H11" s="42" t="inlineStr">
        <x:is>
          <x:t xml:space="preserve">Node/NestJS optional only when justified.</x:t>
        </x:is>
      </x:c>
    </x:row>
    <x:row r="12">
      <x:c r="A12" s="43" t="inlineStr">
        <x:is>
          <x:t xml:space="preserve">services/workers/</x:t>
        </x:is>
      </x:c>
      <x:c r="B12" s="43" t="inlineStr">
        <x:is>
          <x:t xml:space="preserve">Optional</x:t>
        </x:is>
      </x:c>
      <x:c r="C12" s="43" t="inlineStr">
        <x:is>
          <x:t xml:space="preserve">Optional</x:t>
        </x:is>
      </x:c>
      <x:c r="D12" s="43" t="inlineStr">
        <x:is>
          <x:t xml:space="preserve">Optional</x:t>
        </x:is>
      </x:c>
      <x:c r="E12" s="43" t="inlineStr">
        <x:is>
          <x:t xml:space="preserve">Async jobs, notifications, queues, AI/data jobs.</x:t>
        </x:is>
      </x:c>
      <x:c r="F12" s="43" t="inlineStr">
        <x:is>
          <x:t xml:space="preserve">Backend Agent</x:t>
        </x:is>
      </x:c>
      <x:c r="G12" s="43" t="inlineStr">
        <x:is>
          <x:t xml:space="preserve">MVP/MID</x:t>
        </x:is>
      </x:c>
      <x:c r="H12" s="43" t="inlineStr">
        <x:is>
          <x:t xml:space="preserve">Create only when workload requires it.</x:t>
        </x:is>
      </x:c>
    </x:row>
    <x:row r="13">
      <x:c r="A13" s="42" t="inlineStr">
        <x:is>
          <x:t xml:space="preserve">packages/contracts/</x:t>
        </x:is>
      </x:c>
      <x:c r="B13" s="42" t="inlineStr">
        <x:is>
          <x:t xml:space="preserve">Yes</x:t>
        </x:is>
      </x:c>
      <x:c r="C13" s="42" t="inlineStr">
        <x:is>
          <x:t xml:space="preserve">Yes</x:t>
        </x:is>
      </x:c>
      <x:c r="D13" s="42" t="inlineStr">
        <x:is>
          <x:t xml:space="preserve">Yes</x:t>
        </x:is>
      </x:c>
      <x:c r="E13" s="42" t="inlineStr">
        <x:is>
          <x:t xml:space="preserve">OpenAPI/AsyncAPI/schema contracts + generated clients.</x:t>
        </x:is>
      </x:c>
      <x:c r="F13" s="42" t="inlineStr">
        <x:is>
          <x:t xml:space="preserve">Architect/Backend</x:t>
        </x:is>
      </x:c>
      <x:c r="G13" s="42" t="inlineStr">
        <x:is>
          <x:t xml:space="preserve">MVP</x:t>
        </x:is>
      </x:c>
      <x:c r="H13" s="42" t="inlineStr">
        <x:is>
          <x:t xml:space="preserve">Cross-platform source of API truth.</x:t>
        </x:is>
      </x:c>
    </x:row>
    <x:row r="14">
      <x:c r="A14" s="43" t="inlineStr">
        <x:is>
          <x:t xml:space="preserve">packages/design-tokens/</x:t>
        </x:is>
      </x:c>
      <x:c r="B14" s="43" t="inlineStr">
        <x:is>
          <x:t xml:space="preserve">Yes</x:t>
        </x:is>
      </x:c>
      <x:c r="C14" s="43" t="inlineStr">
        <x:is>
          <x:t xml:space="preserve">Yes</x:t>
        </x:is>
      </x:c>
      <x:c r="D14" s="43" t="inlineStr">
        <x:is>
          <x:t xml:space="preserve">Yes</x:t>
        </x:is>
      </x:c>
      <x:c r="E14" s="43" t="inlineStr">
        <x:is>
          <x:t xml:space="preserve">Colors, typography, spacing, icons metadata.</x:t>
        </x:is>
      </x:c>
      <x:c r="F14" s="43" t="inlineStr">
        <x:is>
          <x:t xml:space="preserve">UI/Framework Agents</x:t>
        </x:is>
      </x:c>
      <x:c r="G14" s="43" t="inlineStr">
        <x:is>
          <x:t xml:space="preserve">MVP</x:t>
        </x:is>
      </x:c>
      <x:c r="H14" s="43" t="inlineStr">
        <x:is>
          <x:t xml:space="preserve">Generate framework-specific token packages.</x:t>
        </x:is>
      </x:c>
    </x:row>
    <x:row r="15">
      <x:c r="A15" s="42" t="inlineStr">
        <x:is>
          <x:t xml:space="preserve">packages/domain/</x:t>
        </x:is>
      </x:c>
      <x:c r="B15" s="42" t="inlineStr">
        <x:is>
          <x:t xml:space="preserve">Yes</x:t>
        </x:is>
      </x:c>
      <x:c r="C15" s="42" t="inlineStr">
        <x:is>
          <x:t xml:space="preserve">Yes</x:t>
        </x:is>
      </x:c>
      <x:c r="D15" s="42" t="inlineStr">
        <x:is>
          <x:t xml:space="preserve">Yes</x:t>
        </x:is>
      </x:c>
      <x:c r="E15" s="42" t="inlineStr">
        <x:is>
          <x:t xml:space="preserve">Framework-neutral domain rules/specification where practical.</x:t>
        </x:is>
      </x:c>
      <x:c r="F15" s="42" t="inlineStr">
        <x:is>
          <x:t xml:space="preserve">Architect</x:t>
        </x:is>
      </x:c>
      <x:c r="G15" s="42" t="inlineStr">
        <x:is>
          <x:t xml:space="preserve">MVP</x:t>
        </x:is>
      </x:c>
      <x:c r="H15" s="42" t="inlineStr">
        <x:is>
          <x:t xml:space="preserve">Avoid sharing runtime code across incompatible languages.</x:t>
        </x:is>
      </x:c>
    </x:row>
    <x:row r="16">
      <x:c r="A16" s="43" t="inlineStr">
        <x:is>
          <x:t xml:space="preserve">database/</x:t>
        </x:is>
      </x:c>
      <x:c r="B16" s="43" t="inlineStr">
        <x:is>
          <x:t xml:space="preserve">Yes</x:t>
        </x:is>
      </x:c>
      <x:c r="C16" s="43" t="inlineStr">
        <x:is>
          <x:t xml:space="preserve">Yes</x:t>
        </x:is>
      </x:c>
      <x:c r="D16" s="43" t="inlineStr">
        <x:is>
          <x:t xml:space="preserve">Yes</x:t>
        </x:is>
      </x:c>
      <x:c r="E16" s="43" t="inlineStr">
        <x:is>
          <x:t xml:space="preserve">Migrations, seeds, schema documentation.</x:t>
        </x:is>
      </x:c>
      <x:c r="F16" s="43" t="inlineStr">
        <x:is>
          <x:t xml:space="preserve">Database Agent</x:t>
        </x:is>
      </x:c>
      <x:c r="G16" s="43" t="inlineStr">
        <x:is>
          <x:t xml:space="preserve">MVP</x:t>
        </x:is>
      </x:c>
      <x:c r="H16" s="43" t="inlineStr">
        <x:is>
          <x:t xml:space="preserve">Production destructive changes require approval.</x:t>
        </x:is>
      </x:c>
    </x:row>
    <x:row r="17">
      <x:c r="A17" s="42" t="inlineStr">
        <x:is>
          <x:t xml:space="preserve">infra/</x:t>
        </x:is>
      </x:c>
      <x:c r="B17" s="42" t="inlineStr">
        <x:is>
          <x:t xml:space="preserve">Yes</x:t>
        </x:is>
      </x:c>
      <x:c r="C17" s="42" t="inlineStr">
        <x:is>
          <x:t xml:space="preserve">Yes</x:t>
        </x:is>
      </x:c>
      <x:c r="D17" s="42" t="inlineStr">
        <x:is>
          <x:t xml:space="preserve">Yes</x:t>
        </x:is>
      </x:c>
      <x:c r="E17" s="42" t="inlineStr">
        <x:is>
          <x:t xml:space="preserve">Deployment/IaC/config templates.</x:t>
        </x:is>
      </x:c>
      <x:c r="F17" s="42" t="inlineStr">
        <x:is>
          <x:t xml:space="preserve">Deployment Agent</x:t>
        </x:is>
      </x:c>
      <x:c r="G17" s="42" t="inlineStr">
        <x:is>
          <x:t xml:space="preserve">MVP/MID</x:t>
        </x:is>
      </x:c>
      <x:c r="H17" s="42" t="inlineStr">
        <x:is>
          <x:t xml:space="preserve">No raw secrets in repo.</x:t>
        </x:is>
      </x:c>
    </x:row>
    <x:row r="18">
      <x:c r="A18" s="43" t="inlineStr">
        <x:is>
          <x:t xml:space="preserve">tests/</x:t>
        </x:is>
      </x:c>
      <x:c r="B18" s="43" t="inlineStr">
        <x:is>
          <x:t xml:space="preserve">Yes</x:t>
        </x:is>
      </x:c>
      <x:c r="C18" s="43" t="inlineStr">
        <x:is>
          <x:t xml:space="preserve">Yes</x:t>
        </x:is>
      </x:c>
      <x:c r="D18" s="43" t="inlineStr">
        <x:is>
          <x:t xml:space="preserve">Yes</x:t>
        </x:is>
      </x:c>
      <x:c r="E18" s="43" t="inlineStr">
        <x:is>
          <x:t xml:space="preserve">Cross-product contract/E2E/fixtures/visual baselines.</x:t>
        </x:is>
      </x:c>
      <x:c r="F18" s="43" t="inlineStr">
        <x:is>
          <x:t xml:space="preserve">QA Agent</x:t>
        </x:is>
      </x:c>
      <x:c r="G18" s="43" t="inlineStr">
        <x:is>
          <x:t xml:space="preserve">MVP</x:t>
        </x:is>
      </x:c>
      <x:c r="H18" s="43" t="inlineStr">
        <x:is>
          <x:t xml:space="preserve">Framework-specific tests remain inside app modules when appropriate.</x:t>
        </x:is>
      </x:c>
    </x:row>
    <x:row r="19">
      <x:c r="A19" s="42" t="inlineStr">
        <x:is>
          <x:t xml:space="preserve">docs/</x:t>
        </x:is>
      </x:c>
      <x:c r="B19" s="42" t="inlineStr">
        <x:is>
          <x:t xml:space="preserve">Yes</x:t>
        </x:is>
      </x:c>
      <x:c r="C19" s="42" t="inlineStr">
        <x:is>
          <x:t xml:space="preserve">Yes</x:t>
        </x:is>
      </x:c>
      <x:c r="D19" s="42" t="inlineStr">
        <x:is>
          <x:t xml:space="preserve">Yes</x:t>
        </x:is>
      </x:c>
      <x:c r="E19" s="42" t="inlineStr">
        <x:is>
          <x:t xml:space="preserve">Human architecture/product/API documentation.</x:t>
        </x:is>
      </x:c>
      <x:c r="F19" s="42" t="inlineStr">
        <x:is>
          <x:t xml:space="preserve">Architect/Agents</x:t>
        </x:is>
      </x:c>
      <x:c r="G19" s="42" t="inlineStr">
        <x:is>
          <x:t xml:space="preserve">MVP</x:t>
        </x:is>
      </x:c>
      <x:c r="H19" s="42" t="inlineStr">
        <x:is>
          <x:t xml:space="preserve">Generated docs must track accepted code/IR.</x:t>
        </x:is>
      </x:c>
    </x:row>
  </x:sheetData>
  <x:mergeCells>
    <x:mergeCell ref="A2:H2"/>
    <x:mergeCell ref="A1:H1"/>
  </x:mergeCells>
  <x:pageMargins left="0.7" right="0.7" top="0.75" bottom="0.75" header="0.3" footer="0.3"/>
</x:worksheet>
</file>

<file path=xl/worksheets/sheet20.xml><?xml version="1.0" encoding="utf-8"?>
<x:worksheet xmlns:x="http://schemas.openxmlformats.org/spreadsheetml/2006/main">
  <x:sheetFormatPr baseColWidth="8" defaultRowHeight="15"/>
  <x:cols>
    <x:col min="1" max="1" width="20" style="40" customWidth="1"/>
    <x:col min="2" max="2" width="20" style="40" customWidth="1"/>
    <x:col min="3" max="3" width="28" style="40" customWidth="1"/>
    <x:col min="4" max="4" width="48" style="40" customWidth="1"/>
    <x:col min="5" max="5" width="24" style="40" customWidth="1"/>
    <x:col min="6" max="6" width="18" style="40" customWidth="1"/>
    <x:col min="7" max="7" width="24" style="40" customWidth="1"/>
    <x:col min="8" max="8" width="18" style="40" customWidth="1"/>
    <x:col min="9" max="9" width="14" style="40" customWidth="1"/>
    <x:col min="10" max="10" width="46" style="40" customWidth="1"/>
  </x:cols>
  <x:sheetData>
    <x:row r="1" s="40" customFormat="1" ht="30" customHeight="1">
      <x:c r="A1" s="396" t="inlineStr">
        <x:is>
          <x:t xml:space="preserve">Framework / Stack Profiles</x:t>
        </x:is>
      </x:c>
      <x:c r="B1" s="375" t="n"/>
      <x:c r="C1" s="375" t="n"/>
      <x:c r="D1" s="375" t="n"/>
      <x:c r="E1" s="375" t="n"/>
      <x:c r="F1" s="375" t="n"/>
      <x:c r="G1" s="375" t="n"/>
      <x:c r="H1" s="375" t="n"/>
      <x:c r="I1" s="375" t="n"/>
      <x:c r="J1" s="375" t="n"/>
    </x:row>
    <x:row r="2" s="40" customFormat="1" ht="36" customHeight="1">
      <x:c r="A2" s="397" t="inlineStr">
        <x:is>
          <x:t xml:space="preserve">Product must offer multiple creation profiles. Default is Auto/Recommended; cross-platform is normally cheaper for small/medium apps, while Native is selected by measured technical need or explicit user choice.</x:t>
        </x:is>
      </x:c>
      <x:c r="B2" s="375" t="n"/>
      <x:c r="C2" s="375" t="n"/>
      <x:c r="D2" s="375" t="n"/>
      <x:c r="E2" s="375" t="n"/>
      <x:c r="F2" s="375" t="n"/>
      <x:c r="G2" s="375" t="n"/>
      <x:c r="H2" s="375" t="n"/>
      <x:c r="I2" s="375" t="n"/>
      <x:c r="J2" s="375" t="n"/>
    </x:row>
    <x:row r="3" s="40" customFormat="1" ht="28" customHeight="1">
      <x:c r="A3" s="78" t="inlineStr">
        <x:is>
          <x:t xml:space="preserve">Profile</x:t>
        </x:is>
      </x:c>
      <x:c r="B3" s="78" t="inlineStr">
        <x:is>
          <x:t xml:space="preserve">Maturity</x:t>
        </x:is>
      </x:c>
      <x:c r="C3" s="78" t="inlineStr">
        <x:is>
          <x:t xml:space="preserve">Mobile Technology</x:t>
        </x:is>
      </x:c>
      <x:c r="D3" s="78" t="inlineStr">
        <x:is>
          <x:t xml:space="preserve">Mobile Scope</x:t>
        </x:is>
      </x:c>
      <x:c r="E3" s="78" t="inlineStr">
        <x:is>
          <x:t xml:space="preserve">Public Web</x:t>
        </x:is>
      </x:c>
      <x:c r="F3" s="78" t="inlineStr">
        <x:is>
          <x:t xml:space="preserve">Admin</x:t>
        </x:is>
      </x:c>
      <x:c r="G3" s="78" t="inlineStr">
        <x:is>
          <x:t xml:space="preserve">Backend</x:t>
        </x:is>
      </x:c>
      <x:c r="H3" s="78" t="inlineStr">
        <x:is>
          <x:t xml:space="preserve">DB</x:t>
        </x:is>
      </x:c>
      <x:c r="I3" s="78" t="inlineStr">
        <x:is>
          <x:t xml:space="preserve">Relative Cost</x:t>
        </x:is>
      </x:c>
      <x:c r="J3" s="78" t="inlineStr">
        <x:is>
          <x:t xml:space="preserve">Non-Negotiable Rule</x:t>
        </x:is>
      </x:c>
    </x:row>
    <x:row r="4">
      <x:c r="A4" s="66" t="inlineStr">
        <x:is>
          <x:t xml:space="preserve">Auto / Recommended</x:t>
        </x:is>
      </x:c>
      <x:c r="B4" s="66" t="inlineStr">
        <x:is>
          <x:t xml:space="preserve">Default</x:t>
        </x:is>
      </x:c>
      <x:c r="C4" s="66" t="inlineStr">
        <x:is>
          <x:t xml:space="preserve">Decision engine</x:t>
        </x:is>
      </x:c>
      <x:c r="D4" s="66" t="inlineStr">
        <x:is>
          <x:t xml:space="preserve">Usually Flutter or React Native for small/medium standard products; Native when measurable requirements justify it.</x:t>
        </x:is>
      </x:c>
      <x:c r="E4" s="66" t="inlineStr">
        <x:is>
          <x:t xml:space="preserve">Next.js</x:t>
        </x:is>
      </x:c>
      <x:c r="F4" s="66" t="inlineStr">
        <x:is>
          <x:t xml:space="preserve">Next.js</x:t>
        </x:is>
      </x:c>
      <x:c r="G4" s="66" t="inlineStr">
        <x:is>
          <x:t xml:space="preserve">Go or Python</x:t>
        </x:is>
      </x:c>
      <x:c r="H4" s="66" t="inlineStr">
        <x:is>
          <x:t xml:space="preserve">PostgreSQL</x:t>
        </x:is>
      </x:c>
      <x:c r="I4" s="66" t="inlineStr">
        <x:is>
          <x:t xml:space="preserve">Lowest safe</x:t>
        </x:is>
      </x:c>
      <x:c r="J4" s="66" t="inlineStr">
        <x:is>
          <x:t xml:space="preserve">User can override; recommendation + reason stored in IR.</x:t>
        </x:is>
      </x:c>
    </x:row>
    <x:row r="5">
      <x:c r="A5" s="65" t="inlineStr">
        <x:is>
          <x:t xml:space="preserve">Flutter</x:t>
        </x:is>
      </x:c>
      <x:c r="B5" s="65" t="inlineStr">
        <x:is>
          <x:t xml:space="preserve">MVP Stable</x:t>
        </x:is>
      </x:c>
      <x:c r="C5" s="65" t="inlineStr">
        <x:is>
          <x:t xml:space="preserve">Dart / Flutter</x:t>
        </x:is>
      </x:c>
      <x:c r="D5" s="65" t="inlineStr">
        <x:is>
          <x:t xml:space="preserve">Android + iOS single codebase. Optional Flutter Web only for app-like web targets.</x:t>
        </x:is>
      </x:c>
      <x:c r="E5" s="65" t="inlineStr">
        <x:is>
          <x:t xml:space="preserve">Next.js default</x:t>
        </x:is>
      </x:c>
      <x:c r="F5" s="65" t="inlineStr">
        <x:is>
          <x:t xml:space="preserve">Next.js</x:t>
        </x:is>
      </x:c>
      <x:c r="G5" s="65" t="inlineStr">
        <x:is>
          <x:t xml:space="preserve">Go or Python</x:t>
        </x:is>
      </x:c>
      <x:c r="H5" s="65" t="inlineStr">
        <x:is>
          <x:t xml:space="preserve">PostgreSQL</x:t>
        </x:is>
      </x:c>
      <x:c r="I5" s="65" t="inlineStr">
        <x:is>
          <x:t xml:space="preserve">Low-Medium</x:t>
        </x:is>
      </x:c>
      <x:c r="J5" s="65" t="inlineStr">
        <x:is>
          <x:t xml:space="preserve">Strong for custom consistent UI and lower mobile cost.</x:t>
        </x:is>
      </x:c>
    </x:row>
    <x:row r="6">
      <x:c r="A6" s="66" t="inlineStr">
        <x:is>
          <x:t xml:space="preserve">React Native</x:t>
        </x:is>
      </x:c>
      <x:c r="B6" s="66" t="inlineStr">
        <x:is>
          <x:t xml:space="preserve">MVP Stable / Controlled Beta</x:t>
        </x:is>
      </x:c>
      <x:c r="C6" s="66" t="inlineStr">
        <x:is>
          <x:t xml:space="preserve">TypeScript / React Native</x:t>
        </x:is>
      </x:c>
      <x:c r="D6" s="66" t="inlineStr">
        <x:is>
          <x:t xml:space="preserve">Android + iOS single codebase. Expo profile when capability fit is good; bare/native modules when required.</x:t>
        </x:is>
      </x:c>
      <x:c r="E6" s="66" t="inlineStr">
        <x:is>
          <x:t xml:space="preserve">Next.js default; RN Web optional</x:t>
        </x:is>
      </x:c>
      <x:c r="F6" s="66" t="inlineStr">
        <x:is>
          <x:t xml:space="preserve">Next.js</x:t>
        </x:is>
      </x:c>
      <x:c r="G6" s="66" t="inlineStr">
        <x:is>
          <x:t xml:space="preserve">Go/Python; Node optional</x:t>
        </x:is>
      </x:c>
      <x:c r="H6" s="66" t="inlineStr">
        <x:is>
          <x:t xml:space="preserve">PostgreSQL</x:t>
        </x:is>
      </x:c>
      <x:c r="I6" s="66" t="inlineStr">
        <x:is>
          <x:t xml:space="preserve">Low-Medium</x:t>
        </x:is>
      </x:c>
      <x:c r="J6" s="66" t="inlineStr">
        <x:is>
          <x:t xml:space="preserve">Best fit when React/TypeScript reuse matters.</x:t>
        </x:is>
      </x:c>
    </x:row>
    <x:row r="7">
      <x:c r="A7" s="65" t="inlineStr">
        <x:is>
          <x:t xml:space="preserve">Native</x:t>
        </x:is>
      </x:c>
      <x:c r="B7" s="65" t="inlineStr">
        <x:is>
          <x:t xml:space="preserve">MVP Beta -&gt; MID GA</x:t>
        </x:is>
      </x:c>
      <x:c r="C7" s="65" t="inlineStr">
        <x:is>
          <x:t xml:space="preserve">Kotlin + Compose / Swift + SwiftUI</x:t>
        </x:is>
      </x:c>
      <x:c r="D7" s="65" t="inlineStr">
        <x:is>
          <x:t xml:space="preserve">Two mobile codebases. Highest platform control and deepest native capability.</x:t>
        </x:is>
      </x:c>
      <x:c r="E7" s="65" t="inlineStr">
        <x:is>
          <x:t xml:space="preserve">Next.js</x:t>
        </x:is>
      </x:c>
      <x:c r="F7" s="65" t="inlineStr">
        <x:is>
          <x:t xml:space="preserve">Next.js</x:t>
        </x:is>
      </x:c>
      <x:c r="G7" s="65" t="inlineStr">
        <x:is>
          <x:t xml:space="preserve">Go or Python</x:t>
        </x:is>
      </x:c>
      <x:c r="H7" s="65" t="inlineStr">
        <x:is>
          <x:t xml:space="preserve">PostgreSQL</x:t>
        </x:is>
      </x:c>
      <x:c r="I7" s="65" t="inlineStr">
        <x:is>
          <x:t xml:space="preserve">High</x:t>
        </x:is>
      </x:c>
      <x:c r="J7" s="65" t="inlineStr">
        <x:is>
          <x:t xml:space="preserve">Use for measured native/performance/hardware/background/security needs.</x:t>
        </x:is>
      </x:c>
    </x:row>
    <x:row r="8">
      <x:c r="A8" s="66" t="inlineStr">
        <x:is>
          <x:t xml:space="preserve">Web/PWA only</x:t>
        </x:is>
      </x:c>
      <x:c r="B8" s="66" t="inlineStr">
        <x:is>
          <x:t xml:space="preserve">MVP Stable</x:t>
        </x:is>
      </x:c>
      <x:c r="C8" s="66" t="inlineStr">
        <x:is>
          <x:t xml:space="preserve">Next.js / PWA</x:t>
        </x:is>
      </x:c>
      <x:c r="D8" s="66" t="inlineStr">
        <x:is>
          <x:t xml:space="preserve">No store-native mobile runtime.</x:t>
        </x:is>
      </x:c>
      <x:c r="E8" s="66" t="inlineStr">
        <x:is>
          <x:t xml:space="preserve">Next.js/PWA</x:t>
        </x:is>
      </x:c>
      <x:c r="F8" s="66" t="inlineStr">
        <x:is>
          <x:t xml:space="preserve">Next.js</x:t>
        </x:is>
      </x:c>
      <x:c r="G8" s="66" t="inlineStr">
        <x:is>
          <x:t xml:space="preserve">Go or Python</x:t>
        </x:is>
      </x:c>
      <x:c r="H8" s="66" t="inlineStr">
        <x:is>
          <x:t xml:space="preserve">PostgreSQL</x:t>
        </x:is>
      </x:c>
      <x:c r="I8" s="66" t="inlineStr">
        <x:is>
          <x:t xml:space="preserve">Lowest</x:t>
        </x:is>
      </x:c>
      <x:c r="J8" s="66" t="inlineStr">
        <x:is>
          <x:t xml:space="preserve">Offer when native stores/device APIs are unnecessary.</x:t>
        </x:is>
      </x:c>
    </x:row>
  </x:sheetData>
  <x:mergeCells>
    <x:mergeCell ref="A1:J1"/>
    <x:mergeCell ref="A2:J2"/>
  </x:mergeCells>
  <x:pageMargins left="0.7" right="0.7" top="0.75" bottom="0.75" header="0.3" footer="0.3"/>
</x:worksheet>
</file>

<file path=xl/worksheets/sheet21.xml><?xml version="1.0" encoding="utf-8"?>
<x:worksheet xmlns:x="http://schemas.openxmlformats.org/spreadsheetml/2006/main">
  <x:sheetFormatPr baseColWidth="8" defaultRowHeight="15"/>
  <x:cols>
    <x:col min="1" max="1" width="30" style="40" customWidth="1"/>
    <x:col min="2" max="2" width="24" style="40" customWidth="1"/>
    <x:col min="3" max="3" width="26" style="40" customWidth="1"/>
    <x:col min="4" max="4" width="24" style="40" customWidth="1"/>
    <x:col min="5" max="5" width="24" style="40" customWidth="1"/>
    <x:col min="6" max="6" width="28" style="40" customWidth="1"/>
    <x:col min="7" max="7" width="52" style="40" customWidth="1"/>
  </x:cols>
  <x:sheetData>
    <x:row r="1" s="40" customFormat="1" ht="30" customHeight="1">
      <x:c r="A1" s="396" t="inlineStr">
        <x:is>
          <x:t xml:space="preserve">Code Sharing Matrix</x:t>
        </x:is>
      </x:c>
      <x:c r="B1" s="375" t="n"/>
      <x:c r="C1" s="375" t="n"/>
      <x:c r="D1" s="375" t="n"/>
      <x:c r="E1" s="375" t="n"/>
      <x:c r="F1" s="375" t="n"/>
      <x:c r="G1" s="375" t="n"/>
    </x:row>
    <x:row r="2" s="40" customFormat="1" ht="36" customHeight="1">
      <x:c r="A2" s="397" t="inlineStr">
        <x:is>
          <x:t xml:space="preserve">Share specifications, contracts, tokens and compatible domain packages first. Do not force one runtime codebase onto targets where it creates worse UX, SEO, accessibility or maintainability.</x:t>
        </x:is>
      </x:c>
      <x:c r="B2" s="375" t="n"/>
      <x:c r="C2" s="375" t="n"/>
      <x:c r="D2" s="375" t="n"/>
      <x:c r="E2" s="375" t="n"/>
      <x:c r="F2" s="375" t="n"/>
      <x:c r="G2" s="375" t="n"/>
    </x:row>
    <x:row r="3" s="40" customFormat="1" ht="28" customHeight="1">
      <x:c r="A3" s="78" t="inlineStr">
        <x:is>
          <x:t xml:space="preserve">Artifact / Rule</x:t>
        </x:is>
      </x:c>
      <x:c r="B3" s="78" t="inlineStr">
        <x:is>
          <x:t xml:space="preserve">Flutter</x:t>
        </x:is>
      </x:c>
      <x:c r="C3" s="78" t="inlineStr">
        <x:is>
          <x:t xml:space="preserve">React Native</x:t>
        </x:is>
      </x:c>
      <x:c r="D3" s="78" t="inlineStr">
        <x:is>
          <x:t xml:space="preserve">Native Android</x:t>
        </x:is>
      </x:c>
      <x:c r="E3" s="78" t="inlineStr">
        <x:is>
          <x:t xml:space="preserve">Native iOS</x:t>
        </x:is>
      </x:c>
      <x:c r="F3" s="78" t="inlineStr">
        <x:is>
          <x:t xml:space="preserve">Web/Admin</x:t>
        </x:is>
      </x:c>
      <x:c r="G3" s="78" t="inlineStr">
        <x:is>
          <x:t xml:space="preserve">Rule</x:t>
        </x:is>
      </x:c>
    </x:row>
    <x:row r="4">
      <x:c r="A4" s="66" t="inlineStr">
        <x:is>
          <x:t xml:space="preserve">Application IR / acceptance criteria</x:t>
        </x:is>
      </x:c>
      <x:c r="B4" s="66" t="inlineStr">
        <x:is>
          <x:t xml:space="preserve">Yes</x:t>
        </x:is>
      </x:c>
      <x:c r="C4" s="66" t="inlineStr">
        <x:is>
          <x:t xml:space="preserve">Yes</x:t>
        </x:is>
      </x:c>
      <x:c r="D4" s="66" t="inlineStr">
        <x:is>
          <x:t xml:space="preserve">Yes</x:t>
        </x:is>
      </x:c>
      <x:c r="E4" s="66" t="inlineStr">
        <x:is>
          <x:t xml:space="preserve">Yes</x:t>
        </x:is>
      </x:c>
      <x:c r="F4" s="66" t="inlineStr">
        <x:is>
          <x:t xml:space="preserve">Yes</x:t>
        </x:is>
      </x:c>
      <x:c r="G4" s="66" t="inlineStr">
        <x:is>
          <x:t xml:space="preserve">Primary source of behaomnistackl consistency.</x:t>
        </x:is>
      </x:c>
    </x:row>
    <x:row r="5">
      <x:c r="A5" s="65" t="inlineStr">
        <x:is>
          <x:t xml:space="preserve">OpenAPI / AsyncAPI contracts</x:t>
        </x:is>
      </x:c>
      <x:c r="B5" s="65" t="inlineStr">
        <x:is>
          <x:t xml:space="preserve">Yes</x:t>
        </x:is>
      </x:c>
      <x:c r="C5" s="65" t="inlineStr">
        <x:is>
          <x:t xml:space="preserve">Yes</x:t>
        </x:is>
      </x:c>
      <x:c r="D5" s="65" t="inlineStr">
        <x:is>
          <x:t xml:space="preserve">Yes</x:t>
        </x:is>
      </x:c>
      <x:c r="E5" s="65" t="inlineStr">
        <x:is>
          <x:t xml:space="preserve">Yes</x:t>
        </x:is>
      </x:c>
      <x:c r="F5" s="65" t="inlineStr">
        <x:is>
          <x:t xml:space="preserve">Yes</x:t>
        </x:is>
      </x:c>
      <x:c r="G5" s="65" t="inlineStr">
        <x:is>
          <x:t xml:space="preserve">Generate clients; do not hand-edit generated output.</x:t>
        </x:is>
      </x:c>
    </x:row>
    <x:row r="6">
      <x:c r="A6" s="66" t="inlineStr">
        <x:is>
          <x:t xml:space="preserve">Design tokens</x:t>
        </x:is>
      </x:c>
      <x:c r="B6" s="66" t="inlineStr">
        <x:is>
          <x:t xml:space="preserve">Generate Dart adapter</x:t>
        </x:is>
      </x:c>
      <x:c r="C6" s="66" t="inlineStr">
        <x:is>
          <x:t xml:space="preserve">Share token source / TS adapter</x:t>
        </x:is>
      </x:c>
      <x:c r="D6" s="66" t="inlineStr">
        <x:is>
          <x:t xml:space="preserve">Generate Kotlin adapter</x:t>
        </x:is>
      </x:c>
      <x:c r="E6" s="66" t="inlineStr">
        <x:is>
          <x:t xml:space="preserve">Generate Swift adapter</x:t>
        </x:is>
      </x:c>
      <x:c r="F6" s="66" t="inlineStr">
        <x:is>
          <x:t xml:space="preserve">Direct TS/CSS adapter</x:t>
        </x:is>
      </x:c>
      <x:c r="G6" s="66" t="inlineStr">
        <x:is>
          <x:t xml:space="preserve">Share tokens, not necessarily UI widgets.</x:t>
        </x:is>
      </x:c>
    </x:row>
    <x:row r="7">
      <x:c r="A7" s="65" t="inlineStr">
        <x:is>
          <x:t xml:space="preserve">TypeScript domain/validation</x:t>
        </x:is>
      </x:c>
      <x:c r="B7" s="65" t="inlineStr">
        <x:is>
          <x:t xml:space="preserve">No runtime sharing</x:t>
        </x:is>
      </x:c>
      <x:c r="C7" s="65" t="inlineStr">
        <x:is>
          <x:t xml:space="preserve">Yes</x:t>
        </x:is>
      </x:c>
      <x:c r="D7" s="65" t="inlineStr">
        <x:is>
          <x:t xml:space="preserve">No runtime sharing</x:t>
        </x:is>
      </x:c>
      <x:c r="E7" s="65" t="inlineStr">
        <x:is>
          <x:t xml:space="preserve">No runtime sharing</x:t>
        </x:is>
      </x:c>
      <x:c r="F7" s="65" t="inlineStr">
        <x:is>
          <x:t xml:space="preserve">Yes</x:t>
        </x:is>
      </x:c>
      <x:c r="G7" s="65" t="inlineStr">
        <x:is>
          <x:t xml:space="preserve">Use only where runtime/language compatibility is natural.</x:t>
        </x:is>
      </x:c>
    </x:row>
    <x:row r="8">
      <x:c r="A8" s="66" t="inlineStr">
        <x:is>
          <x:t xml:space="preserve">UI components</x:t>
        </x:is>
      </x:c>
      <x:c r="B8" s="66" t="inlineStr">
        <x:is>
          <x:t xml:space="preserve">No with Next.js by default</x:t>
        </x:is>
      </x:c>
      <x:c r="C8" s="66" t="inlineStr">
        <x:is>
          <x:t xml:space="preserve">Selected primitives only</x:t>
        </x:is>
      </x:c>
      <x:c r="D8" s="66" t="inlineStr">
        <x:is>
          <x:t xml:space="preserve">No</x:t>
        </x:is>
      </x:c>
      <x:c r="E8" s="66" t="inlineStr">
        <x:is>
          <x:t xml:space="preserve">No</x:t>
        </x:is>
      </x:c>
      <x:c r="F8" s="66" t="inlineStr">
        <x:is>
          <x:t xml:space="preserve">Web/Admin may share selected web components</x:t>
        </x:is>
      </x:c>
      <x:c r="G8" s="66" t="inlineStr">
        <x:is>
          <x:t xml:space="preserve">Never sacrifice SEO/accessibility/desktop behavior for a sharing percentage.</x:t>
        </x:is>
      </x:c>
    </x:row>
    <x:row r="9">
      <x:c r="A9" s="65" t="inlineStr">
        <x:is>
          <x:t xml:space="preserve">Localization keys/content</x:t>
        </x:is>
      </x:c>
      <x:c r="B9" s="65" t="inlineStr">
        <x:is>
          <x:t xml:space="preserve">Yes</x:t>
        </x:is>
      </x:c>
      <x:c r="C9" s="65" t="inlineStr">
        <x:is>
          <x:t xml:space="preserve">Yes</x:t>
        </x:is>
      </x:c>
      <x:c r="D9" s="65" t="inlineStr">
        <x:is>
          <x:t xml:space="preserve">Yes</x:t>
        </x:is>
      </x:c>
      <x:c r="E9" s="65" t="inlineStr">
        <x:is>
          <x:t xml:space="preserve">Yes</x:t>
        </x:is>
      </x:c>
      <x:c r="F9" s="65" t="inlineStr">
        <x:is>
          <x:t xml:space="preserve">Yes</x:t>
        </x:is>
      </x:c>
      <x:c r="G9" s="65" t="inlineStr">
        <x:is>
          <x:t xml:space="preserve">Keep one canonical message catalog where practical.</x:t>
        </x:is>
      </x:c>
    </x:row>
    <x:row r="10">
      <x:c r="A10" s="66" t="inlineStr">
        <x:is>
          <x:t xml:space="preserve">Analytics event schema</x:t>
        </x:is>
      </x:c>
      <x:c r="B10" s="66" t="inlineStr">
        <x:is>
          <x:t xml:space="preserve">Yes</x:t>
        </x:is>
      </x:c>
      <x:c r="C10" s="66" t="inlineStr">
        <x:is>
          <x:t xml:space="preserve">Yes</x:t>
        </x:is>
      </x:c>
      <x:c r="D10" s="66" t="inlineStr">
        <x:is>
          <x:t xml:space="preserve">Yes</x:t>
        </x:is>
      </x:c>
      <x:c r="E10" s="66" t="inlineStr">
        <x:is>
          <x:t xml:space="preserve">Yes</x:t>
        </x:is>
      </x:c>
      <x:c r="F10" s="66" t="inlineStr">
        <x:is>
          <x:t xml:space="preserve">Yes</x:t>
        </x:is>
      </x:c>
      <x:c r="G10" s="66" t="inlineStr">
        <x:is>
          <x:t xml:space="preserve">One event name/property schema across targets.</x:t>
        </x:is>
      </x:c>
    </x:row>
    <x:row r="11">
      <x:c r="A11" s="65" t="inlineStr">
        <x:is>
          <x:t xml:space="preserve">Permissions / feature flags</x:t>
        </x:is>
      </x:c>
      <x:c r="B11" s="65" t="inlineStr">
        <x:is>
          <x:t xml:space="preserve">Generated adapters</x:t>
        </x:is>
      </x:c>
      <x:c r="C11" s="65" t="inlineStr">
        <x:is>
          <x:t xml:space="preserve">Shared TS package</x:t>
        </x:is>
      </x:c>
      <x:c r="D11" s="65" t="inlineStr">
        <x:is>
          <x:t xml:space="preserve">Generated adapter</x:t>
        </x:is>
      </x:c>
      <x:c r="E11" s="65" t="inlineStr">
        <x:is>
          <x:t xml:space="preserve">Generated adapter</x:t>
        </x:is>
      </x:c>
      <x:c r="F11" s="65" t="inlineStr">
        <x:is>
          <x:t xml:space="preserve">Direct package</x:t>
        </x:is>
      </x:c>
      <x:c r="G11" s="65" t="inlineStr">
        <x:is>
          <x:t xml:space="preserve">Policy definitions are centralized.</x:t>
        </x:is>
      </x:c>
    </x:row>
  </x:sheetData>
  <x:mergeCells>
    <x:mergeCell ref="A2:G2"/>
    <x:mergeCell ref="A1:G1"/>
  </x:mergeCells>
  <x:pageMargins left="0.7" right="0.7" top="0.75" bottom="0.75" header="0.3" footer="0.3"/>
</x:worksheet>
</file>

<file path=xl/worksheets/sheet22.xml><?xml version="1.0" encoding="utf-8"?>
<x:worksheet xmlns:x="http://schemas.openxmlformats.org/spreadsheetml/2006/main">
  <x:sheetFormatPr baseColWidth="8" defaultRowHeight="15"/>
  <x:cols>
    <x:col min="1" max="1" width="18" style="40" customWidth="1"/>
    <x:col min="2" max="2" width="27" style="40" customWidth="1"/>
    <x:col min="3" max="3" width="28" style="40" customWidth="1"/>
    <x:col min="4" max="4" width="45" style="40" customWidth="1"/>
    <x:col min="5" max="5" width="36" style="40" customWidth="1"/>
    <x:col min="6" max="6" width="16" style="40" customWidth="1"/>
  </x:cols>
  <x:sheetData>
    <x:row r="1" s="40" customFormat="1" ht="30" customHeight="1">
      <x:c r="A1" s="380" t="inlineStr">
        <x:is>
          <x:t xml:space="preserve">OmniStackAI V5 — Platform Architecture</x:t>
        </x:is>
      </x:c>
      <x:c r="B1" s="375" t="n"/>
      <x:c r="C1" s="375" t="n"/>
      <x:c r="D1" s="375" t="n"/>
      <x:c r="E1" s="375" t="n"/>
      <x:c r="F1" s="375" t="n"/>
    </x:row>
    <x:row r="2" s="40" customFormat="1" ht="34" customHeight="1">
      <x:c r="A2" s="381" t="inlineStr">
        <x:is>
          <x:t xml:space="preserve">Start with four principal deployables and strong logical modules. Split services only after measured scale/security/ownership need.</x:t>
        </x:is>
      </x:c>
      <x:c r="B2" s="375" t="n"/>
      <x:c r="C2" s="375" t="n"/>
      <x:c r="D2" s="375" t="n"/>
      <x:c r="E2" s="375" t="n"/>
      <x:c r="F2" s="375" t="n"/>
    </x:row>
    <x:row r="3" s="40" customFormat="1" ht="28" customHeight="1">
      <x:c r="A3" s="78" t="n"/>
      <x:c r="B3" s="78" t="n"/>
      <x:c r="C3" s="78" t="n"/>
      <x:c r="D3" s="78" t="n"/>
      <x:c r="E3" s="78" t="n"/>
      <x:c r="F3" s="78" t="n"/>
    </x:row>
    <x:row r="4" s="40" customFormat="1" ht="28" customHeight="1">
      <x:c r="A4" s="141" t="inlineStr">
        <x:is>
          <x:t xml:space="preserve">Layer</x:t>
        </x:is>
      </x:c>
      <x:c r="B4" s="142" t="inlineStr">
        <x:is>
          <x:t xml:space="preserve">Component</x:t>
        </x:is>
      </x:c>
      <x:c r="C4" s="142" t="inlineStr">
        <x:is>
          <x:t xml:space="preserve">Primary Tech</x:t>
        </x:is>
      </x:c>
      <x:c r="D4" s="142" t="inlineStr">
        <x:is>
          <x:t xml:space="preserve">Responsibility</x:t>
        </x:is>
      </x:c>
      <x:c r="E4" s="142" t="inlineStr">
        <x:is>
          <x:t xml:space="preserve">Scaling / Security Boundary</x:t>
        </x:is>
      </x:c>
      <x:c r="F4" s="143" t="inlineStr">
        <x:is>
          <x:t xml:space="preserve">Phase</x:t>
        </x:is>
      </x:c>
    </x:row>
    <x:row r="5">
      <x:c r="A5" s="144" t="inlineStr">
        <x:is>
          <x:t xml:space="preserve">UI</x:t>
        </x:is>
      </x:c>
      <x:c r="B5" s="145" t="inlineStr">
        <x:is>
          <x:t xml:space="preserve">console-web</x:t>
        </x:is>
      </x:c>
      <x:c r="C5" s="145" t="inlineStr">
        <x:is>
          <x:t xml:space="preserve">Next.js + React + TypeScript</x:t>
        </x:is>
      </x:c>
      <x:c r="D5" s="145" t="inlineStr">
        <x:is>
          <x:t xml:space="preserve">chat, requirements, code, preview, devices, repo, deployments, cost</x:t>
        </x:is>
      </x:c>
      <x:c r="E5" s="145" t="inlineStr">
        <x:is>
          <x:t xml:space="preserve">CDN/WAF + stateless web</x:t>
        </x:is>
      </x:c>
      <x:c r="F5" s="146" t="inlineStr">
        <x:is>
          <x:t xml:space="preserve">MVP</x:t>
        </x:is>
      </x:c>
    </x:row>
    <x:row r="6">
      <x:c r="A6" s="223" t="inlineStr">
        <x:is>
          <x:t xml:space="preserve">Control plane</x:t>
        </x:is>
      </x:c>
      <x:c r="B6" s="284" t="inlineStr">
        <x:is>
          <x:t xml:space="preserve">control-plane</x:t>
        </x:is>
      </x:c>
      <x:c r="C6" s="284" t="inlineStr">
        <x:is>
          <x:t xml:space="preserve">Go</x:t>
        </x:is>
      </x:c>
      <x:c r="D6" s="284" t="inlineStr">
        <x:is>
          <x:t xml:space="preserve">auth/org/workspace/project, Git, policy, billing, audit, deployments</x:t>
        </x:is>
      </x:c>
      <x:c r="E6" s="284" t="inlineStr">
        <x:is>
          <x:t xml:space="preserve">transactional + high concurrency</x:t>
        </x:is>
      </x:c>
      <x:c r="F6" s="225" t="inlineStr">
        <x:is>
          <x:t xml:space="preserve">MVP</x:t>
        </x:is>
      </x:c>
    </x:row>
    <x:row r="7">
      <x:c r="A7" s="147" t="inlineStr">
        <x:is>
          <x:t xml:space="preserve">AI plane</x:t>
        </x:is>
      </x:c>
      <x:c r="B7" s="148" t="inlineStr">
        <x:is>
          <x:t xml:space="preserve">agent-engine</x:t>
        </x:is>
      </x:c>
      <x:c r="C7" s="148" t="inlineStr">
        <x:is>
          <x:t xml:space="preserve">Python</x:t>
        </x:is>
      </x:c>
      <x:c r="D7" s="148" t="inlineStr">
        <x:is>
          <x:t xml:space="preserve">agent orchestration, context, model adapters, retrieval</x:t>
        </x:is>
      </x:c>
      <x:c r="E7" s="148" t="inlineStr">
        <x:is>
          <x:t xml:space="preserve">separate model/data egress policy</x:t>
        </x:is>
      </x:c>
      <x:c r="F7" s="149" t="inlineStr">
        <x:is>
          <x:t xml:space="preserve">MVP</x:t>
        </x:is>
      </x:c>
    </x:row>
    <x:row r="8">
      <x:c r="A8" s="223" t="inlineStr">
        <x:is>
          <x:t xml:space="preserve">Execution plane</x:t>
        </x:is>
      </x:c>
      <x:c r="B8" s="284" t="inlineStr">
        <x:is>
          <x:t xml:space="preserve">runner-manager</x:t>
        </x:is>
      </x:c>
      <x:c r="C8" s="284" t="inlineStr">
        <x:is>
          <x:t xml:space="preserve">Go</x:t>
        </x:is>
      </x:c>
      <x:c r="D8" s="284" t="inlineStr">
        <x:is>
          <x:t xml:space="preserve">RuntimeProvider scheduling, builds, device allocation</x:t>
        </x:is>
      </x:c>
      <x:c r="E8" s="284" t="inlineStr">
        <x:is>
          <x:t xml:space="preserve">never trust user code</x:t>
        </x:is>
      </x:c>
      <x:c r="F8" s="225" t="inlineStr">
        <x:is>
          <x:t xml:space="preserve">MVP</x:t>
        </x:is>
      </x:c>
    </x:row>
    <x:row r="9">
      <x:c r="A9" s="147" t="inlineStr">
        <x:is>
          <x:t xml:space="preserve">Module</x:t>
        </x:is>
      </x:c>
      <x:c r="B9" s="148" t="inlineStr">
        <x:is>
          <x:t xml:space="preserve">context-engine</x:t>
        </x:is>
      </x:c>
      <x:c r="C9" s="148" t="inlineStr">
        <x:is>
          <x:t xml:space="preserve">Go/Python module</x:t>
        </x:is>
      </x:c>
      <x:c r="D9" s="148" t="inlineStr">
        <x:is>
          <x:t xml:space="preserve">project memory, retrieval, Context Pack, evidence validation</x:t>
        </x:is>
      </x:c>
      <x:c r="E9" s="148" t="inlineStr">
        <x:is>
          <x:t xml:space="preserve">can split later</x:t>
        </x:is>
      </x:c>
      <x:c r="F9" s="149" t="inlineStr">
        <x:is>
          <x:t xml:space="preserve">MVP</x:t>
        </x:is>
      </x:c>
    </x:row>
    <x:row r="10">
      <x:c r="A10" s="223" t="inlineStr">
        <x:is>
          <x:t xml:space="preserve">Module</x:t>
        </x:is>
      </x:c>
      <x:c r="B10" s="284" t="inlineStr">
        <x:is>
          <x:t xml:space="preserve">model-gateway</x:t>
        </x:is>
      </x:c>
      <x:c r="C10" s="284" t="inlineStr">
        <x:is>
          <x:t xml:space="preserve">Go/Python module</x:t>
        </x:is>
      </x:c>
      <x:c r="D10" s="284" t="inlineStr">
        <x:is>
          <x:t xml:space="preserve">routing, budgets, providers, BYOK</x:t>
        </x:is>
      </x:c>
      <x:c r="E10" s="284" t="inlineStr">
        <x:is>
          <x:t xml:space="preserve">can split for scale/security</x:t>
        </x:is>
      </x:c>
      <x:c r="F10" s="225" t="inlineStr">
        <x:is>
          <x:t xml:space="preserve">MVP/MID</x:t>
        </x:is>
      </x:c>
    </x:row>
    <x:row r="11">
      <x:c r="A11" s="147" t="inlineStr">
        <x:is>
          <x:t xml:space="preserve">Module</x:t>
        </x:is>
      </x:c>
      <x:c r="B11" s="148" t="inlineStr">
        <x:is>
          <x:t xml:space="preserve">code-intelligence</x:t>
        </x:is>
      </x:c>
      <x:c r="C11" s="148" t="inlineStr">
        <x:is>
          <x:t xml:space="preserve">service/module</x:t>
        </x:is>
      </x:c>
      <x:c r="D11" s="148" t="inlineStr">
        <x:is>
          <x:t xml:space="preserve">symbols/call/dependency graphs, indexing</x:t>
        </x:is>
      </x:c>
      <x:c r="E11" s="148" t="inlineStr">
        <x:is>
          <x:t xml:space="preserve">compute-heavy split when measured</x:t>
        </x:is>
      </x:c>
      <x:c r="F11" s="149" t="inlineStr">
        <x:is>
          <x:t xml:space="preserve">MVP/MID</x:t>
        </x:is>
      </x:c>
    </x:row>
    <x:row r="12">
      <x:c r="A12" s="223" t="inlineStr">
        <x:is>
          <x:t xml:space="preserve">Workflow</x:t>
        </x:is>
      </x:c>
      <x:c r="B12" s="284" t="inlineStr">
        <x:is>
          <x:t xml:space="preserve">Temporal</x:t>
        </x:is>
      </x:c>
      <x:c r="C12" s="284" t="inlineStr">
        <x:is>
          <x:t xml:space="preserve">Temporal + platform contracts</x:t>
        </x:is>
      </x:c>
      <x:c r="D12" s="284" t="inlineStr">
        <x:is>
          <x:t xml:space="preserve">durability, retries, pause/resume, schedules</x:t>
        </x:is>
      </x:c>
      <x:c r="E12" s="284" t="inlineStr">
        <x:is>
          <x:t xml:space="preserve">managed/self-hosted adapter</x:t>
        </x:is>
      </x:c>
      <x:c r="F12" s="225" t="inlineStr">
        <x:is>
          <x:t xml:space="preserve">MVP</x:t>
        </x:is>
      </x:c>
    </x:row>
    <x:row r="13">
      <x:c r="A13" s="147" t="inlineStr">
        <x:is>
          <x:t xml:space="preserve">Data</x:t>
        </x:is>
      </x:c>
      <x:c r="B13" s="148" t="inlineStr">
        <x:is>
          <x:t xml:space="preserve">PostgreSQL + pgvector</x:t>
        </x:is>
      </x:c>
      <x:c r="C13" s="148" t="inlineStr">
        <x:is>
          <x:t xml:space="preserve">PostgreSQL</x:t>
        </x:is>
      </x:c>
      <x:c r="D13" s="148" t="inlineStr">
        <x:is>
          <x:t xml:space="preserve">canonical metadata, IR refs, ledger, semantic retrieval</x:t>
        </x:is>
      </x:c>
      <x:c r="E13" s="148" t="inlineStr">
        <x:is>
          <x:t xml:space="preserve">HA/backup</x:t>
        </x:is>
      </x:c>
      <x:c r="F13" s="149" t="inlineStr">
        <x:is>
          <x:t xml:space="preserve">MVP</x:t>
        </x:is>
      </x:c>
    </x:row>
    <x:row r="14">
      <x:c r="A14" s="239" t="inlineStr">
        <x:is>
          <x:t xml:space="preserve">Data</x:t>
        </x:is>
      </x:c>
      <x:c r="B14" s="240" t="inlineStr">
        <x:is>
          <x:t xml:space="preserve">Redis / NATS / Object Storage</x:t>
        </x:is>
      </x:c>
      <x:c r="C14" s="240" t="inlineStr">
        <x:is>
          <x:t xml:space="preserve">managed/open source</x:t>
        </x:is>
      </x:c>
      <x:c r="D14" s="240" t="inlineStr">
        <x:is>
          <x:t xml:space="preserve">cache, async events, large artifacts/logs</x:t>
        </x:is>
      </x:c>
      <x:c r="E14" s="240" t="inlineStr">
        <x:is>
          <x:t xml:space="preserve">separate credentials</x:t>
        </x:is>
      </x:c>
      <x:c r="F14" s="241" t="inlineStr">
        <x:is>
          <x:t xml:space="preserve">MVP</x:t>
        </x:is>
      </x:c>
    </x:row>
  </x:sheetData>
  <x:mergeCells>
    <x:mergeCell ref="A2:F2"/>
    <x:mergeCell ref="A1:F1"/>
  </x:mergeCells>
  <x:pageMargins left="0.7" right="0.7" top="0.75" bottom="0.75" header="0.3" footer="0.3"/>
</x:worksheet>
</file>

<file path=xl/worksheets/sheet23.xml><?xml version="1.0" encoding="utf-8"?>
<x:worksheet xmlns:x="http://schemas.openxmlformats.org/spreadsheetml/2006/main">
  <x:sheetFormatPr baseColWidth="8" defaultRowHeight="15"/>
  <x:cols>
    <x:col min="1" max="1" width="24" style="40" customWidth="1"/>
    <x:col min="2" max="2" width="32" style="40" customWidth="1"/>
    <x:col min="3" max="3" width="24" style="40" customWidth="1"/>
    <x:col min="4" max="4" width="14" style="40" customWidth="1"/>
    <x:col min="5" max="5" width="52" style="40" customWidth="1"/>
    <x:col min="6" max="6" width="30" style="40" customWidth="1"/>
    <x:col min="7" max="7" width="48" style="40" customWidth="1"/>
  </x:cols>
  <x:sheetData>
    <x:row r="1" s="40" customFormat="1" ht="30" customHeight="1">
      <x:c r="A1" s="396" t="inlineStr">
        <x:is>
          <x:t xml:space="preserve">Git Repository &amp; Naming Standards</x:t>
        </x:is>
      </x:c>
      <x:c r="B1" s="375" t="n"/>
      <x:c r="C1" s="375" t="n"/>
      <x:c r="D1" s="375" t="n"/>
      <x:c r="E1" s="375" t="n"/>
      <x:c r="F1" s="375" t="n"/>
      <x:c r="G1" s="375" t="n"/>
    </x:row>
    <x:row r="2" s="40" customFormat="1" ht="36" customHeight="1">
      <x:c r="A2" s="397" t="inlineStr">
        <x:is>
          <x:t xml:space="preserve">Our platform starts in a modular monorepo. Each customer product gets its own monorepo by default. Naming, branches and split criteria must be deterministic for humans and AI agents.</x:t>
        </x:is>
      </x:c>
      <x:c r="B2" s="375" t="n"/>
      <x:c r="C2" s="375" t="n"/>
      <x:c r="D2" s="375" t="n"/>
      <x:c r="E2" s="375" t="n"/>
      <x:c r="F2" s="375" t="n"/>
      <x:c r="G2" s="375" t="n"/>
    </x:row>
    <x:row r="3" s="40" customFormat="1" ht="28" customHeight="1">
      <x:c r="A3" s="78" t="inlineStr">
        <x:is>
          <x:t xml:space="preserve">Scope</x:t>
        </x:is>
      </x:c>
      <x:c r="B3" s="78" t="inlineStr">
        <x:is>
          <x:t xml:space="preserve">Recommended Name</x:t>
        </x:is>
      </x:c>
      <x:c r="C3" s="78" t="inlineStr">
        <x:is>
          <x:t xml:space="preserve">Repo Strategy</x:t>
        </x:is>
      </x:c>
      <x:c r="D3" s="78" t="inlineStr">
        <x:is>
          <x:t xml:space="preserve">Phase</x:t>
        </x:is>
      </x:c>
      <x:c r="E3" s="78" t="inlineStr">
        <x:is>
          <x:t xml:space="preserve">Root Layout</x:t>
        </x:is>
      </x:c>
      <x:c r="F3" s="78" t="inlineStr">
        <x:is>
          <x:t xml:space="preserve">Branch Strategy</x:t>
        </x:is>
      </x:c>
      <x:c r="G3" s="78" t="inlineStr">
        <x:is>
          <x:t xml:space="preserve">When/Why To Split</x:t>
        </x:is>
      </x:c>
    </x:row>
    <x:row r="4">
      <x:c r="A4" s="66" t="inlineStr">
        <x:is>
          <x:t xml:space="preserve">Our platform repo</x:t>
        </x:is>
      </x:c>
      <x:c r="B4" s="66" t="inlineStr">
        <x:is>
          <x:t xml:space="preserve">&lt;platform-name&gt;-platform</x:t>
        </x:is>
      </x:c>
      <x:c r="C4" s="66" t="inlineStr">
        <x:is>
          <x:t xml:space="preserve">One modular monorepo</x:t>
        </x:is>
      </x:c>
      <x:c r="D4" s="66" t="inlineStr">
        <x:is>
          <x:t xml:space="preserve">MVP</x:t>
        </x:is>
      </x:c>
      <x:c r="E4" s="66" t="inlineStr">
        <x:is>
          <x:t xml:space="preserve">apps/, services/, workers/, packages/, ai/, infra/, docs/</x:t>
        </x:is>
      </x:c>
      <x:c r="F4" s="66" t="inlineStr">
        <x:is>
          <x:t xml:space="preserve">Protected main + short branches</x:t>
        </x:is>
      </x:c>
      <x:c r="G4" s="66" t="inlineStr">
        <x:is>
          <x:t xml:space="preserve">Split only strong lifecycle/security/ownership boundaries.</x:t>
        </x:is>
      </x:c>
    </x:row>
    <x:row r="5">
      <x:c r="A5" s="65" t="inlineStr">
        <x:is>
          <x:t xml:space="preserve">Customer temporary repo</x:t>
        </x:is>
      </x:c>
      <x:c r="B5" s="65" t="inlineStr">
        <x:is>
          <x:t xml:space="preserve">project-&lt;project-id&gt;-&lt;slug&gt;</x:t>
        </x:is>
      </x:c>
      <x:c r="C5" s="65" t="inlineStr">
        <x:is>
          <x:t xml:space="preserve">One repo per customer project</x:t>
        </x:is>
      </x:c>
      <x:c r="D5" s="65" t="inlineStr">
        <x:is>
          <x:t xml:space="preserve">MVP</x:t>
        </x:is>
      </x:c>
      <x:c r="E5" s="65" t="inlineStr">
        <x:is>
          <x:t xml:space="preserve">apps/, services/, packages/, database/, infra/, tests/, docs/, .ai/</x:t>
        </x:is>
      </x:c>
      <x:c r="F5" s="65" t="inlineStr">
        <x:is>
          <x:t xml:space="preserve">ai/&lt;task-id&gt;-&lt;slug&gt;</x:t>
        </x:is>
      </x:c>
      <x:c r="G5" s="65" t="inlineStr">
        <x:is>
          <x:t xml:space="preserve">Rename/move to customer Git when connected.</x:t>
        </x:is>
      </x:c>
    </x:row>
    <x:row r="6">
      <x:c r="A6" s="66" t="inlineStr">
        <x:is>
          <x:t xml:space="preserve">Customer owned repo</x:t>
        </x:is>
      </x:c>
      <x:c r="B6" s="66" t="inlineStr">
        <x:is>
          <x:t xml:space="preserve">&lt;org-slug&gt;-&lt;product-slug&gt;</x:t>
        </x:is>
      </x:c>
      <x:c r="C6" s="66" t="inlineStr">
        <x:is>
          <x:t xml:space="preserve">Monorepo default</x:t>
        </x:is>
      </x:c>
      <x:c r="D6" s="66" t="inlineStr">
        <x:is>
          <x:t xml:space="preserve">MVP</x:t>
        </x:is>
      </x:c>
      <x:c r="E6" s="66" t="inlineStr">
        <x:is>
          <x:t xml:space="preserve">Same canonical root</x:t>
        </x:is>
      </x:c>
      <x:c r="F6" s="66" t="inlineStr">
        <x:is>
          <x:t xml:space="preserve">trunk-based / protected main</x:t>
        </x:is>
      </x:c>
      <x:c r="G6" s="66" t="inlineStr">
        <x:is>
          <x:t xml:space="preserve">One atomic PR can update all product targets.</x:t>
        </x:is>
      </x:c>
    </x:row>
    <x:row r="7">
      <x:c r="A7" s="65" t="inlineStr">
        <x:is>
          <x:t xml:space="preserve">Enterprise multi-repo</x:t>
        </x:is>
      </x:c>
      <x:c r="B7" s="65" t="inlineStr">
        <x:is>
          <x:t xml:space="preserve">Customer-defined</x:t>
        </x:is>
      </x:c>
      <x:c r="C7" s="65" t="inlineStr">
        <x:is>
          <x:t xml:space="preserve">Explicit opt-in</x:t>
        </x:is>
      </x:c>
      <x:c r="D7" s="65" t="inlineStr">
        <x:is>
          <x:t xml:space="preserve">ADVANCED</x:t>
        </x:is>
      </x:c>
      <x:c r="E7" s="65" t="inlineStr">
        <x:is>
          <x:t xml:space="preserve">Domain/service repos + central IR/contracts registry</x:t>
        </x:is>
      </x:c>
      <x:c r="F7" s="65" t="inlineStr">
        <x:is>
          <x:t xml:space="preserve">Linked cross-repo PRs</x:t>
        </x:is>
      </x:c>
      <x:c r="G7" s="65" t="inlineStr">
        <x:is>
          <x:t xml:space="preserve">Never silently migrate to multi-repo.</x:t>
        </x:is>
      </x:c>
    </x:row>
    <x:row r="8">
      <x:c r="A8" s="66" t="inlineStr">
        <x:is>
          <x:t xml:space="preserve">Local Mac Agent</x:t>
        </x:is>
      </x:c>
      <x:c r="B8" s="66" t="inlineStr">
        <x:is>
          <x:t xml:space="preserve">&lt;platform-name&gt;-mac-agent</x:t>
        </x:is>
      </x:c>
      <x:c r="C8" s="66" t="inlineStr">
        <x:is>
          <x:t xml:space="preserve">May split from platform repo</x:t>
        </x:is>
      </x:c>
      <x:c r="D8" s="66" t="inlineStr">
        <x:is>
          <x:t xml:space="preserve">MID</x:t>
        </x:is>
      </x:c>
      <x:c r="E8" s="66" t="inlineStr">
        <x:is>
          <x:t xml:space="preserve">Desktop agent/updater/secure bridge</x:t>
        </x:is>
      </x:c>
      <x:c r="F8" s="66" t="inlineStr">
        <x:is>
          <x:t xml:space="preserve">Signed releases</x:t>
        </x:is>
      </x:c>
      <x:c r="G8" s="66" t="inlineStr">
        <x:is>
          <x:t xml:space="preserve">Separate security/update lifecycle can justify own repo.</x:t>
        </x:is>
      </x:c>
    </x:row>
  </x:sheetData>
  <x:mergeCells>
    <x:mergeCell ref="A2:G2"/>
    <x:mergeCell ref="A1:G1"/>
  </x:mergeCells>
  <x:pageMargins left="0.7" right="0.7" top="0.75" bottom="0.75" header="0.3" footer="0.3"/>
</x:worksheet>
</file>

<file path=xl/worksheets/sheet24.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Flutter Generated App Structure</x:t>
        </x:is>
      </x:c>
      <x:c r="B1" s="375" t="n"/>
      <x:c r="C1" s="375" t="n"/>
      <x:c r="D1" s="375" t="n"/>
    </x:row>
    <x:row r="2" s="40" customFormat="1" ht="36" customHeight="1">
      <x:c r="A2" s="397" t="inlineStr">
        <x:is>
          <x:t xml:space="preserve">Feature-first, lean-by-default Flutter template. Add domain layers/modules only when complexity justifies them; do not generate ceremony for a simple app.</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lib/app/</x:t>
        </x:is>
      </x:c>
      <x:c r="B4" s="66" t="inlineStr">
        <x:is>
          <x:t xml:space="preserve">App bootstrap, router, DI, theme</x:t>
        </x:is>
      </x:c>
      <x:c r="C4" s="66" t="inlineStr">
        <x:is>
          <x:t xml:space="preserve">MVP</x:t>
        </x:is>
      </x:c>
      <x:c r="D4" s="66" t="inlineStr">
        <x:is>
          <x:t xml:space="preserve">Keep composition/root wiring here.</x:t>
        </x:is>
      </x:c>
    </x:row>
    <x:row r="5">
      <x:c r="A5" s="65" t="inlineStr">
        <x:is>
          <x:t xml:space="preserve">lib/core/api/</x:t>
        </x:is>
      </x:c>
      <x:c r="B5" s="65" t="inlineStr">
        <x:is>
          <x:t xml:space="preserve">HTTP/API infrastructure</x:t>
        </x:is>
      </x:c>
      <x:c r="C5" s="65" t="inlineStr">
        <x:is>
          <x:t xml:space="preserve">MVP</x:t>
        </x:is>
      </x:c>
      <x:c r="D5" s="65" t="inlineStr">
        <x:is>
          <x:t xml:space="preserve">No feature-specific business logic.</x:t>
        </x:is>
      </x:c>
    </x:row>
    <x:row r="6">
      <x:c r="A6" s="66" t="inlineStr">
        <x:is>
          <x:t xml:space="preserve">lib/core/auth/</x:t>
        </x:is>
      </x:c>
      <x:c r="B6" s="66" t="inlineStr">
        <x:is>
          <x:t xml:space="preserve">Cross-feature auth/session infrastructure</x:t>
        </x:is>
      </x:c>
      <x:c r="C6" s="66" t="inlineStr">
        <x:is>
          <x:t xml:space="preserve">MVP</x:t>
        </x:is>
      </x:c>
      <x:c r="D6" s="66" t="inlineStr">
        <x:is>
          <x:t xml:space="preserve">Token handling behind interface.</x:t>
        </x:is>
      </x:c>
    </x:row>
    <x:row r="7">
      <x:c r="A7" s="65" t="inlineStr">
        <x:is>
          <x:t xml:space="preserve">lib/core/storage/</x:t>
        </x:is>
      </x:c>
      <x:c r="B7" s="65" t="inlineStr">
        <x:is>
          <x:t xml:space="preserve">Secure/local storage adapters</x:t>
        </x:is>
      </x:c>
      <x:c r="C7" s="65" t="inlineStr">
        <x:is>
          <x:t xml:space="preserve">MVP</x:t>
        </x:is>
      </x:c>
      <x:c r="D7" s="65" t="inlineStr">
        <x:is>
          <x:t xml:space="preserve">Sensitive data uses secure storage.</x:t>
        </x:is>
      </x:c>
    </x:row>
    <x:row r="8">
      <x:c r="A8" s="66" t="inlineStr">
        <x:is>
          <x:t xml:space="preserve">lib/core/telemetry/</x:t>
        </x:is>
      </x:c>
      <x:c r="B8" s="66" t="inlineStr">
        <x:is>
          <x:t xml:space="preserve">Logs/analytics/crash hooks</x:t>
        </x:is>
      </x:c>
      <x:c r="C8" s="66" t="inlineStr">
        <x:is>
          <x:t xml:space="preserve">MVP</x:t>
        </x:is>
      </x:c>
      <x:c r="D8" s="66" t="inlineStr">
        <x:is>
          <x:t xml:space="preserve">One event schema.</x:t>
        </x:is>
      </x:c>
    </x:row>
    <x:row r="9">
      <x:c r="A9" s="65" t="inlineStr">
        <x:is>
          <x:t xml:space="preserve">lib/design_system/</x:t>
        </x:is>
      </x:c>
      <x:c r="B9" s="65" t="inlineStr">
        <x:is>
          <x:t xml:space="preserve">Tokens, reusable components, icons</x:t>
        </x:is>
      </x:c>
      <x:c r="C9" s="65" t="inlineStr">
        <x:is>
          <x:t xml:space="preserve">MVP</x:t>
        </x:is>
      </x:c>
      <x:c r="D9" s="65" t="inlineStr">
        <x:is>
          <x:t xml:space="preserve">Generated from canonical tokens where possible.</x:t>
        </x:is>
      </x:c>
    </x:row>
    <x:row r="10">
      <x:c r="A10" s="66" t="inlineStr">
        <x:is>
          <x:t xml:space="preserve">lib/features/&lt;feature&gt;/data/</x:t>
        </x:is>
      </x:c>
      <x:c r="B10" s="66" t="inlineStr">
        <x:is>
          <x:t xml:space="preserve">DTOs, repositories, remote/local sources</x:t>
        </x:is>
      </x:c>
      <x:c r="C10" s="66" t="inlineStr">
        <x:is>
          <x:t xml:space="preserve">MVP</x:t>
        </x:is>
      </x:c>
      <x:c r="D10" s="66" t="inlineStr">
        <x:is>
          <x:t xml:space="preserve">Feature owns its data adapters.</x:t>
        </x:is>
      </x:c>
    </x:row>
    <x:row r="11">
      <x:c r="A11" s="65" t="inlineStr">
        <x:is>
          <x:t xml:space="preserve">lib/features/&lt;feature&gt;/domain/</x:t>
        </x:is>
      </x:c>
      <x:c r="B11" s="65" t="inlineStr">
        <x:is>
          <x:t xml:space="preserve">Entities/use cases when domain complexity justifies</x:t>
        </x:is>
      </x:c>
      <x:c r="C11" s="65" t="inlineStr">
        <x:is>
          <x:t xml:space="preserve">MID/Complex</x:t>
        </x:is>
      </x:c>
      <x:c r="D11" s="65" t="inlineStr">
        <x:is>
          <x:t xml:space="preserve">May be omitted in lean template.</x:t>
        </x:is>
      </x:c>
    </x:row>
    <x:row r="12">
      <x:c r="A12" s="66" t="inlineStr">
        <x:is>
          <x:t xml:space="preserve">lib/features/&lt;feature&gt;/presentation/</x:t>
        </x:is>
      </x:c>
      <x:c r="B12" s="66" t="inlineStr">
        <x:is>
          <x:t xml:space="preserve">Screens/state/controllers/widgets</x:t>
        </x:is>
      </x:c>
      <x:c r="C12" s="66" t="inlineStr">
        <x:is>
          <x:t xml:space="preserve">MVP</x:t>
        </x:is>
      </x:c>
      <x:c r="D12" s="66" t="inlineStr">
        <x:is>
          <x:t xml:space="preserve">One state-management pattern selected by ADR.</x:t>
        </x:is>
      </x:c>
    </x:row>
    <x:row r="13">
      <x:c r="A13" s="65" t="inlineStr">
        <x:is>
          <x:t xml:space="preserve">test/</x:t>
        </x:is>
      </x:c>
      <x:c r="B13" s="65" t="inlineStr">
        <x:is>
          <x:t xml:space="preserve">Unit/widget tests</x:t>
        </x:is>
      </x:c>
      <x:c r="C13" s="65" t="inlineStr">
        <x:is>
          <x:t xml:space="preserve">MVP</x:t>
        </x:is>
      </x:c>
      <x:c r="D13" s="65" t="inlineStr">
        <x:is>
          <x:t xml:space="preserve">Impact-selected + new behavior tests.</x:t>
        </x:is>
      </x:c>
    </x:row>
    <x:row r="14">
      <x:c r="A14" s="66" t="inlineStr">
        <x:is>
          <x:t xml:space="preserve">integration_test/</x:t>
        </x:is>
      </x:c>
      <x:c r="B14" s="66" t="inlineStr">
        <x:is>
          <x:t xml:space="preserve">Critical flows</x:t>
        </x:is>
      </x:c>
      <x:c r="C14" s="66" t="inlineStr">
        <x:is>
          <x:t xml:space="preserve">MVP/MID</x:t>
        </x:is>
      </x:c>
      <x:c r="D14" s="66" t="inlineStr">
        <x:is>
          <x:t xml:space="preserve">Use real app build where needed.</x:t>
        </x:is>
      </x:c>
    </x:row>
    <x:row r="15">
      <x:c r="A15" s="65" t="inlineStr">
        <x:is>
          <x:t xml:space="preserve">android/ ios/</x:t>
        </x:is>
      </x:c>
      <x:c r="B15" s="65" t="inlineStr">
        <x:is>
          <x:t xml:space="preserve">Platform shells/plugins</x:t>
        </x:is>
      </x:c>
      <x:c r="C15" s="65" t="inlineStr">
        <x:is>
          <x:t xml:space="preserve">MVP</x:t>
        </x:is>
      </x:c>
      <x:c r="D15" s="65" t="inlineStr">
        <x:is>
          <x:t xml:space="preserve">Native edits require impact approval.</x:t>
        </x:is>
      </x:c>
    </x:row>
    <x:row r="16">
      <x:c r="A16" s="66" t="inlineStr">
        <x:is>
          <x:t xml:space="preserve">web/</x:t>
        </x:is>
      </x:c>
      <x:c r="B16" s="66" t="inlineStr">
        <x:is>
          <x:t xml:space="preserve">Flutter Web target</x:t>
        </x:is>
      </x:c>
      <x:c r="C16" s="66" t="inlineStr">
        <x:is>
          <x:t xml:space="preserve">MID optional</x:t>
        </x:is>
      </x:c>
      <x:c r="D16" s="66" t="inlineStr">
        <x:is>
          <x:t xml:space="preserve">Only when web_strategy=flutter_web.</x:t>
        </x:is>
      </x:c>
    </x:row>
  </x:sheetData>
  <x:mergeCells>
    <x:mergeCell ref="A1:D1"/>
    <x:mergeCell ref="A2:D2"/>
  </x:mergeCells>
  <x:pageMargins left="0.7" right="0.7" top="0.75" bottom="0.75" header="0.3" footer="0.3"/>
</x:worksheet>
</file>

<file path=xl/worksheets/sheet25.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React Native Generated App Structure</x:t>
        </x:is>
      </x:c>
      <x:c r="B1" s="375" t="n"/>
      <x:c r="C1" s="375" t="n"/>
      <x:c r="D1" s="375" t="n"/>
    </x:row>
    <x:row r="2" s="40" customFormat="1" ht="36" customHeight="1">
      <x:c r="A2" s="397" t="inlineStr">
        <x:is>
          <x:t xml:space="preserve">TypeScript-first, feature-based structure. Expo can be the default capability profile when it fits; native modules are explicit and controlled.</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App entry, providers, navigation, config</x:t>
        </x:is>
      </x:c>
      <x:c r="C4" s="66" t="inlineStr">
        <x:is>
          <x:t xml:space="preserve">MVP</x:t>
        </x:is>
      </x:c>
      <x:c r="D4" s="66" t="inlineStr">
        <x:is>
          <x:t xml:space="preserve">Composition root.</x:t>
        </x:is>
      </x:c>
    </x:row>
    <x:row r="5">
      <x:c r="A5" s="65" t="inlineStr">
        <x:is>
          <x:t xml:space="preserve">src/features/&lt;feature&gt;/api/</x:t>
        </x:is>
      </x:c>
      <x:c r="B5" s="65" t="inlineStr">
        <x:is>
          <x:t xml:space="preserve">Feature API operations</x:t>
        </x:is>
      </x:c>
      <x:c r="C5" s="65" t="inlineStr">
        <x:is>
          <x:t xml:space="preserve">MVP</x:t>
        </x:is>
      </x:c>
      <x:c r="D5" s="65" t="inlineStr">
        <x:is>
          <x:t xml:space="preserve">Uses generated/shared contracts.</x:t>
        </x:is>
      </x:c>
    </x:row>
    <x:row r="6">
      <x:c r="A6" s="66" t="inlineStr">
        <x:is>
          <x:t xml:space="preserve">src/features/&lt;feature&gt;/model/</x:t>
        </x:is>
      </x:c>
      <x:c r="B6" s="66" t="inlineStr">
        <x:is>
          <x:t xml:space="preserve">Feature state/domain models</x:t>
        </x:is>
      </x:c>
      <x:c r="C6" s="66" t="inlineStr">
        <x:is>
          <x:t xml:space="preserve">MVP</x:t>
        </x:is>
      </x:c>
      <x:c r="D6" s="66" t="inlineStr">
        <x:is>
          <x:t xml:space="preserve">Keep close to feature.</x:t>
        </x:is>
      </x:c>
    </x:row>
    <x:row r="7">
      <x:c r="A7" s="65" t="inlineStr">
        <x:is>
          <x:t xml:space="preserve">src/features/&lt;feature&gt;/ui/</x:t>
        </x:is>
      </x:c>
      <x:c r="B7" s="65" t="inlineStr">
        <x:is>
          <x:t xml:space="preserve">Screens/components</x:t>
        </x:is>
      </x:c>
      <x:c r="C7" s="65" t="inlineStr">
        <x:is>
          <x:t xml:space="preserve">MVP</x:t>
        </x:is>
      </x:c>
      <x:c r="D7" s="65" t="inlineStr">
        <x:is>
          <x:t xml:space="preserve">Mobile-specific UI.</x:t>
        </x:is>
      </x:c>
    </x:row>
    <x:row r="8">
      <x:c r="A8" s="66" t="inlineStr">
        <x:is>
          <x:t xml:space="preserve">src/features/&lt;feature&gt;/hooks/</x:t>
        </x:is>
      </x:c>
      <x:c r="B8" s="66" t="inlineStr">
        <x:is>
          <x:t xml:space="preserve">Feature hooks</x:t>
        </x:is>
      </x:c>
      <x:c r="C8" s="66" t="inlineStr">
        <x:is>
          <x:t xml:space="preserve">MVP</x:t>
        </x:is>
      </x:c>
      <x:c r="D8" s="66" t="inlineStr">
        <x:is>
          <x:t xml:space="preserve">Avoid global hook dumping ground.</x:t>
        </x:is>
      </x:c>
    </x:row>
    <x:row r="9">
      <x:c r="A9" s="65" t="inlineStr">
        <x:is>
          <x:t xml:space="preserve">src/shared/api/</x:t>
        </x:is>
      </x:c>
      <x:c r="B9" s="65" t="inlineStr">
        <x:is>
          <x:t xml:space="preserve">API client adapter</x:t>
        </x:is>
      </x:c>
      <x:c r="C9" s="65" t="inlineStr">
        <x:is>
          <x:t xml:space="preserve">MVP</x:t>
        </x:is>
      </x:c>
      <x:c r="D9" s="65" t="inlineStr">
        <x:is>
          <x:t xml:space="preserve">Generated client wrapper.</x:t>
        </x:is>
      </x:c>
    </x:row>
    <x:row r="10">
      <x:c r="A10" s="66" t="inlineStr">
        <x:is>
          <x:t xml:space="preserve">src/shared/storage/</x:t>
        </x:is>
      </x:c>
      <x:c r="B10" s="66" t="inlineStr">
        <x:is>
          <x:t xml:space="preserve">Secure/local storage</x:t>
        </x:is>
      </x:c>
      <x:c r="C10" s="66" t="inlineStr">
        <x:is>
          <x:t xml:space="preserve">MVP</x:t>
        </x:is>
      </x:c>
      <x:c r="D10" s="66" t="inlineStr">
        <x:is>
          <x:t xml:space="preserve">No secrets in AsyncStorage unless appropriate.</x:t>
        </x:is>
      </x:c>
    </x:row>
    <x:row r="11">
      <x:c r="A11" s="65" t="inlineStr">
        <x:is>
          <x:t xml:space="preserve">src/design-system/</x:t>
        </x:is>
      </x:c>
      <x:c r="B11" s="65" t="inlineStr">
        <x:is>
          <x:t xml:space="preserve">Tokens and mobile UI primitives</x:t>
        </x:is>
      </x:c>
      <x:c r="C11" s="65" t="inlineStr">
        <x:is>
          <x:t xml:space="preserve">MVP</x:t>
        </x:is>
      </x:c>
      <x:c r="D11" s="65" t="inlineStr">
        <x:is>
          <x:t xml:space="preserve">Can consume root design token package.</x:t>
        </x:is>
      </x:c>
    </x:row>
    <x:row r="12">
      <x:c r="A12" s="66" t="inlineStr">
        <x:is>
          <x:t xml:space="preserve">packages/contracts-ts/</x:t>
        </x:is>
      </x:c>
      <x:c r="B12" s="66" t="inlineStr">
        <x:is>
          <x:t xml:space="preserve">Shared TS API/event types</x:t>
        </x:is>
      </x:c>
      <x:c r="C12" s="66" t="inlineStr">
        <x:is>
          <x:t xml:space="preserve">MVP</x:t>
        </x:is>
      </x:c>
      <x:c r="D12" s="66" t="inlineStr">
        <x:is>
          <x:t xml:space="preserve">Reusable by RN + Next.js.</x:t>
        </x:is>
      </x:c>
    </x:row>
    <x:row r="13">
      <x:c r="A13" s="65" t="inlineStr">
        <x:is>
          <x:t xml:space="preserve">packages/validation-ts/</x:t>
        </x:is>
      </x:c>
      <x:c r="B13" s="65" t="inlineStr">
        <x:is>
          <x:t xml:space="preserve">Shared validation</x:t>
        </x:is>
      </x:c>
      <x:c r="C13" s="65" t="inlineStr">
        <x:is>
          <x:t xml:space="preserve">MVP</x:t>
        </x:is>
      </x:c>
      <x:c r="D13" s="65" t="inlineStr">
        <x:is>
          <x:t xml:space="preserve">Only runtime-compatible schemas.</x:t>
        </x:is>
      </x:c>
    </x:row>
    <x:row r="14">
      <x:c r="A14" s="66" t="inlineStr">
        <x:is>
          <x:t xml:space="preserve">android/ ios/</x:t>
        </x:is>
      </x:c>
      <x:c r="B14" s="66" t="inlineStr">
        <x:is>
          <x:t xml:space="preserve">Native projects/modules</x:t>
        </x:is>
      </x:c>
      <x:c r="C14" s="66" t="inlineStr">
        <x:is>
          <x:t xml:space="preserve">MVP</x:t>
        </x:is>
      </x:c>
      <x:c r="D14" s="66" t="inlineStr">
        <x:is>
          <x:t xml:space="preserve">Expo-managed when possible; bare/native module only as needed.</x:t>
        </x:is>
      </x:c>
    </x:row>
    <x:row r="15">
      <x:c r="A15" s="65" t="inlineStr">
        <x:is>
          <x:t xml:space="preserve">e2e/</x:t>
        </x:is>
      </x:c>
      <x:c r="B15" s="65" t="inlineStr">
        <x:is>
          <x:t xml:space="preserve">Critical mobile flows</x:t>
        </x:is>
      </x:c>
      <x:c r="C15" s="65" t="inlineStr">
        <x:is>
          <x:t xml:space="preserve">MID</x:t>
        </x:is>
      </x:c>
      <x:c r="D15" s="65" t="inlineStr">
        <x:is>
          <x:t xml:space="preserve">Cloud/local device runtime.</x:t>
        </x:is>
      </x:c>
    </x:row>
  </x:sheetData>
  <x:mergeCells>
    <x:mergeCell ref="A1:D1"/>
    <x:mergeCell ref="A2:D2"/>
  </x:mergeCells>
  <x:pageMargins left="0.7" right="0.7" top="0.75" bottom="0.75" header="0.3" footer="0.3"/>
</x:worksheet>
</file>

<file path=xl/worksheets/sheet26.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Android Generated App Structure</x:t>
        </x:is>
      </x:c>
      <x:c r="B1" s="375" t="n"/>
      <x:c r="C1" s="375" t="n"/>
      <x:c r="D1" s="375" t="n"/>
    </x:row>
    <x:row r="2" s="40" customFormat="1" ht="36" customHeight="1">
      <x:c r="A2" s="397" t="inlineStr">
        <x:is>
          <x:t xml:space="preserve">Kotlin + Jetpack Compose. Use lean and scaled profiles: avoid over-modularizing small apps, but provide feature/core modules and convention plugins for serious products.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x:t>
        </x:is>
      </x:c>
      <x:c r="B4" s="66" t="inlineStr">
        <x:is>
          <x:t xml:space="preserve">Application entry/composition</x:t>
        </x:is>
      </x:c>
      <x:c r="C4" s="66" t="inlineStr">
        <x:is>
          <x:t xml:space="preserve">MVP</x:t>
        </x:is>
      </x:c>
      <x:c r="D4" s="66" t="inlineStr">
        <x:is>
          <x:t xml:space="preserve">Keep app module thin.</x:t>
        </x:is>
      </x:c>
    </x:row>
    <x:row r="5">
      <x:c r="A5" s="65" t="inlineStr">
        <x:is>
          <x:t xml:space="preserve">core/common/</x:t>
        </x:is>
      </x:c>
      <x:c r="B5" s="65" t="inlineStr">
        <x:is>
          <x:t xml:space="preserve">Shared primitives/helpers</x:t>
        </x:is>
      </x:c>
      <x:c r="C5" s="65" t="inlineStr">
        <x:is>
          <x:t xml:space="preserve">MVP</x:t>
        </x:is>
      </x:c>
      <x:c r="D5" s="65" t="inlineStr">
        <x:is>
          <x:t xml:space="preserve">No feature dumping.</x:t>
        </x:is>
      </x:c>
    </x:row>
    <x:row r="6">
      <x:c r="A6" s="66" t="inlineStr">
        <x:is>
          <x:t xml:space="preserve">core/model/</x:t>
        </x:is>
      </x:c>
      <x:c r="B6" s="66" t="inlineStr">
        <x:is>
          <x:t xml:space="preserve">Cross-feature models</x:t>
        </x:is>
      </x:c>
      <x:c r="C6" s="66" t="inlineStr">
        <x:is>
          <x:t xml:space="preserve">MVP</x:t>
        </x:is>
      </x:c>
      <x:c r="D6" s="66" t="inlineStr">
        <x:is>
          <x:t xml:space="preserve">Stable shared models only.</x:t>
        </x:is>
      </x:c>
    </x:row>
    <x:row r="7">
      <x:c r="A7" s="65" t="inlineStr">
        <x:is>
          <x:t xml:space="preserve">core/designsystem/</x:t>
        </x:is>
      </x:c>
      <x:c r="B7" s="65" t="inlineStr">
        <x:is>
          <x:t xml:space="preserve">Compose theme/components/tokens</x:t>
        </x:is>
      </x:c>
      <x:c r="C7" s="65" t="inlineStr">
        <x:is>
          <x:t xml:space="preserve">MVP</x:t>
        </x:is>
      </x:c>
      <x:c r="D7" s="65" t="inlineStr">
        <x:is>
          <x:t xml:space="preserve">Generated tokens + accessibility baseline.</x:t>
        </x:is>
      </x:c>
    </x:row>
    <x:row r="8">
      <x:c r="A8" s="66" t="inlineStr">
        <x:is>
          <x:t xml:space="preserve">core/network/</x:t>
        </x:is>
      </x:c>
      <x:c r="B8" s="66" t="inlineStr">
        <x:is>
          <x:t xml:space="preserve">HTTP/client/interceptors</x:t>
        </x:is>
      </x:c>
      <x:c r="C8" s="66" t="inlineStr">
        <x:is>
          <x:t xml:space="preserve">MVP</x:t>
        </x:is>
      </x:c>
      <x:c r="D8" s="66" t="inlineStr">
        <x:is>
          <x:t xml:space="preserve">No UI/domain feature logic.</x:t>
        </x:is>
      </x:c>
    </x:row>
    <x:row r="9">
      <x:c r="A9" s="65" t="inlineStr">
        <x:is>
          <x:t xml:space="preserve">core/database/</x:t>
        </x:is>
      </x:c>
      <x:c r="B9" s="65" t="inlineStr">
        <x:is>
          <x:t xml:space="preserve">Database infrastructure</x:t>
        </x:is>
      </x:c>
      <x:c r="C9" s="65" t="inlineStr">
        <x:is>
          <x:t xml:space="preserve">MVP</x:t>
        </x:is>
      </x:c>
      <x:c r="D9" s="65" t="inlineStr">
        <x:is>
          <x:t xml:space="preserve">Schema/migrations versioned.</x:t>
        </x:is>
      </x:c>
    </x:row>
    <x:row r="10">
      <x:c r="A10" s="66" t="inlineStr">
        <x:is>
          <x:t xml:space="preserve">core/datastore/</x:t>
        </x:is>
      </x:c>
      <x:c r="B10" s="66" t="inlineStr">
        <x:is>
          <x:t xml:space="preserve">Preferences/secure data adapters</x:t>
        </x:is>
      </x:c>
      <x:c r="C10" s="66" t="inlineStr">
        <x:is>
          <x:t xml:space="preserve">MVP</x:t>
        </x:is>
      </x:c>
      <x:c r="D10" s="66" t="inlineStr">
        <x:is>
          <x:t xml:space="preserve">Use correct secure store.</x:t>
        </x:is>
      </x:c>
    </x:row>
    <x:row r="11">
      <x:c r="A11" s="65" t="inlineStr">
        <x:is>
          <x:t xml:space="preserve">core/analytics/</x:t>
        </x:is>
      </x:c>
      <x:c r="B11" s="65" t="inlineStr">
        <x:is>
          <x:t xml:space="preserve">Analytics/logging interfaces</x:t>
        </x:is>
      </x:c>
      <x:c r="C11" s="65" t="inlineStr">
        <x:is>
          <x:t xml:space="preserve">MVP</x:t>
        </x:is>
      </x:c>
      <x:c r="D11" s="65" t="inlineStr">
        <x:is>
          <x:t xml:space="preserve">Central event schema.</x:t>
        </x:is>
      </x:c>
    </x:row>
    <x:row r="12">
      <x:c r="A12" s="66" t="inlineStr">
        <x:is>
          <x:t xml:space="preserve">feature/&lt;feature&gt;/</x:t>
        </x:is>
      </x:c>
      <x:c r="B12" s="66" t="inlineStr">
        <x:is>
          <x:t xml:space="preserve">Feature modules</x:t>
        </x:is>
      </x:c>
      <x:c r="C12" s="66" t="inlineStr">
        <x:is>
          <x:t xml:space="preserve">MID/Scaled</x:t>
        </x:is>
      </x:c>
      <x:c r="D12" s="66" t="inlineStr">
        <x:is>
          <x:t xml:space="preserve">Use when app/team size justifies module split.</x:t>
        </x:is>
      </x:c>
    </x:row>
    <x:row r="13">
      <x:c r="A13" s="65" t="inlineStr">
        <x:is>
          <x:t xml:space="preserve">feature/&lt;feature&gt;/data/</x:t>
        </x:is>
      </x:c>
      <x:c r="B13" s="65" t="inlineStr">
        <x:is>
          <x:t xml:space="preserve">Repositories/data sources</x:t>
        </x:is>
      </x:c>
      <x:c r="C13" s="65" t="inlineStr">
        <x:is>
          <x:t xml:space="preserve">MVP/Scaled</x:t>
        </x:is>
      </x:c>
      <x:c r="D13" s="65" t="inlineStr">
        <x:is>
          <x:t xml:space="preserve">Inside feature or module.</x:t>
        </x:is>
      </x:c>
    </x:row>
    <x:row r="14">
      <x:c r="A14" s="66" t="inlineStr">
        <x:is>
          <x:t xml:space="preserve">feature/&lt;feature&gt;/domain/</x:t>
        </x:is>
      </x:c>
      <x:c r="B14" s="66" t="inlineStr">
        <x:is>
          <x:t xml:space="preserve">Use cases/domain</x:t>
        </x:is>
      </x:c>
      <x:c r="C14" s="66" t="inlineStr">
        <x:is>
          <x:t xml:space="preserve">Complex</x:t>
        </x:is>
      </x:c>
      <x:c r="D14" s="66" t="inlineStr">
        <x:is>
          <x:t xml:space="preserve">Do not force for trivial CRUD.</x:t>
        </x:is>
      </x:c>
    </x:row>
    <x:row r="15">
      <x:c r="A15" s="65" t="inlineStr">
        <x:is>
          <x:t xml:space="preserve">feature/&lt;feature&gt;/presentation/</x:t>
        </x:is>
      </x:c>
      <x:c r="B15" s="65" t="inlineStr">
        <x:is>
          <x:t xml:space="preserve">Compose UI/ViewModel/navigation</x:t>
        </x:is>
      </x:c>
      <x:c r="C15" s="65" t="inlineStr">
        <x:is>
          <x:t xml:space="preserve">MVP</x:t>
        </x:is>
      </x:c>
      <x:c r="D15" s="65" t="inlineStr">
        <x:is>
          <x:t xml:space="preserve">Unidirectional state flow.</x:t>
        </x:is>
      </x:c>
    </x:row>
    <x:row r="16">
      <x:c r="A16" s="66" t="inlineStr">
        <x:is>
          <x:t xml:space="preserve">build-logic/convention/</x:t>
        </x:is>
      </x:c>
      <x:c r="B16" s="66" t="inlineStr">
        <x:is>
          <x:t xml:space="preserve">Gradle convention plugins</x:t>
        </x:is>
      </x:c>
      <x:c r="C16" s="66" t="inlineStr">
        <x:is>
          <x:t xml:space="preserve">MVP/Scaled</x:t>
        </x:is>
      </x:c>
      <x:c r="D16" s="66" t="inlineStr">
        <x:is>
          <x:t xml:space="preserve">Avoid copied Gradle config.</x:t>
        </x:is>
      </x:c>
    </x:row>
    <x:row r="17">
      <x:c r="A17" s="65" t="inlineStr">
        <x:is>
          <x:t xml:space="preserve">gradle/libs.versions.toml</x:t>
        </x:is>
      </x:c>
      <x:c r="B17" s="65" t="inlineStr">
        <x:is>
          <x:t xml:space="preserve">Version catalog</x:t>
        </x:is>
      </x:c>
      <x:c r="C17" s="65" t="inlineStr">
        <x:is>
          <x:t xml:space="preserve">MVP</x:t>
        </x:is>
      </x:c>
      <x:c r="D17" s="65" t="inlineStr">
        <x:is>
          <x:t xml:space="preserve">Central dependency versions.</x:t>
        </x:is>
      </x:c>
    </x:row>
  </x:sheetData>
  <x:mergeCells>
    <x:mergeCell ref="A1:D1"/>
    <x:mergeCell ref="A2:D2"/>
  </x:mergeCells>
  <x:pageMargins left="0.7" right="0.7" top="0.75" bottom="0.75" header="0.3" footer="0.3"/>
</x:worksheet>
</file>

<file path=xl/worksheets/sheet27.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iOS Generated App Structure</x:t>
        </x:is>
      </x:c>
      <x:c r="B1" s="375" t="n"/>
      <x:c r="C1" s="375" t="n"/>
      <x:c r="D1" s="375" t="n"/>
    </x:row>
    <x:row r="2" s="40" customFormat="1" ht="36" customHeight="1">
      <x:c r="A2" s="397" t="inlineStr">
        <x:is>
          <x:t xml:space="preserve">Swift + SwiftUI + Swift concurrency. Start lean; move stable cores/features into local Swift Packages when scale justifies it. Browser preview works anywhere; real build/simulator/signing uses macOS.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App/AppEntry/</x:t>
        </x:is>
      </x:c>
      <x:c r="B4" s="66" t="inlineStr">
        <x:is>
          <x:t xml:space="preserve">@main app entry and composition</x:t>
        </x:is>
      </x:c>
      <x:c r="C4" s="66" t="inlineStr">
        <x:is>
          <x:t xml:space="preserve">MVP</x:t>
        </x:is>
      </x:c>
      <x:c r="D4" s="66" t="inlineStr">
        <x:is>
          <x:t xml:space="preserve">Composition root.</x:t>
        </x:is>
      </x:c>
    </x:row>
    <x:row r="5">
      <x:c r="A5" s="65" t="inlineStr">
        <x:is>
          <x:t xml:space="preserve">App/Navigation/</x:t>
        </x:is>
      </x:c>
      <x:c r="B5" s="65" t="inlineStr">
        <x:is>
          <x:t xml:space="preserve">Navigation coordinator/router</x:t>
        </x:is>
      </x:c>
      <x:c r="C5" s="65" t="inlineStr">
        <x:is>
          <x:t xml:space="preserve">MVP</x:t>
        </x:is>
      </x:c>
      <x:c r="D5" s="65" t="inlineStr">
        <x:is>
          <x:t xml:space="preserve">One navigation pattern.</x:t>
        </x:is>
      </x:c>
    </x:row>
    <x:row r="6">
      <x:c r="A6" s="66" t="inlineStr">
        <x:is>
          <x:t xml:space="preserve">App/DI/</x:t>
        </x:is>
      </x:c>
      <x:c r="B6" s="66" t="inlineStr">
        <x:is>
          <x:t xml:space="preserve">Dependency composition</x:t>
        </x:is>
      </x:c>
      <x:c r="C6" s="66" t="inlineStr">
        <x:is>
          <x:t xml:space="preserve">MVP</x:t>
        </x:is>
      </x:c>
      <x:c r="D6" s="66" t="inlineStr">
        <x:is>
          <x:t xml:space="preserve">Inject interfaces, avoid service locator sprawl.</x:t>
        </x:is>
      </x:c>
    </x:row>
    <x:row r="7">
      <x:c r="A7" s="65" t="inlineStr">
        <x:is>
          <x:t xml:space="preserve">Core/Models/</x:t>
        </x:is>
      </x:c>
      <x:c r="B7" s="65" t="inlineStr">
        <x:is>
          <x:t xml:space="preserve">Shared stable models</x:t>
        </x:is>
      </x:c>
      <x:c r="C7" s="65" t="inlineStr">
        <x:is>
          <x:t xml:space="preserve">MVP</x:t>
        </x:is>
      </x:c>
      <x:c r="D7" s="65" t="inlineStr">
        <x:is>
          <x:t xml:space="preserve">Cross-feature only.</x:t>
        </x:is>
      </x:c>
    </x:row>
    <x:row r="8">
      <x:c r="A8" s="66" t="inlineStr">
        <x:is>
          <x:t xml:space="preserve">Core/Networking/</x:t>
        </x:is>
      </x:c>
      <x:c r="B8" s="66" t="inlineStr">
        <x:is>
          <x:t xml:space="preserve">HTTP/client/generated API adapter</x:t>
        </x:is>
      </x:c>
      <x:c r="C8" s="66" t="inlineStr">
        <x:is>
          <x:t xml:space="preserve">MVP</x:t>
        </x:is>
      </x:c>
      <x:c r="D8" s="66" t="inlineStr">
        <x:is>
          <x:t xml:space="preserve">async/await.</x:t>
        </x:is>
      </x:c>
    </x:row>
    <x:row r="9">
      <x:c r="A9" s="65" t="inlineStr">
        <x:is>
          <x:t xml:space="preserve">Core/Persistence/</x:t>
        </x:is>
      </x:c>
      <x:c r="B9" s="65" t="inlineStr">
        <x:is>
          <x:t xml:space="preserve">Local persistence</x:t>
        </x:is>
      </x:c>
      <x:c r="C9" s="65" t="inlineStr">
        <x:is>
          <x:t xml:space="preserve">MVP</x:t>
        </x:is>
      </x:c>
      <x:c r="D9" s="65" t="inlineStr">
        <x:is>
          <x:t xml:space="preserve">Isolate framework details.</x:t>
        </x:is>
      </x:c>
    </x:row>
    <x:row r="10">
      <x:c r="A10" s="66" t="inlineStr">
        <x:is>
          <x:t xml:space="preserve">Core/Auth/</x:t>
        </x:is>
      </x:c>
      <x:c r="B10" s="66" t="inlineStr">
        <x:is>
          <x:t xml:space="preserve">Auth/token/keychain abstractions</x:t>
        </x:is>
      </x:c>
      <x:c r="C10" s="66" t="inlineStr">
        <x:is>
          <x:t xml:space="preserve">MVP</x:t>
        </x:is>
      </x:c>
      <x:c r="D10" s="66" t="inlineStr">
        <x:is>
          <x:t xml:space="preserve">Sensitive data in Keychain.</x:t>
        </x:is>
      </x:c>
    </x:row>
    <x:row r="11">
      <x:c r="A11" s="65" t="inlineStr">
        <x:is>
          <x:t xml:space="preserve">Core/DesignSystem/</x:t>
        </x:is>
      </x:c>
      <x:c r="B11" s="65" t="inlineStr">
        <x:is>
          <x:t xml:space="preserve">SwiftUI tokens/components</x:t>
        </x:is>
      </x:c>
      <x:c r="C11" s="65" t="inlineStr">
        <x:is>
          <x:t xml:space="preserve">MVP</x:t>
        </x:is>
      </x:c>
      <x:c r="D11" s="65" t="inlineStr">
        <x:is>
          <x:t xml:space="preserve">Canonical tokens.</x:t>
        </x:is>
      </x:c>
    </x:row>
    <x:row r="12">
      <x:c r="A12" s="66" t="inlineStr">
        <x:is>
          <x:t xml:space="preserve">Features/&lt;feature&gt;/Data/</x:t>
        </x:is>
      </x:c>
      <x:c r="B12" s="66" t="inlineStr">
        <x:is>
          <x:t xml:space="preserve">Repositories/data sources</x:t>
        </x:is>
      </x:c>
      <x:c r="C12" s="66" t="inlineStr">
        <x:is>
          <x:t xml:space="preserve">MVP</x:t>
        </x:is>
      </x:c>
      <x:c r="D12" s="66" t="inlineStr">
        <x:is>
          <x:t xml:space="preserve">Feature-owned.</x:t>
        </x:is>
      </x:c>
    </x:row>
    <x:row r="13">
      <x:c r="A13" s="65" t="inlineStr">
        <x:is>
          <x:t xml:space="preserve">Features/&lt;feature&gt;/Domain/</x:t>
        </x:is>
      </x:c>
      <x:c r="B13" s="65" t="inlineStr">
        <x:is>
          <x:t xml:space="preserve">Domain/use cases</x:t>
        </x:is>
      </x:c>
      <x:c r="C13" s="65" t="inlineStr">
        <x:is>
          <x:t xml:space="preserve">Complex</x:t>
        </x:is>
      </x:c>
      <x:c r="D13" s="65" t="inlineStr">
        <x:is>
          <x:t xml:space="preserve">Optional in lean template.</x:t>
        </x:is>
      </x:c>
    </x:row>
    <x:row r="14">
      <x:c r="A14" s="66" t="inlineStr">
        <x:is>
          <x:t xml:space="preserve">Features/&lt;feature&gt;/Presentation/</x:t>
        </x:is>
      </x:c>
      <x:c r="B14" s="66" t="inlineStr">
        <x:is>
          <x:t xml:space="preserve">SwiftUI views/state</x:t>
        </x:is>
      </x:c>
      <x:c r="C14" s="66" t="inlineStr">
        <x:is>
          <x:t xml:space="preserve">MVP</x:t>
        </x:is>
      </x:c>
      <x:c r="D14" s="66" t="inlineStr">
        <x:is>
          <x:t xml:space="preserve">MainActor/actor rules respected.</x:t>
        </x:is>
      </x:c>
    </x:row>
    <x:row r="15">
      <x:c r="A15" s="65" t="inlineStr">
        <x:is>
          <x:t xml:space="preserve">Packages/&lt;module&gt;/</x:t>
        </x:is>
      </x:c>
      <x:c r="B15" s="65" t="inlineStr">
        <x:is>
          <x:t xml:space="preserve">Local Swift packages</x:t>
        </x:is>
      </x:c>
      <x:c r="C15" s="65" t="inlineStr">
        <x:is>
          <x:t xml:space="preserve">MID/Scaled</x:t>
        </x:is>
      </x:c>
      <x:c r="D15" s="65" t="inlineStr">
        <x:is>
          <x:t xml:space="preserve">Use when modularity/build/team size benefits.</x:t>
        </x:is>
      </x:c>
    </x:row>
    <x:row r="16">
      <x:c r="A16" s="66" t="inlineStr">
        <x:is>
          <x:t xml:space="preserve">Tests/ UITests/</x:t>
        </x:is>
      </x:c>
      <x:c r="B16" s="66" t="inlineStr">
        <x:is>
          <x:t xml:space="preserve">Unit/UI tests</x:t>
        </x:is>
      </x:c>
      <x:c r="C16" s="66" t="inlineStr">
        <x:is>
          <x:t xml:space="preserve">MVP/MID</x:t>
        </x:is>
      </x:c>
      <x:c r="D16" s="66" t="inlineStr">
        <x:is>
          <x:t xml:space="preserve">Real macOS toolchain for compile/run.</x:t>
        </x:is>
      </x:c>
    </x:row>
  </x:sheetData>
  <x:mergeCells>
    <x:mergeCell ref="A1:D1"/>
    <x:mergeCell ref="A2:D2"/>
  </x:mergeCells>
  <x:pageMargins left="0.7" right="0.7" top="0.75" bottom="0.75" header="0.3" footer="0.3"/>
</x:worksheet>
</file>

<file path=xl/worksheets/sheet28.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Next.js Public Web Structure</x:t>
        </x:is>
      </x:c>
      <x:c r="B1" s="375" t="n"/>
      <x:c r="C1" s="375" t="n"/>
      <x:c r="D1" s="375" t="n"/>
    </x:row>
    <x:row r="2" s="40" customFormat="1" ht="36" customHeight="1">
      <x:c r="A2" s="397" t="inlineStr">
        <x:is>
          <x:t xml:space="preserve">Public web is optimized for browser UX, SEO, accessibility and performance. It may share TS contracts/domain packages with React Native, but it is not forced to use mobile UI code.</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Next.js routes/layouts/server components</x:t>
        </x:is>
      </x:c>
      <x:c r="C4" s="66" t="inlineStr">
        <x:is>
          <x:t xml:space="preserve">MVP</x:t>
        </x:is>
      </x:c>
      <x:c r="D4" s="66" t="inlineStr">
        <x:is>
          <x:t xml:space="preserve">App Router default.</x:t>
        </x:is>
      </x:c>
    </x:row>
    <x:row r="5">
      <x:c r="A5" s="65" t="inlineStr">
        <x:is>
          <x:t xml:space="preserve">src/features/&lt;feature&gt;/</x:t>
        </x:is>
      </x:c>
      <x:c r="B5" s="65" t="inlineStr">
        <x:is>
          <x:t xml:space="preserve">Feature-specific UI/state/actions</x:t>
        </x:is>
      </x:c>
      <x:c r="C5" s="65" t="inlineStr">
        <x:is>
          <x:t xml:space="preserve">MVP</x:t>
        </x:is>
      </x:c>
      <x:c r="D5" s="65" t="inlineStr">
        <x:is>
          <x:t xml:space="preserve">Feature-first.</x:t>
        </x:is>
      </x:c>
    </x:row>
    <x:row r="6">
      <x:c r="A6" s="66" t="inlineStr">
        <x:is>
          <x:t xml:space="preserve">src/components/</x:t>
        </x:is>
      </x:c>
      <x:c r="B6" s="66" t="inlineStr">
        <x:is>
          <x:t xml:space="preserve">Cross-feature web components</x:t>
        </x:is>
      </x:c>
      <x:c r="C6" s="66" t="inlineStr">
        <x:is>
          <x:t xml:space="preserve">MVP</x:t>
        </x:is>
      </x:c>
      <x:c r="D6" s="66" t="inlineStr">
        <x:is>
          <x:t xml:space="preserve">Keep generic and accessible.</x:t>
        </x:is>
      </x:c>
    </x:row>
    <x:row r="7">
      <x:c r="A7" s="65" t="inlineStr">
        <x:is>
          <x:t xml:space="preserve">src/design-system/</x:t>
        </x:is>
      </x:c>
      <x:c r="B7" s="65" t="inlineStr">
        <x:is>
          <x:t xml:space="preserve">Tokens/web primitives</x:t>
        </x:is>
      </x:c>
      <x:c r="C7" s="65" t="inlineStr">
        <x:is>
          <x:t xml:space="preserve">MVP</x:t>
        </x:is>
      </x:c>
      <x:c r="D7" s="65" t="inlineStr">
        <x:is>
          <x:t xml:space="preserve">Use canonical tokens.</x:t>
        </x:is>
      </x:c>
    </x:row>
    <x:row r="8">
      <x:c r="A8" s="66" t="inlineStr">
        <x:is>
          <x:t xml:space="preserve">src/lib/api/</x:t>
        </x:is>
      </x:c>
      <x:c r="B8" s="66" t="inlineStr">
        <x:is>
          <x:t xml:space="preserve">Generated client/wrappers</x:t>
        </x:is>
      </x:c>
      <x:c r="C8" s="66" t="inlineStr">
        <x:is>
          <x:t xml:space="preserve">MVP</x:t>
        </x:is>
      </x:c>
      <x:c r="D8" s="66" t="inlineStr">
        <x:is>
          <x:t xml:space="preserve">Server/client-safe boundary.</x:t>
        </x:is>
      </x:c>
    </x:row>
    <x:row r="9">
      <x:c r="A9" s="65" t="inlineStr">
        <x:is>
          <x:t xml:space="preserve">src/lib/auth/</x:t>
        </x:is>
      </x:c>
      <x:c r="B9" s="65" t="inlineStr">
        <x:is>
          <x:t xml:space="preserve">Auth/session helpers</x:t>
        </x:is>
      </x:c>
      <x:c r="C9" s="65" t="inlineStr">
        <x:is>
          <x:t xml:space="preserve">MVP</x:t>
        </x:is>
      </x:c>
      <x:c r="D9" s="65" t="inlineStr">
        <x:is>
          <x:t xml:space="preserve">Never leak server secrets to client bundle.</x:t>
        </x:is>
      </x:c>
    </x:row>
    <x:row r="10">
      <x:c r="A10" s="66" t="inlineStr">
        <x:is>
          <x:t xml:space="preserve">src/lib/telemetry/</x:t>
        </x:is>
      </x:c>
      <x:c r="B10" s="66" t="inlineStr">
        <x:is>
          <x:t xml:space="preserve">Analytics/logging</x:t>
        </x:is>
      </x:c>
      <x:c r="C10" s="66" t="inlineStr">
        <x:is>
          <x:t xml:space="preserve">MVP</x:t>
        </x:is>
      </x:c>
      <x:c r="D10" s="66" t="inlineStr">
        <x:is>
          <x:t xml:space="preserve">Web event schema.</x:t>
        </x:is>
      </x:c>
    </x:row>
    <x:row r="11">
      <x:c r="A11" s="65" t="inlineStr">
        <x:is>
          <x:t xml:space="preserve">src/lib/validation/</x:t>
        </x:is>
      </x:c>
      <x:c r="B11" s="65" t="inlineStr">
        <x:is>
          <x:t xml:space="preserve">Shared TS schemas where safe</x:t>
        </x:is>
      </x:c>
      <x:c r="C11" s="65" t="inlineStr">
        <x:is>
          <x:t xml:space="preserve">MVP</x:t>
        </x:is>
      </x:c>
      <x:c r="D11" s="65" t="inlineStr">
        <x:is>
          <x:t xml:space="preserve">Reuse with RN when compatible.</x:t>
        </x:is>
      </x:c>
    </x:row>
    <x:row r="12">
      <x:c r="A12" s="66" t="inlineStr">
        <x:is>
          <x:t xml:space="preserve">tests/</x:t>
        </x:is>
      </x:c>
      <x:c r="B12" s="66" t="inlineStr">
        <x:is>
          <x:t xml:space="preserve">Unit/component tests</x:t>
        </x:is>
      </x:c>
      <x:c r="C12" s="66" t="inlineStr">
        <x:is>
          <x:t xml:space="preserve">MVP</x:t>
        </x:is>
      </x:c>
      <x:c r="D12" s="66" t="inlineStr">
        <x:is>
          <x:t xml:space="preserve">Impact-selected.</x:t>
        </x:is>
      </x:c>
    </x:row>
    <x:row r="13">
      <x:c r="A13" s="65" t="inlineStr">
        <x:is>
          <x:t xml:space="preserve">e2e/</x:t>
        </x:is>
      </x:c>
      <x:c r="B13" s="65" t="inlineStr">
        <x:is>
          <x:t xml:space="preserve">Critical browser flows</x:t>
        </x:is>
      </x:c>
      <x:c r="C13" s="65" t="inlineStr">
        <x:is>
          <x:t xml:space="preserve">MVP/MID</x:t>
        </x:is>
      </x:c>
      <x:c r="D13" s="65" t="inlineStr">
        <x:is>
          <x:t xml:space="preserve">Accessibility + visual checks.</x:t>
        </x:is>
      </x:c>
    </x:row>
  </x:sheetData>
  <x:mergeCells>
    <x:mergeCell ref="A1:D1"/>
    <x:mergeCell ref="A2:D2"/>
  </x:mergeCells>
  <x:pageMargins left="0.7" right="0.7" top="0.75" bottom="0.75" header="0.3" footer="0.3"/>
</x:worksheet>
</file>

<file path=xl/worksheets/sheet29.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Admin / Operations Panel Structure</x:t>
        </x:is>
      </x:c>
      <x:c r="B1" s="375" t="n"/>
      <x:c r="C1" s="375" t="n"/>
      <x:c r="D1" s="375" t="n"/>
    </x:row>
    <x:row r="2" s="40" customFormat="1" ht="36" customHeight="1">
      <x:c r="A2" s="397" t="inlineStr">
        <x:is>
          <x:t xml:space="preserve">Admin is a separate product target with different UX: desktop/tablet, RBAC, high-density data, audit trails and controlled destructive actions. Keep Next.js as the default.</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Admin routes/layout</x:t>
        </x:is>
      </x:c>
      <x:c r="C4" s="66" t="inlineStr">
        <x:is>
          <x:t xml:space="preserve">MVP</x:t>
        </x:is>
      </x:c>
      <x:c r="D4" s="66" t="inlineStr">
        <x:is>
          <x:t xml:space="preserve">Authenticated desktop-first shell.</x:t>
        </x:is>
      </x:c>
    </x:row>
    <x:row r="5">
      <x:c r="A5" s="65" t="inlineStr">
        <x:is>
          <x:t xml:space="preserve">src/modules/users/</x:t>
        </x:is>
      </x:c>
      <x:c r="B5" s="65" t="inlineStr">
        <x:is>
          <x:t xml:space="preserve">User operations</x:t>
        </x:is>
      </x:c>
      <x:c r="C5" s="65" t="inlineStr">
        <x:is>
          <x:t xml:space="preserve">MVP</x:t>
        </x:is>
      </x:c>
      <x:c r="D5" s="65" t="inlineStr">
        <x:is>
          <x:t xml:space="preserve">Module-by-domain.</x:t>
        </x:is>
      </x:c>
    </x:row>
    <x:row r="6">
      <x:c r="A6" s="66" t="inlineStr">
        <x:is>
          <x:t xml:space="preserve">src/modules/orders/</x:t>
        </x:is>
      </x:c>
      <x:c r="B6" s="66" t="inlineStr">
        <x:is>
          <x:t xml:space="preserve">Order/booking operations</x:t>
        </x:is>
      </x:c>
      <x:c r="C6" s="66" t="inlineStr">
        <x:is>
          <x:t xml:space="preserve">MVP</x:t>
        </x:is>
      </x:c>
      <x:c r="D6" s="66" t="inlineStr">
        <x:is>
          <x:t xml:space="preserve">Server-side filters/pagination.</x:t>
        </x:is>
      </x:c>
    </x:row>
    <x:row r="7">
      <x:c r="A7" s="65" t="inlineStr">
        <x:is>
          <x:t xml:space="preserve">src/modules/payments/</x:t>
        </x:is>
      </x:c>
      <x:c r="B7" s="65" t="inlineStr">
        <x:is>
          <x:t xml:space="preserve">Payment operations</x:t>
        </x:is>
      </x:c>
      <x:c r="C7" s="65" t="inlineStr">
        <x:is>
          <x:t xml:space="preserve">MVP</x:t>
        </x:is>
      </x:c>
      <x:c r="D7" s="65" t="inlineStr">
        <x:is>
          <x:t xml:space="preserve">Sensitive actions require permission/audit.</x:t>
        </x:is>
      </x:c>
    </x:row>
    <x:row r="8">
      <x:c r="A8" s="66" t="inlineStr">
        <x:is>
          <x:t xml:space="preserve">src/modules/reports/</x:t>
        </x:is>
      </x:c>
      <x:c r="B8" s="66" t="inlineStr">
        <x:is>
          <x:t xml:space="preserve">Reporting</x:t>
        </x:is>
      </x:c>
      <x:c r="C8" s="66" t="inlineStr">
        <x:is>
          <x:t xml:space="preserve">MID</x:t>
        </x:is>
      </x:c>
      <x:c r="D8" s="66" t="inlineStr">
        <x:is>
          <x:t xml:space="preserve">Async export for large data.</x:t>
        </x:is>
      </x:c>
    </x:row>
    <x:row r="9">
      <x:c r="A9" s="65" t="inlineStr">
        <x:is>
          <x:t xml:space="preserve">src/components/data-grid/</x:t>
        </x:is>
      </x:c>
      <x:c r="B9" s="65" t="inlineStr">
        <x:is>
          <x:t xml:space="preserve">High-density data UI</x:t>
        </x:is>
      </x:c>
      <x:c r="C9" s="65" t="inlineStr">
        <x:is>
          <x:t xml:space="preserve">MVP</x:t>
        </x:is>
      </x:c>
      <x:c r="D9" s="65" t="inlineStr">
        <x:is>
          <x:t xml:space="preserve">Virtualization/server pagination where needed.</x:t>
        </x:is>
      </x:c>
    </x:row>
    <x:row r="10">
      <x:c r="A10" s="66" t="inlineStr">
        <x:is>
          <x:t xml:space="preserve">src/components/forms/</x:t>
        </x:is>
      </x:c>
      <x:c r="B10" s="66" t="inlineStr">
        <x:is>
          <x:t xml:space="preserve">Validated admin forms</x:t>
        </x:is>
      </x:c>
      <x:c r="C10" s="66" t="inlineStr">
        <x:is>
          <x:t xml:space="preserve">MVP</x:t>
        </x:is>
      </x:c>
      <x:c r="D10" s="66" t="inlineStr">
        <x:is>
          <x:t xml:space="preserve">Confirmation for destructive actions.</x:t>
        </x:is>
      </x:c>
    </x:row>
    <x:row r="11">
      <x:c r="A11" s="65" t="inlineStr">
        <x:is>
          <x:t xml:space="preserve">src/rbac/</x:t>
        </x:is>
      </x:c>
      <x:c r="B11" s="65" t="inlineStr">
        <x:is>
          <x:t xml:space="preserve">Permission rules/adapters</x:t>
        </x:is>
      </x:c>
      <x:c r="C11" s="65" t="inlineStr">
        <x:is>
          <x:t xml:space="preserve">MVP</x:t>
        </x:is>
      </x:c>
      <x:c r="D11" s="65" t="inlineStr">
        <x:is>
          <x:t xml:space="preserve">Generated from central policy.</x:t>
        </x:is>
      </x:c>
    </x:row>
    <x:row r="12">
      <x:c r="A12" s="66" t="inlineStr">
        <x:is>
          <x:t xml:space="preserve">src/audit/</x:t>
        </x:is>
      </x:c>
      <x:c r="B12" s="66" t="inlineStr">
        <x:is>
          <x:t xml:space="preserve">Audit UI/integration</x:t>
        </x:is>
      </x:c>
      <x:c r="C12" s="66" t="inlineStr">
        <x:is>
          <x:t xml:space="preserve">MVP/MID</x:t>
        </x:is>
      </x:c>
      <x:c r="D12" s="66" t="inlineStr">
        <x:is>
          <x:t xml:space="preserve">Sensitive operations traceable.</x:t>
        </x:is>
      </x:c>
    </x:row>
    <x:row r="13">
      <x:c r="A13" s="65" t="inlineStr">
        <x:is>
          <x:t xml:space="preserve">src/lib/api/</x:t>
        </x:is>
      </x:c>
      <x:c r="B13" s="65" t="inlineStr">
        <x:is>
          <x:t xml:space="preserve">Admin API client</x:t>
        </x:is>
      </x:c>
      <x:c r="C13" s="65" t="inlineStr">
        <x:is>
          <x:t xml:space="preserve">MVP</x:t>
        </x:is>
      </x:c>
      <x:c r="D13" s="65" t="inlineStr">
        <x:is>
          <x:t xml:space="preserve">Separate scopes from public client.</x:t>
        </x:is>
      </x:c>
    </x:row>
    <x:row r="14">
      <x:c r="A14" s="66" t="inlineStr">
        <x:is>
          <x:t xml:space="preserve">tests/ e2e/</x:t>
        </x:is>
      </x:c>
      <x:c r="B14" s="66" t="inlineStr">
        <x:is>
          <x:t xml:space="preserve">Permission and operations tests</x:t>
        </x:is>
      </x:c>
      <x:c r="C14" s="66" t="inlineStr">
        <x:is>
          <x:t xml:space="preserve">MVP/MID</x:t>
        </x:is>
      </x:c>
      <x:c r="D14" s="66" t="inlineStr">
        <x:is>
          <x:t xml:space="preserve">Must cover unauthorized access paths.</x:t>
        </x:is>
      </x:c>
    </x:row>
  </x:sheetData>
  <x:mergeCells>
    <x:mergeCell ref="A1:D1"/>
    <x:mergeCell ref="A2:D2"/>
  </x:mergeCells>
  <x:pageMargins left="0.7" right="0.7" top="0.75" bottom="0.75" header="0.3" footer="0.3"/>
</x:worksheet>
</file>

<file path=xl/worksheets/sheet30.xml><?xml version="1.0" encoding="utf-8"?>
<x:worksheet xmlns:x="http://schemas.openxmlformats.org/spreadsheetml/2006/main">
  <x:sheetFormatPr baseColWidth="8" defaultRowHeight="15"/>
  <x:cols>
    <x:col min="1" max="1" width="14" style="40" customWidth="1"/>
    <x:col min="2" max="2" width="42" style="40" customWidth="1"/>
    <x:col min="3" max="3" width="42" style="40" customWidth="1"/>
    <x:col min="4" max="4" width="18" style="40" customWidth="1"/>
    <x:col min="5" max="5" width="58" style="40" customWidth="1"/>
  </x:cols>
  <x:sheetData>
    <x:row r="1" s="40" customFormat="1" ht="30" customHeight="1">
      <x:c r="A1" s="396" t="inlineStr">
        <x:is>
          <x:t xml:space="preserve">Backend Project Structures</x:t>
        </x:is>
      </x:c>
      <x:c r="B1" s="375" t="n"/>
      <x:c r="C1" s="375" t="n"/>
      <x:c r="D1" s="375" t="n"/>
      <x:c r="E1" s="375" t="n"/>
    </x:row>
    <x:row r="2" s="40" customFormat="1" ht="36" customHeight="1">
      <x:c r="A2" s="397" t="inlineStr">
        <x:is>
          <x:t xml:space="preserve">Generated backend defaults to Go or Python. Keep domain logic separated from transport/infrastructure. Node/NestJS is optional only when TypeScript ecosystem/team value is material.</x:t>
        </x:is>
      </x:c>
      <x:c r="B2" s="375" t="n"/>
      <x:c r="C2" s="375" t="n"/>
      <x:c r="D2" s="375" t="n"/>
      <x:c r="E2" s="375" t="n"/>
    </x:row>
    <x:row r="3" s="40" customFormat="1" ht="28" customHeight="1">
      <x:c r="A3" s="78" t="inlineStr">
        <x:is>
          <x:t xml:space="preserve">Stack</x:t>
        </x:is>
      </x:c>
      <x:c r="B3" s="78" t="inlineStr">
        <x:is>
          <x:t xml:space="preserve">Path</x:t>
        </x:is>
      </x:c>
      <x:c r="C3" s="78" t="inlineStr">
        <x:is>
          <x:t xml:space="preserve">Purpose</x:t>
        </x:is>
      </x:c>
      <x:c r="D3" s="78" t="inlineStr">
        <x:is>
          <x:t xml:space="preserve">Phase</x:t>
        </x:is>
      </x:c>
      <x:c r="E3" s="78" t="inlineStr">
        <x:is>
          <x:t xml:space="preserve">Rule</x:t>
        </x:is>
      </x:c>
    </x:row>
    <x:row r="4">
      <x:c r="A4" s="66" t="inlineStr">
        <x:is>
          <x:t xml:space="preserve">Go</x:t>
        </x:is>
      </x:c>
      <x:c r="B4" s="66" t="inlineStr">
        <x:is>
          <x:t xml:space="preserve">cmd/api/main.go</x:t>
        </x:is>
      </x:c>
      <x:c r="C4" s="66" t="inlineStr">
        <x:is>
          <x:t xml:space="preserve">Entry point</x:t>
        </x:is>
      </x:c>
      <x:c r="D4" s="66" t="inlineStr">
        <x:is>
          <x:t xml:space="preserve">MVP</x:t>
        </x:is>
      </x:c>
      <x:c r="E4" s="66" t="inlineStr">
        <x:is>
          <x:t xml:space="preserve">Thin main; composition only.</x:t>
        </x:is>
      </x:c>
    </x:row>
    <x:row r="5">
      <x:c r="A5" s="65" t="inlineStr">
        <x:is>
          <x:t xml:space="preserve">Go</x:t>
        </x:is>
      </x:c>
      <x:c r="B5" s="65" t="inlineStr">
        <x:is>
          <x:t xml:space="preserve">internal/domain/&lt;domain&gt;/</x:t>
        </x:is>
      </x:c>
      <x:c r="C5" s="65" t="inlineStr">
        <x:is>
          <x:t xml:space="preserve">Domain entities/rules</x:t>
        </x:is>
      </x:c>
      <x:c r="D5" s="65" t="inlineStr">
        <x:is>
          <x:t xml:space="preserve">MVP/Complex</x:t>
        </x:is>
      </x:c>
      <x:c r="E5" s="65" t="inlineStr">
        <x:is>
          <x:t xml:space="preserve">No HTTP/database dependency.</x:t>
        </x:is>
      </x:c>
    </x:row>
    <x:row r="6">
      <x:c r="A6" s="66" t="inlineStr">
        <x:is>
          <x:t xml:space="preserve">Go</x:t>
        </x:is>
      </x:c>
      <x:c r="B6" s="66" t="inlineStr">
        <x:is>
          <x:t xml:space="preserve">internal/application/</x:t>
        </x:is>
      </x:c>
      <x:c r="C6" s="66" t="inlineStr">
        <x:is>
          <x:t xml:space="preserve">Commands/queries/use cases</x:t>
        </x:is>
      </x:c>
      <x:c r="D6" s="66" t="inlineStr">
        <x:is>
          <x:t xml:space="preserve">MVP/Complex</x:t>
        </x:is>
      </x:c>
      <x:c r="E6" s="66" t="inlineStr">
        <x:is>
          <x:t xml:space="preserve">Application orchestration.</x:t>
        </x:is>
      </x:c>
    </x:row>
    <x:row r="7">
      <x:c r="A7" s="65" t="inlineStr">
        <x:is>
          <x:t xml:space="preserve">Go</x:t>
        </x:is>
      </x:c>
      <x:c r="B7" s="65" t="inlineStr">
        <x:is>
          <x:t xml:space="preserve">internal/adapters/http/</x:t>
        </x:is>
      </x:c>
      <x:c r="C7" s="65" t="inlineStr">
        <x:is>
          <x:t xml:space="preserve">HTTP transport</x:t>
        </x:is>
      </x:c>
      <x:c r="D7" s="65" t="inlineStr">
        <x:is>
          <x:t xml:space="preserve">MVP</x:t>
        </x:is>
      </x:c>
      <x:c r="E7" s="65" t="inlineStr">
        <x:is>
          <x:t xml:space="preserve">Validation/auth at boundary.</x:t>
        </x:is>
      </x:c>
    </x:row>
    <x:row r="8">
      <x:c r="A8" s="66" t="inlineStr">
        <x:is>
          <x:t xml:space="preserve">Go</x:t>
        </x:is>
      </x:c>
      <x:c r="B8" s="66" t="inlineStr">
        <x:is>
          <x:t xml:space="preserve">internal/adapters/postgres/</x:t>
        </x:is>
      </x:c>
      <x:c r="C8" s="66" t="inlineStr">
        <x:is>
          <x:t xml:space="preserve">Persistence adapter</x:t>
        </x:is>
      </x:c>
      <x:c r="D8" s="66" t="inlineStr">
        <x:is>
          <x:t xml:space="preserve">MVP</x:t>
        </x:is>
      </x:c>
      <x:c r="E8" s="66" t="inlineStr">
        <x:is>
          <x:t xml:space="preserve">Explicit transactions.</x:t>
        </x:is>
      </x:c>
    </x:row>
    <x:row r="9">
      <x:c r="A9" s="65" t="inlineStr">
        <x:is>
          <x:t xml:space="preserve">Go</x:t>
        </x:is>
      </x:c>
      <x:c r="B9" s="65" t="inlineStr">
        <x:is>
          <x:t xml:space="preserve">internal/adapters/messaging/</x:t>
        </x:is>
      </x:c>
      <x:c r="C9" s="65" t="inlineStr">
        <x:is>
          <x:t xml:space="preserve">Events/jobs adapter</x:t>
        </x:is>
      </x:c>
      <x:c r="D9" s="65" t="inlineStr">
        <x:is>
          <x:t xml:space="preserve">When needed</x:t>
        </x:is>
      </x:c>
      <x:c r="E9" s="65" t="inlineStr">
        <x:is>
          <x:t xml:space="preserve">Do not create queue if workload does not need it.</x:t>
        </x:is>
      </x:c>
    </x:row>
    <x:row r="10">
      <x:c r="A10" s="66" t="inlineStr">
        <x:is>
          <x:t xml:space="preserve">Go</x:t>
        </x:is>
      </x:c>
      <x:c r="B10" s="66" t="inlineStr">
        <x:is>
          <x:t xml:space="preserve">internal/platform/observability/</x:t>
        </x:is>
      </x:c>
      <x:c r="C10" s="66" t="inlineStr">
        <x:is>
          <x:t xml:space="preserve">Logs/traces/metrics</x:t>
        </x:is>
      </x:c>
      <x:c r="D10" s="66" t="inlineStr">
        <x:is>
          <x:t xml:space="preserve">MVP</x:t>
        </x:is>
      </x:c>
      <x:c r="E10" s="66" t="inlineStr">
        <x:is>
          <x:t xml:space="preserve">Structured from day one.</x:t>
        </x:is>
      </x:c>
    </x:row>
    <x:row r="11">
      <x:c r="A11" s="65" t="inlineStr">
        <x:is>
          <x:t xml:space="preserve">Python</x:t>
        </x:is>
      </x:c>
      <x:c r="B11" s="65" t="inlineStr">
        <x:is>
          <x:t xml:space="preserve">app/domain/</x:t>
        </x:is>
      </x:c>
      <x:c r="C11" s="65" t="inlineStr">
        <x:is>
          <x:t xml:space="preserve">Domain rules</x:t>
        </x:is>
      </x:c>
      <x:c r="D11" s="65" t="inlineStr">
        <x:is>
          <x:t xml:space="preserve">MVP/Complex</x:t>
        </x:is>
      </x:c>
      <x:c r="E11" s="65" t="inlineStr">
        <x:is>
          <x:t xml:space="preserve">No route-handler business logic.</x:t>
        </x:is>
      </x:c>
    </x:row>
    <x:row r="12">
      <x:c r="A12" s="66" t="inlineStr">
        <x:is>
          <x:t xml:space="preserve">Python</x:t>
        </x:is>
      </x:c>
      <x:c r="B12" s="66" t="inlineStr">
        <x:is>
          <x:t xml:space="preserve">app/application/</x:t>
        </x:is>
      </x:c>
      <x:c r="C12" s="66" t="inlineStr">
        <x:is>
          <x:t xml:space="preserve">Use cases</x:t>
        </x:is>
      </x:c>
      <x:c r="D12" s="66" t="inlineStr">
        <x:is>
          <x:t xml:space="preserve">MVP/Complex</x:t>
        </x:is>
      </x:c>
      <x:c r="E12" s="66" t="inlineStr">
        <x:is>
          <x:t xml:space="preserve">Typed interfaces.</x:t>
        </x:is>
      </x:c>
    </x:row>
    <x:row r="13">
      <x:c r="A13" s="65" t="inlineStr">
        <x:is>
          <x:t xml:space="preserve">Python</x:t>
        </x:is>
      </x:c>
      <x:c r="B13" s="65" t="inlineStr">
        <x:is>
          <x:t xml:space="preserve">app/api/</x:t>
        </x:is>
      </x:c>
      <x:c r="C13" s="65" t="inlineStr">
        <x:is>
          <x:t xml:space="preserve">FastAPI/HTTP routes</x:t>
        </x:is>
      </x:c>
      <x:c r="D13" s="65" t="inlineStr">
        <x:is>
          <x:t xml:space="preserve">MVP</x:t>
        </x:is>
      </x:c>
      <x:c r="E13" s="65" t="inlineStr">
        <x:is>
          <x:t xml:space="preserve">Thin handlers.</x:t>
        </x:is>
      </x:c>
    </x:row>
    <x:row r="14">
      <x:c r="A14" s="66" t="inlineStr">
        <x:is>
          <x:t xml:space="preserve">Python</x:t>
        </x:is>
      </x:c>
      <x:c r="B14" s="66" t="inlineStr">
        <x:is>
          <x:t xml:space="preserve">app/infrastructure/db/</x:t>
        </x:is>
      </x:c>
      <x:c r="C14" s="66" t="inlineStr">
        <x:is>
          <x:t xml:space="preserve">DB adapter</x:t>
        </x:is>
      </x:c>
      <x:c r="D14" s="66" t="inlineStr">
        <x:is>
          <x:t xml:space="preserve">MVP</x:t>
        </x:is>
      </x:c>
      <x:c r="E14" s="66" t="inlineStr">
        <x:is>
          <x:t xml:space="preserve">Migrations/versioning.</x:t>
        </x:is>
      </x:c>
    </x:row>
    <x:row r="15">
      <x:c r="A15" s="65" t="inlineStr">
        <x:is>
          <x:t xml:space="preserve">Python</x:t>
        </x:is>
      </x:c>
      <x:c r="B15" s="65" t="inlineStr">
        <x:is>
          <x:t xml:space="preserve">app/infrastructure/external/</x:t>
        </x:is>
      </x:c>
      <x:c r="C15" s="65" t="inlineStr">
        <x:is>
          <x:t xml:space="preserve">External integrations</x:t>
        </x:is>
      </x:c>
      <x:c r="D15" s="65" t="inlineStr">
        <x:is>
          <x:t xml:space="preserve">MVP</x:t>
        </x:is>
      </x:c>
      <x:c r="E15" s="65" t="inlineStr">
        <x:is>
          <x:t xml:space="preserve">Timeout/retry/idempotency.</x:t>
        </x:is>
      </x:c>
    </x:row>
    <x:row r="16">
      <x:c r="A16" s="66" t="inlineStr">
        <x:is>
          <x:t xml:space="preserve">Both</x:t>
        </x:is>
      </x:c>
      <x:c r="B16" s="66" t="inlineStr">
        <x:is>
          <x:t xml:space="preserve">migrations/</x:t>
        </x:is>
      </x:c>
      <x:c r="C16" s="66" t="inlineStr">
        <x:is>
          <x:t xml:space="preserve">Schema changes</x:t>
        </x:is>
      </x:c>
      <x:c r="D16" s="66" t="inlineStr">
        <x:is>
          <x:t xml:space="preserve">MVP</x:t>
        </x:is>
      </x:c>
      <x:c r="E16" s="66" t="inlineStr">
        <x:is>
          <x:t xml:space="preserve">Forward + rollback/compatibility plan.</x:t>
        </x:is>
      </x:c>
    </x:row>
    <x:row r="17">
      <x:c r="A17" s="65" t="inlineStr">
        <x:is>
          <x:t xml:space="preserve">Both</x:t>
        </x:is>
      </x:c>
      <x:c r="B17" s="65" t="inlineStr">
        <x:is>
          <x:t xml:space="preserve">tests/</x:t>
        </x:is>
      </x:c>
      <x:c r="C17" s="65" t="inlineStr">
        <x:is>
          <x:t xml:space="preserve">Unit/integration/contract tests</x:t>
        </x:is>
      </x:c>
      <x:c r="D17" s="65" t="inlineStr">
        <x:is>
          <x:t xml:space="preserve">MVP</x:t>
        </x:is>
      </x:c>
      <x:c r="E17" s="65" t="inlineStr">
        <x:is>
          <x:t xml:space="preserve">Critical mutations/idempotency covered.</x:t>
        </x:is>
      </x:c>
    </x:row>
  </x:sheetData>
  <x:mergeCells>
    <x:mergeCell ref="A2:E2"/>
    <x:mergeCell ref="A1:E1"/>
  </x:mergeCells>
  <x:pageMargins left="0.7" right="0.7" top="0.75" bottom="0.75" header="0.3" footer="0.3"/>
</x:worksheet>
</file>

<file path=xl/worksheets/sheet31.xml><?xml version="1.0" encoding="utf-8"?>
<x:worksheet xmlns:x="http://schemas.openxmlformats.org/spreadsheetml/2006/main">
  <x:sheetFormatPr baseColWidth="8" defaultRowHeight="15"/>
  <x:cols>
    <x:col min="1" max="1" width="16" style="40" customWidth="1"/>
    <x:col min="2" max="2" width="34" style="40" customWidth="1"/>
    <x:col min="3" max="3" width="30" style="40" customWidth="1"/>
    <x:col min="4" max="4" width="18" style="40" customWidth="1"/>
    <x:col min="5" max="5" width="62" style="40" customWidth="1"/>
  </x:cols>
  <x:sheetData>
    <x:row r="1" s="40" customFormat="1" ht="30" customHeight="1">
      <x:c r="A1" s="396" t="inlineStr">
        <x:is>
          <x:t xml:space="preserve">CI/CD Standard</x:t>
        </x:is>
      </x:c>
      <x:c r="B1" s="375" t="n"/>
      <x:c r="C1" s="375" t="n"/>
      <x:c r="D1" s="375" t="n"/>
      <x:c r="E1" s="375" t="n"/>
    </x:row>
    <x:row r="2" s="40" customFormat="1" ht="36" customHeight="1">
      <x:c r="A2" s="397" t="inlineStr">
        <x:is>
          <x:t xml:space="preserve">One predictable pipeline for every generated project, with framework-specific adapters. Build only affected targets when risk policy allows; always use the real toolchain before production.</x:t>
        </x:is>
      </x:c>
      <x:c r="B2" s="375" t="n"/>
      <x:c r="C2" s="375" t="n"/>
      <x:c r="D2" s="375" t="n"/>
      <x:c r="E2" s="375" t="n"/>
    </x:row>
    <x:row r="3" s="40" customFormat="1" ht="28" customHeight="1">
      <x:c r="A3" s="78" t="inlineStr">
        <x:is>
          <x:t xml:space="preserve">Stage</x:t>
        </x:is>
      </x:c>
      <x:c r="B3" s="78" t="inlineStr">
        <x:is>
          <x:t xml:space="preserve">Gate</x:t>
        </x:is>
      </x:c>
      <x:c r="C3" s="78" t="inlineStr">
        <x:is>
          <x:t xml:space="preserve">Targets</x:t>
        </x:is>
      </x:c>
      <x:c r="D3" s="78" t="inlineStr">
        <x:is>
          <x:t xml:space="preserve">Phase</x:t>
        </x:is>
      </x:c>
      <x:c r="E3" s="78" t="inlineStr">
        <x:is>
          <x:t xml:space="preserve">Rule</x:t>
        </x:is>
      </x:c>
    </x:row>
    <x:row r="4">
      <x:c r="A4" s="66" t="inlineStr">
        <x:is>
          <x:t xml:space="preserve">PR</x:t>
        </x:is>
      </x:c>
      <x:c r="B4" s="66" t="inlineStr">
        <x:is>
          <x:t xml:space="preserve">IR/policy validation</x:t>
        </x:is>
      </x:c>
      <x:c r="C4" s="66" t="inlineStr">
        <x:is>
          <x:t xml:space="preserve">All</x:t>
        </x:is>
      </x:c>
      <x:c r="D4" s="66" t="inlineStr">
        <x:is>
          <x:t xml:space="preserve">MVP</x:t>
        </x:is>
      </x:c>
      <x:c r="E4" s="66" t="inlineStr">
        <x:is>
          <x:t xml:space="preserve">Fail if framework, protected paths or dependency rules are violated.</x:t>
        </x:is>
      </x:c>
    </x:row>
    <x:row r="5">
      <x:c r="A5" s="65" t="inlineStr">
        <x:is>
          <x:t xml:space="preserve">PR</x:t>
        </x:is>
      </x:c>
      <x:c r="B5" s="65" t="inlineStr">
        <x:is>
          <x:t xml:space="preserve">Format + lint</x:t>
        </x:is>
      </x:c>
      <x:c r="C5" s="65" t="inlineStr">
        <x:is>
          <x:t xml:space="preserve">All</x:t>
        </x:is>
      </x:c>
      <x:c r="D5" s="65" t="inlineStr">
        <x:is>
          <x:t xml:space="preserve">MVP</x:t>
        </x:is>
      </x:c>
      <x:c r="E5" s="65" t="inlineStr">
        <x:is>
          <x:t xml:space="preserve">Fast first gate.</x:t>
        </x:is>
      </x:c>
    </x:row>
    <x:row r="6">
      <x:c r="A6" s="66" t="inlineStr">
        <x:is>
          <x:t xml:space="preserve">PR</x:t>
        </x:is>
      </x:c>
      <x:c r="B6" s="66" t="inlineStr">
        <x:is>
          <x:t xml:space="preserve">Static analysis</x:t>
        </x:is>
      </x:c>
      <x:c r="C6" s="66" t="inlineStr">
        <x:is>
          <x:t xml:space="preserve">All</x:t>
        </x:is>
      </x:c>
      <x:c r="D6" s="66" t="inlineStr">
        <x:is>
          <x:t xml:space="preserve">MVP</x:t>
        </x:is>
      </x:c>
      <x:c r="E6" s="66" t="inlineStr">
        <x:is>
          <x:t xml:space="preserve">Framework-specific.</x:t>
        </x:is>
      </x:c>
    </x:row>
    <x:row r="7">
      <x:c r="A7" s="65" t="inlineStr">
        <x:is>
          <x:t xml:space="preserve">PR</x:t>
        </x:is>
      </x:c>
      <x:c r="B7" s="65" t="inlineStr">
        <x:is>
          <x:t xml:space="preserve">Unit tests</x:t>
        </x:is>
      </x:c>
      <x:c r="C7" s="65" t="inlineStr">
        <x:is>
          <x:t xml:space="preserve">Affected targets</x:t>
        </x:is>
      </x:c>
      <x:c r="D7" s="65" t="inlineStr">
        <x:is>
          <x:t xml:space="preserve">MVP</x:t>
        </x:is>
      </x:c>
      <x:c r="E7" s="65" t="inlineStr">
        <x:is>
          <x:t xml:space="preserve">Selected from change impact graph.</x:t>
        </x:is>
      </x:c>
    </x:row>
    <x:row r="8">
      <x:c r="A8" s="66" t="inlineStr">
        <x:is>
          <x:t xml:space="preserve">PR</x:t>
        </x:is>
      </x:c>
      <x:c r="B8" s="66" t="inlineStr">
        <x:is>
          <x:t xml:space="preserve">Contract tests</x:t>
        </x:is>
      </x:c>
      <x:c r="C8" s="66" t="inlineStr">
        <x:is>
          <x:t xml:space="preserve">Backend + consumers</x:t>
        </x:is>
      </x:c>
      <x:c r="D8" s="66" t="inlineStr">
        <x:is>
          <x:t xml:space="preserve">MVP</x:t>
        </x:is>
      </x:c>
      <x:c r="E8" s="66" t="inlineStr">
        <x:is>
          <x:t xml:space="preserve">Required for API/event changes.</x:t>
        </x:is>
      </x:c>
    </x:row>
    <x:row r="9">
      <x:c r="A9" s="65" t="inlineStr">
        <x:is>
          <x:t xml:space="preserve">PR</x:t>
        </x:is>
      </x:c>
      <x:c r="B9" s="65" t="inlineStr">
        <x:is>
          <x:t xml:space="preserve">Build affected targets</x:t>
        </x:is>
      </x:c>
      <x:c r="C9" s="65" t="inlineStr">
        <x:is>
          <x:t xml:space="preserve">Flutter/RN/Android/Web/Backend</x:t>
        </x:is>
      </x:c>
      <x:c r="D9" s="65" t="inlineStr">
        <x:is>
          <x:t xml:space="preserve">MVP</x:t>
        </x:is>
      </x:c>
      <x:c r="E9" s="65" t="inlineStr">
        <x:is>
          <x:t xml:space="preserve">Real iOS compile verification uses macOS.</x:t>
        </x:is>
      </x:c>
    </x:row>
    <x:row r="10">
      <x:c r="A10" s="66" t="inlineStr">
        <x:is>
          <x:t xml:space="preserve">PR</x:t>
        </x:is>
      </x:c>
      <x:c r="B10" s="66" t="inlineStr">
        <x:is>
          <x:t xml:space="preserve">Security/dependency scan</x:t>
        </x:is>
      </x:c>
      <x:c r="C10" s="66" t="inlineStr">
        <x:is>
          <x:t xml:space="preserve">All</x:t>
        </x:is>
      </x:c>
      <x:c r="D10" s="66" t="inlineStr">
        <x:is>
          <x:t xml:space="preserve">MVP</x:t>
        </x:is>
      </x:c>
      <x:c r="E10" s="66" t="inlineStr">
        <x:is>
          <x:t xml:space="preserve">Block critical findings.</x:t>
        </x:is>
      </x:c>
    </x:row>
    <x:row r="11">
      <x:c r="A11" s="65" t="inlineStr">
        <x:is>
          <x:t xml:space="preserve">PR</x:t>
        </x:is>
      </x:c>
      <x:c r="B11" s="65" t="inlineStr">
        <x:is>
          <x:t xml:space="preserve">E2E + visual tests</x:t>
        </x:is>
      </x:c>
      <x:c r="C11" s="65" t="inlineStr">
        <x:is>
          <x:t xml:space="preserve">Risk-selected</x:t>
        </x:is>
      </x:c>
      <x:c r="D11" s="65" t="inlineStr">
        <x:is>
          <x:t xml:space="preserve">MVP/MID</x:t>
        </x:is>
      </x:c>
      <x:c r="E11" s="65" t="inlineStr">
        <x:is>
          <x:t xml:space="preserve">Not every change needs full suite.</x:t>
        </x:is>
      </x:c>
    </x:row>
    <x:row r="12">
      <x:c r="A12" s="66" t="inlineStr">
        <x:is>
          <x:t xml:space="preserve">PR</x:t>
        </x:is>
      </x:c>
      <x:c r="B12" s="66" t="inlineStr">
        <x:is>
          <x:t xml:space="preserve">AI review + blast radius</x:t>
        </x:is>
      </x:c>
      <x:c r="C12" s="66" t="inlineStr">
        <x:is>
          <x:t xml:space="preserve">All</x:t>
        </x:is>
      </x:c>
      <x:c r="D12" s="66" t="inlineStr">
        <x:is>
          <x:t xml:space="preserve">MVP</x:t>
        </x:is>
      </x:c>
      <x:c r="E12" s="66" t="inlineStr">
        <x:is>
          <x:t xml:space="preserve">Reject unrelated changes.</x:t>
        </x:is>
      </x:c>
    </x:row>
    <x:row r="13">
      <x:c r="A13" s="65" t="inlineStr">
        <x:is>
          <x:t xml:space="preserve">Merge</x:t>
        </x:is>
      </x:c>
      <x:c r="B13" s="65" t="inlineStr">
        <x:is>
          <x:t xml:space="preserve">Immutable artifact build</x:t>
        </x:is>
      </x:c>
      <x:c r="C13" s="65" t="inlineStr">
        <x:is>
          <x:t xml:space="preserve">All deployables</x:t>
        </x:is>
      </x:c>
      <x:c r="D13" s="65" t="inlineStr">
        <x:is>
          <x:t xml:space="preserve">MVP</x:t>
        </x:is>
      </x:c>
      <x:c r="E13" s="65" t="inlineStr">
        <x:is>
          <x:t xml:space="preserve">Artifact promoted, not rebuilt per environment.</x:t>
        </x:is>
      </x:c>
    </x:row>
    <x:row r="14">
      <x:c r="A14" s="66" t="inlineStr">
        <x:is>
          <x:t xml:space="preserve">Deploy</x:t>
        </x:is>
      </x:c>
      <x:c r="B14" s="66" t="inlineStr">
        <x:is>
          <x:t xml:space="preserve">Preview -&gt; staging -&gt; production</x:t>
        </x:is>
      </x:c>
      <x:c r="C14" s="66" t="inlineStr">
        <x:is>
          <x:t xml:space="preserve">All</x:t>
        </x:is>
      </x:c>
      <x:c r="D14" s="66" t="inlineStr">
        <x:is>
          <x:t xml:space="preserve">MVP/MID</x:t>
        </x:is>
      </x:c>
      <x:c r="E14" s="66" t="inlineStr">
        <x:is>
          <x:t xml:space="preserve">Progressive promotion + approvals.</x:t>
        </x:is>
      </x:c>
    </x:row>
    <x:row r="15">
      <x:c r="A15" s="65" t="inlineStr">
        <x:is>
          <x:t xml:space="preserve">Deploy</x:t>
        </x:is>
      </x:c>
      <x:c r="B15" s="65" t="inlineStr">
        <x:is>
          <x:t xml:space="preserve">Health/SLO check + rollback</x:t>
        </x:is>
      </x:c>
      <x:c r="C15" s="65" t="inlineStr">
        <x:is>
          <x:t xml:space="preserve">All</x:t>
        </x:is>
      </x:c>
      <x:c r="D15" s="65" t="inlineStr">
        <x:is>
          <x:t xml:space="preserve">MID/Production</x:t>
        </x:is>
      </x:c>
      <x:c r="E15" s="65" t="inlineStr">
        <x:is>
          <x:t xml:space="preserve">Automated rollback on failed health policy.</x:t>
        </x:is>
      </x:c>
    </x:row>
    <x:row r="16">
      <x:c r="A16" s="66" t="inlineStr">
        <x:is>
          <x:t xml:space="preserve">Optimization</x:t>
        </x:is>
      </x:c>
      <x:c r="B16" s="66" t="inlineStr">
        <x:is>
          <x:t xml:space="preserve">Dependency/build caches</x:t>
        </x:is>
      </x:c>
      <x:c r="C16" s="66" t="inlineStr">
        <x:is>
          <x:t xml:space="preserve">All</x:t>
        </x:is>
      </x:c>
      <x:c r="D16" s="66" t="inlineStr">
        <x:is>
          <x:t xml:space="preserve">MID</x:t>
        </x:is>
      </x:c>
      <x:c r="E16" s="66" t="inlineStr">
        <x:is>
          <x:t xml:space="preserve">Never cache secrets.</x:t>
        </x:is>
      </x:c>
    </x:row>
  </x:sheetData>
  <x:mergeCells>
    <x:mergeCell ref="A2:E2"/>
    <x:mergeCell ref="A1:E1"/>
  </x:mergeCells>
  <x:pageMargins left="0.7" right="0.7" top="0.75" bottom="0.75" header="0.3" footer="0.3"/>
</x:worksheet>
</file>

<file path=xl/worksheets/sheet32.xml><?xml version="1.0" encoding="utf-8"?>
<x:worksheet xmlns:x="http://schemas.openxmlformats.org/spreadsheetml/2006/main">
  <x:sheetFormatPr baseColWidth="8" defaultRowHeight="15"/>
  <x:cols>
    <x:col min="1" max="1" width="34" style="40" customWidth="1"/>
    <x:col min="2" max="2" width="48" style="40" customWidth="1"/>
    <x:col min="3" max="3" width="16" style="40" customWidth="1"/>
    <x:col min="4" max="4" width="62" style="40" customWidth="1"/>
    <x:col min="5" max="5" width="48" style="40" customWidth="1"/>
  </x:cols>
  <x:sheetData>
    <x:row r="1" s="40" customFormat="1" ht="30" customHeight="1">
      <x:c r="A1" s="396" t="inlineStr">
        <x:is>
          <x:t xml:space="preserve">Framework / Repository Migration Paths</x:t>
        </x:is>
      </x:c>
      <x:c r="B1" s="375" t="n"/>
      <x:c r="C1" s="375" t="n"/>
      <x:c r="D1" s="375" t="n"/>
      <x:c r="E1" s="375" t="n"/>
    </x:row>
    <x:row r="2" s="40" customFormat="1" ht="36" customHeight="1">
      <x:c r="A2" s="397" t="inlineStr">
        <x:is>
          <x:t xml:space="preserve">The original stack choice must not trap the customer. Application IR, contracts and acceptance criteria allow controlled migration when a real constraint appears.</x:t>
        </x:is>
      </x:c>
      <x:c r="B2" s="375" t="n"/>
      <x:c r="C2" s="375" t="n"/>
      <x:c r="D2" s="375" t="n"/>
      <x:c r="E2" s="375" t="n"/>
    </x:row>
    <x:row r="3" s="40" customFormat="1" ht="28" customHeight="1">
      <x:c r="A3" s="78" t="inlineStr">
        <x:is>
          <x:t xml:space="preserve">Migration</x:t>
        </x:is>
      </x:c>
      <x:c r="B3" s="78" t="inlineStr">
        <x:is>
          <x:t xml:space="preserve">Trigger</x:t>
        </x:is>
      </x:c>
      <x:c r="C3" s="78" t="inlineStr">
        <x:is>
          <x:t xml:space="preserve">Phase</x:t>
        </x:is>
      </x:c>
      <x:c r="D3" s="78" t="inlineStr">
        <x:is>
          <x:t xml:space="preserve">Process</x:t>
        </x:is>
      </x:c>
      <x:c r="E3" s="78" t="inlineStr">
        <x:is>
          <x:t xml:space="preserve">Rule</x:t>
        </x:is>
      </x:c>
    </x:row>
    <x:row r="4">
      <x:c r="A4" s="66" t="inlineStr">
        <x:is>
          <x:t xml:space="preserve">Flutter/RN -&gt; small native module</x:t>
        </x:is>
      </x:c>
      <x:c r="B4" s="66" t="inlineStr">
        <x:is>
          <x:t xml:space="preserve">One capability exceeds framework/plugin limits</x:t>
        </x:is>
      </x:c>
      <x:c r="C4" s="66" t="inlineStr">
        <x:is>
          <x:t xml:space="preserve">MID</x:t>
        </x:is>
      </x:c>
      <x:c r="D4" s="66" t="inlineStr">
        <x:is>
          <x:t xml:space="preserve">Measure -&gt; ADR -&gt; native adapter -&gt; regression tests</x:t>
        </x:is>
      </x:c>
      <x:c r="E4" s="66" t="inlineStr">
        <x:is>
          <x:t xml:space="preserve">Keep rest cross-platform.</x:t>
        </x:is>
      </x:c>
    </x:row>
    <x:row r="5">
      <x:c r="A5" s="65" t="inlineStr">
        <x:is>
          <x:t xml:space="preserve">Flutter -&gt; Native target</x:t>
        </x:is>
      </x:c>
      <x:c r="B5" s="65" t="inlineStr">
        <x:is>
          <x:t xml:space="preserve">Whole iOS or Android target outgrows Flutter</x:t>
        </x:is>
      </x:c>
      <x:c r="C5" s="65" t="inlineStr">
        <x:is>
          <x:t xml:space="preserve">ADVANCED</x:t>
        </x:is>
      </x:c>
      <x:c r="D5" s="65" t="inlineStr">
        <x:is>
          <x:t xml:space="preserve">Generate native app from IR/contracts -&gt; parity tests -&gt; staged migration</x:t>
        </x:is>
      </x:c>
      <x:c r="E5" s="65" t="inlineStr">
        <x:is>
          <x:t xml:space="preserve">Do not rewrite product intent from scratch.</x:t>
        </x:is>
      </x:c>
    </x:row>
    <x:row r="6">
      <x:c r="A6" s="66" t="inlineStr">
        <x:is>
          <x:t xml:space="preserve">React Native -&gt; Native target</x:t>
        </x:is>
      </x:c>
      <x:c r="B6" s="66" t="inlineStr">
        <x:is>
          <x:t xml:space="preserve">Native-module/background/performance surface becomes dominant</x:t>
        </x:is>
      </x:c>
      <x:c r="C6" s="66" t="inlineStr">
        <x:is>
          <x:t xml:space="preserve">ADVANCED</x:t>
        </x:is>
      </x:c>
      <x:c r="D6" s="66" t="inlineStr">
        <x:is>
          <x:t xml:space="preserve">Generate native target from IR/contracts -&gt; parallel release -&gt; retire old target after parity</x:t>
        </x:is>
      </x:c>
      <x:c r="E6" s="66" t="inlineStr">
        <x:is>
          <x:t xml:space="preserve">Preserve backend/contracts.</x:t>
        </x:is>
      </x:c>
    </x:row>
    <x:row r="7">
      <x:c r="A7" s="65" t="inlineStr">
        <x:is>
          <x:t xml:space="preserve">Monorepo -&gt; multi-repo</x:t>
        </x:is>
      </x:c>
      <x:c r="B7" s="65" t="inlineStr">
        <x:is>
          <x:t xml:space="preserve">Independent teams/compliance/access/build scale</x:t>
        </x:is>
      </x:c>
      <x:c r="C7" s="65" t="inlineStr">
        <x:is>
          <x:t xml:space="preserve">ADVANCED</x:t>
        </x:is>
      </x:c>
      <x:c r="D7" s="65" t="inlineStr">
        <x:is>
          <x:t xml:space="preserve">Architecture review -&gt; contract registry -&gt; linked PR orchestration</x:t>
        </x:is>
      </x:c>
      <x:c r="E7" s="65" t="inlineStr">
        <x:is>
          <x:t xml:space="preserve">Never silent.</x:t>
        </x:is>
      </x:c>
    </x:row>
    <x:row r="8">
      <x:c r="A8" s="66" t="inlineStr">
        <x:is>
          <x:t xml:space="preserve">Lean template -&gt; scaled modules</x:t>
        </x:is>
      </x:c>
      <x:c r="B8" s="66" t="inlineStr">
        <x:is>
          <x:t xml:space="preserve">Team/build/feature count grows</x:t>
        </x:is>
      </x:c>
      <x:c r="C8" s="66" t="inlineStr">
        <x:is>
          <x:t xml:space="preserve">MID</x:t>
        </x:is>
      </x:c>
      <x:c r="D8" s="66" t="inlineStr">
        <x:is>
          <x:t xml:space="preserve">Measure hotspots -&gt; extract stable boundaries</x:t>
        </x:is>
      </x:c>
      <x:c r="E8" s="66" t="inlineStr">
        <x:is>
          <x:t xml:space="preserve">Do not pre-modularize every feature.</x:t>
        </x:is>
      </x:c>
    </x:row>
  </x:sheetData>
  <x:mergeCells>
    <x:mergeCell ref="A2:E2"/>
    <x:mergeCell ref="A1:E1"/>
  </x:mergeCells>
  <x:pageMargins left="0.7" right="0.7" top="0.75" bottom="0.75" header="0.3" footer="0.3"/>
</x:worksheet>
</file>

<file path=xl/worksheets/sheet33.xml><?xml version="1.0" encoding="utf-8"?>
<x:worksheet xmlns:x="http://schemas.openxmlformats.org/spreadsheetml/2006/main">
  <x:sheetFormatPr baseColWidth="8" defaultRowHeight="15"/>
  <x:cols>
    <x:col min="1" max="1" width="28" style="40" customWidth="1"/>
    <x:col min="2" max="2" width="56" style="40" customWidth="1"/>
    <x:col min="3" max="3" width="18" style="40" customWidth="1"/>
    <x:col min="4" max="4" width="62" style="40" customWidth="1"/>
  </x:cols>
  <x:sheetData>
    <x:row r="1" s="40" customFormat="1" ht="30" customHeight="1">
      <x:c r="A1" s="396" t="inlineStr">
        <x:is>
          <x:t xml:space="preserve">Template &amp; Dependency Governance</x:t>
        </x:is>
      </x:c>
      <x:c r="B1" s="375" t="n"/>
      <x:c r="C1" s="375" t="n"/>
      <x:c r="D1" s="375" t="n"/>
    </x:row>
    <x:row r="2" s="40" customFormat="1" ht="36" customHeight="1">
      <x:c r="A2" s="397" t="inlineStr">
        <x:is>
          <x:t xml:space="preserve">AI agents must not improvise a new architecture or dependency stack on every task. Framework templates are versioned products with approved dependency and upgrade policies.</x:t>
        </x:is>
      </x:c>
      <x:c r="B2" s="375" t="n"/>
      <x:c r="C2" s="375" t="n"/>
      <x:c r="D2" s="375" t="n"/>
    </x:row>
    <x:row r="3" s="40" customFormat="1" ht="28" customHeight="1">
      <x:c r="A3" s="78" t="inlineStr">
        <x:is>
          <x:t xml:space="preserve">Control</x:t>
        </x:is>
      </x:c>
      <x:c r="B3" s="78" t="inlineStr">
        <x:is>
          <x:t xml:space="preserve">What It Stores</x:t>
        </x:is>
      </x:c>
      <x:c r="C3" s="78" t="inlineStr">
        <x:is>
          <x:t xml:space="preserve">Phase</x:t>
        </x:is>
      </x:c>
      <x:c r="D3" s="78" t="inlineStr">
        <x:is>
          <x:t xml:space="preserve">Rule</x:t>
        </x:is>
      </x:c>
    </x:row>
    <x:row r="4">
      <x:c r="A4" s="66" t="inlineStr">
        <x:is>
          <x:t xml:space="preserve">Template manifest</x:t>
        </x:is>
      </x:c>
      <x:c r="B4" s="66" t="inlineStr">
        <x:is>
          <x:t xml:space="preserve">ID, version, maturity, supported targets, required checks</x:t>
        </x:is>
      </x:c>
      <x:c r="C4" s="66" t="inlineStr">
        <x:is>
          <x:t xml:space="preserve">MVP</x:t>
        </x:is>
      </x:c>
      <x:c r="D4" s="66" t="inlineStr">
        <x:is>
          <x:t xml:space="preserve">Every generated project records template version.</x:t>
        </x:is>
      </x:c>
    </x:row>
    <x:row r="5">
      <x:c r="A5" s="65" t="inlineStr">
        <x:is>
          <x:t xml:space="preserve">Dependency catalog</x:t>
        </x:is>
      </x:c>
      <x:c r="B5" s="65" t="inlineStr">
        <x:is>
          <x:t xml:space="preserve">Approved package/library list + versions</x:t>
        </x:is>
      </x:c>
      <x:c r="C5" s="65" t="inlineStr">
        <x:is>
          <x:t xml:space="preserve">MVP</x:t>
        </x:is>
      </x:c>
      <x:c r="D5" s="65" t="inlineStr">
        <x:is>
          <x:t xml:space="preserve">Agent cannot add arbitrary dependency without policy check.</x:t>
        </x:is>
      </x:c>
    </x:row>
    <x:row r="6">
      <x:c r="A6" s="66" t="inlineStr">
        <x:is>
          <x:t xml:space="preserve">Architecture profile</x:t>
        </x:is>
      </x:c>
      <x:c r="B6" s="66" t="inlineStr">
        <x:is>
          <x:t xml:space="preserve">Lean / Scaled</x:t>
        </x:is>
      </x:c>
      <x:c r="C6" s="66" t="inlineStr">
        <x:is>
          <x:t xml:space="preserve">MVP</x:t>
        </x:is>
      </x:c>
      <x:c r="D6" s="66" t="inlineStr">
        <x:is>
          <x:t xml:space="preserve">Choose based on project complexity; avoid ceremony.</x:t>
        </x:is>
      </x:c>
    </x:row>
    <x:row r="7">
      <x:c r="A7" s="65" t="inlineStr">
        <x:is>
          <x:t xml:space="preserve">Framework maturity</x:t>
        </x:is>
      </x:c>
      <x:c r="B7" s="65" t="inlineStr">
        <x:is>
          <x:t xml:space="preserve">Stable / Beta / Experimental</x:t>
        </x:is>
      </x:c>
      <x:c r="C7" s="65" t="inlineStr">
        <x:is>
          <x:t xml:space="preserve">MVP</x:t>
        </x:is>
      </x:c>
      <x:c r="D7" s="65" t="inlineStr">
        <x:is>
          <x:t xml:space="preserve">UI must show maturity honestly.</x:t>
        </x:is>
      </x:c>
    </x:row>
    <x:row r="8">
      <x:c r="A8" s="66" t="inlineStr">
        <x:is>
          <x:t xml:space="preserve">Upgrade policy</x:t>
        </x:is>
      </x:c>
      <x:c r="B8" s="66" t="inlineStr">
        <x:is>
          <x:t xml:space="preserve">Controlled template upgrade task</x:t>
        </x:is>
      </x:c>
      <x:c r="C8" s="66" t="inlineStr">
        <x:is>
          <x:t xml:space="preserve">MID</x:t>
        </x:is>
      </x:c>
      <x:c r="D8" s="66" t="inlineStr">
        <x:is>
          <x:t xml:space="preserve">No random framework/state-management/DI switch.</x:t>
        </x:is>
      </x:c>
    </x:row>
    <x:row r="9">
      <x:c r="A9" s="65" t="inlineStr">
        <x:is>
          <x:t xml:space="preserve">Deprecation policy</x:t>
        </x:is>
      </x:c>
      <x:c r="B9" s="65" t="inlineStr">
        <x:is>
          <x:t xml:space="preserve">Supported versions + migration path</x:t>
        </x:is>
      </x:c>
      <x:c r="C9" s="65" t="inlineStr">
        <x:is>
          <x:t xml:space="preserve">MID</x:t>
        </x:is>
      </x:c>
      <x:c r="D9" s="65" t="inlineStr">
        <x:is>
          <x:t xml:space="preserve">Customers know support window.</x:t>
        </x:is>
      </x:c>
    </x:row>
    <x:row r="10">
      <x:c r="A10" s="66" t="inlineStr">
        <x:is>
          <x:t xml:space="preserve">Security review</x:t>
        </x:is>
      </x:c>
      <x:c r="B10" s="66" t="inlineStr">
        <x:is>
          <x:t xml:space="preserve">License/CVE/maintenance check</x:t>
        </x:is>
      </x:c>
      <x:c r="C10" s="66" t="inlineStr">
        <x:is>
          <x:t xml:space="preserve">MVP</x:t>
        </x:is>
      </x:c>
      <x:c r="D10" s="66" t="inlineStr">
        <x:is>
          <x:t xml:space="preserve">New dependency must pass policy.</x:t>
        </x:is>
      </x:c>
    </x:row>
    <x:row r="11">
      <x:c r="A11" s="65" t="inlineStr">
        <x:is>
          <x:t xml:space="preserve">Deterministic generation</x:t>
        </x:is>
      </x:c>
      <x:c r="B11" s="65" t="inlineStr">
        <x:is>
          <x:t xml:space="preserve">Template + IR version -&gt; reproducible baseline</x:t>
        </x:is>
      </x:c>
      <x:c r="C11" s="65" t="inlineStr">
        <x:is>
          <x:t xml:space="preserve">MVP/MID</x:t>
        </x:is>
      </x:c>
      <x:c r="D11" s="65" t="inlineStr">
        <x:is>
          <x:t xml:space="preserve">Generated clients/files are reproducible.</x:t>
        </x:is>
      </x:c>
    </x:row>
  </x:sheetData>
  <x:mergeCells>
    <x:mergeCell ref="A1:D1"/>
    <x:mergeCell ref="A2:D2"/>
  </x:mergeCells>
  <x:pageMargins left="0.7" right="0.7" top="0.75" bottom="0.75" header="0.3" footer="0.3"/>
</x:worksheet>
</file>

<file path=xl/worksheets/sheet34.xml><?xml version="1.0" encoding="utf-8"?>
<x:worksheet xmlns:x="http://schemas.openxmlformats.org/spreadsheetml/2006/main">
  <x:sheetFormatPr baseColWidth="8" defaultRowHeight="15"/>
  <x:cols>
    <x:col min="1" max="1" width="22" style="40" customWidth="1"/>
    <x:col min="2" max="2" width="42" style="40" customWidth="1"/>
    <x:col min="3" max="3" width="48" style="40" customWidth="1"/>
    <x:col min="4" max="4" width="20" style="40" customWidth="1"/>
    <x:col min="5" max="5" width="44" style="40" customWidth="1"/>
  </x:cols>
  <x:sheetData>
    <x:row r="1" s="40" customFormat="1" ht="28" customHeight="1">
      <x:c r="A1" s="398" t="inlineStr">
        <x:is>
          <x:t xml:space="preserve">V4 Reference Study - What We Keep, Change and Reject</x:t>
        </x:is>
      </x:c>
      <x:c r="B1" s="375" t="n"/>
      <x:c r="C1" s="375" t="n"/>
      <x:c r="D1" s="375" t="n"/>
      <x:c r="E1" s="375" t="n"/>
    </x:row>
    <x:row r="2" s="40" customFormat="1" ht="38" customHeight="1">
      <x:c r="A2" s="399" t="inlineStr">
        <x:is>
          <x:t xml:space="preserve">The team reference PDF is helpful as a research map. Our V3 architecture remains broader; V4 adds the strongest implementation patterns without copying products or locking the platform to one vendor/framework.</x:t>
        </x:is>
      </x:c>
      <x:c r="B2" s="375" t="n"/>
      <x:c r="C2" s="375" t="n"/>
      <x:c r="D2" s="375" t="n"/>
      <x:c r="E2" s="375" t="n"/>
    </x:row>
    <x:row r="3">
      <x:c r="A3" s="124" t="inlineStr">
        <x:is>
          <x:t xml:space="preserve">Reference</x:t>
        </x:is>
      </x:c>
      <x:c r="B3" s="124" t="inlineStr">
        <x:is>
          <x:t xml:space="preserve">Useful Idea</x:t>
        </x:is>
      </x:c>
      <x:c r="C3" s="124" t="inlineStr">
        <x:is>
          <x:t xml:space="preserve">Our Decision</x:t>
        </x:is>
      </x:c>
      <x:c r="D3" s="124" t="inlineStr">
        <x:is>
          <x:t xml:space="preserve">Disposition</x:t>
        </x:is>
      </x:c>
      <x:c r="E3" s="124" t="inlineStr">
        <x:is>
          <x:t xml:space="preserve">Source</x:t>
        </x:is>
      </x:c>
    </x:row>
    <x:row r="4">
      <x:c r="A4" s="127" t="inlineStr">
        <x:is>
          <x:t xml:space="preserve">bolt.diy</x:t>
        </x:is>
      </x:c>
      <x:c r="B4" s="127" t="inlineStr">
        <x:is>
          <x:t xml:space="preserve">Browser workbench, chat-to-actions flow, 18+ provider concept, WebContainer instant runtime</x:t>
        </x:is>
      </x:c>
      <x:c r="C4" s="127" t="inlineStr">
        <x:is>
          <x:t xml:space="preserve">Use as UX/runtime inspiration; Tier-0 browser runtime only</x:t>
        </x:is>
      </x:c>
      <x:c r="D4" s="127" t="inlineStr">
        <x:is>
          <x:t xml:space="preserve">Benchmark / Adopt pattern</x:t>
        </x:is>
      </x:c>
      <x:c r="E4" s="127" t="inlineStr">
        <x:is>
          <x:t xml:space="preserve">https://github.com/stackblitz-labs/bolt.diy</x:t>
        </x:is>
      </x:c>
    </x:row>
    <x:row r="5">
      <x:c r="A5" s="127" t="inlineStr">
        <x:is>
          <x:t xml:space="preserve">beam-cloud/lovable-clone</x:t>
        </x:is>
      </x:c>
      <x:c r="B5" s="127" t="inlineStr">
        <x:is>
          <x:t xml:space="preserve">Explicit sandbox tools + agent streaming loop</x:t>
        </x:is>
      </x:c>
      <x:c r="C5" s="127" t="inlineStr">
        <x:is>
          <x:t xml:space="preserve">Learning spike only; demo scale is not production architecture</x:t>
        </x:is>
      </x:c>
      <x:c r="D5" s="127" t="inlineStr">
        <x:is>
          <x:t xml:space="preserve">Benchmark only</x:t>
        </x:is>
      </x:c>
      <x:c r="E5" s="127" t="inlineStr">
        <x:is>
          <x:t xml:space="preserve">https://github.com/beam-cloud/lovable-clone</x:t>
        </x:is>
      </x:c>
    </x:row>
    <x:row r="6">
      <x:c r="A6" s="127" t="inlineStr">
        <x:is>
          <x:t xml:space="preserve">OpenHands</x:t>
        </x:is>
      </x:c>
      <x:c r="B6" s="127" t="inlineStr">
        <x:is>
          <x:t xml:space="preserve">Action-observation loop, isolated runtime, error recovery</x:t>
        </x:is>
      </x:c>
      <x:c r="C6" s="127" t="inlineStr">
        <x:is>
          <x:t xml:space="preserve">Adopt bounded loop behind our own contracts</x:t>
        </x:is>
      </x:c>
      <x:c r="D6" s="127" t="inlineStr">
        <x:is>
          <x:t xml:space="preserve">Adopt pattern</x:t>
        </x:is>
      </x:c>
      <x:c r="E6" s="127" t="inlineStr">
        <x:is>
          <x:t xml:space="preserve">https://github.com/All-Hands-AI/OpenHands</x:t>
        </x:is>
      </x:c>
    </x:row>
    <x:row r="7">
      <x:c r="A7" s="127" t="inlineStr">
        <x:is>
          <x:t xml:space="preserve">Dyad</x:t>
        </x:is>
      </x:c>
      <x:c r="B7" s="127" t="inlineStr">
        <x:is>
          <x:t xml:space="preserve">Local-first, BYOK, code stays local</x:t>
        </x:is>
      </x:c>
      <x:c r="C7" s="127" t="inlineStr">
        <x:is>
          <x:t xml:space="preserve">Add optional Hybrid Local mode; keep cloud default</x:t>
        </x:is>
      </x:c>
      <x:c r="D7" s="127" t="inlineStr">
        <x:is>
          <x:t xml:space="preserve">Adopt selectively</x:t>
        </x:is>
      </x:c>
      <x:c r="E7" s="127" t="inlineStr">
        <x:is>
          <x:t xml:space="preserve">https://github.com/dyad-sh/dyad</x:t>
        </x:is>
      </x:c>
    </x:row>
    <x:row r="8">
      <x:c r="A8" s="127" t="inlineStr">
        <x:is>
          <x:t xml:space="preserve">GPT Engineer</x:t>
        </x:is>
      </x:c>
      <x:c r="B8" s="127" t="inlineStr">
        <x:is>
          <x:t xml:space="preserve">Historical prompt -&gt; whole codebase pattern</x:t>
        </x:is>
      </x:c>
      <x:c r="C8" s="127" t="inlineStr">
        <x:is>
          <x:t xml:space="preserve">Keep only as baseline/anti-pattern; use scoped patches</x:t>
        </x:is>
      </x:c>
      <x:c r="D8" s="127" t="inlineStr">
        <x:is>
          <x:t xml:space="preserve">Reject as default</x:t>
        </x:is>
      </x:c>
      <x:c r="E8" s="127" t="inlineStr">
        <x:is>
          <x:t xml:space="preserve">https://github.com/gpt-engineer-org/gpt-engineer</x:t>
        </x:is>
      </x:c>
    </x:row>
    <x:row r="9">
      <x:c r="A9" s="127" t="inlineStr">
        <x:is>
          <x:t xml:space="preserve">LangGraph</x:t>
        </x:is>
      </x:c>
      <x:c r="B9" s="127" t="inlineStr">
        <x:is>
          <x:t xml:space="preserve">Durable graph execution, conditional retry, HITL</x:t>
        </x:is>
      </x:c>
      <x:c r="C9" s="127" t="inlineStr">
        <x:is>
          <x:t xml:space="preserve">Strong MVP candidate behind Orchestrator Adapter</x:t>
        </x:is>
      </x:c>
      <x:c r="D9" s="127" t="inlineStr">
        <x:is>
          <x:t xml:space="preserve">Benchmark / likely MVP</x:t>
        </x:is>
      </x:c>
      <x:c r="E9" s="127" t="inlineStr">
        <x:is>
          <x:t xml:space="preserve">https://langchain-ai.github.io/langgraph/</x:t>
        </x:is>
      </x:c>
    </x:row>
    <x:row r="10">
      <x:c r="A10" s="127" t="inlineStr">
        <x:is>
          <x:t xml:space="preserve">CrewAI / AutoGen</x:t>
        </x:is>
      </x:c>
      <x:c r="B10" s="127" t="inlineStr">
        <x:is>
          <x:t xml:space="preserve">Alternative multi-agent delegation patterns</x:t>
        </x:is>
      </x:c>
      <x:c r="C10" s="127" t="inlineStr">
        <x:is>
          <x:t xml:space="preserve">Do not let framework APIs leak into platform domain</x:t>
        </x:is>
      </x:c>
      <x:c r="D10" s="127" t="inlineStr">
        <x:is>
          <x:t xml:space="preserve">Benchmark only</x:t>
        </x:is>
      </x:c>
      <x:c r="E10" s="127" t="inlineStr">
        <x:is>
          <x:t xml:space="preserve">https://github.com/crewAIInc/crewAI ; https://github.com/microsoft/autogen</x:t>
        </x:is>
      </x:c>
    </x:row>
    <x:row r="11">
      <x:c r="A11" s="127" t="inlineStr">
        <x:is>
          <x:t xml:space="preserve">E2B / Daytona</x:t>
        </x:is>
      </x:c>
      <x:c r="B11" s="127" t="inlineStr">
        <x:is>
          <x:t xml:space="preserve">Managed isolated Linux sandboxes</x:t>
        </x:is>
      </x:c>
      <x:c r="C11" s="127" t="inlineStr">
        <x:is>
          <x:t xml:space="preserve">Use behind SandboxProvider adapter, never direct vendor coupling</x:t>
        </x:is>
      </x:c>
      <x:c r="D11" s="127" t="inlineStr">
        <x:is>
          <x:t xml:space="preserve">Benchmark / MVP option</x:t>
        </x:is>
      </x:c>
      <x:c r="E11" s="127" t="inlineStr">
        <x:is>
          <x:t xml:space="preserve">https://e2b.dev/docs ; https://www.daytona.io/docs</x:t>
        </x:is>
      </x:c>
    </x:row>
    <x:row r="12">
      <x:c r="A12" s="127" t="inlineStr">
        <x:is>
          <x:t xml:space="preserve">WebContainers</x:t>
        </x:is>
      </x:c>
      <x:c r="B12" s="127" t="inlineStr">
        <x:is>
          <x:t xml:space="preserve">Fast browser-side JS/Node runtime</x:t>
        </x:is>
      </x:c>
      <x:c r="C12" s="127" t="inlineStr">
        <x:is>
          <x:t xml:space="preserve">Only for JS/TS/Node browser-eligible tasks</x:t>
        </x:is>
      </x:c>
      <x:c r="D12" s="127" t="inlineStr">
        <x:is>
          <x:t xml:space="preserve">Adopt selectively</x:t>
        </x:is>
      </x:c>
      <x:c r="E12" s="127" t="inlineStr">
        <x:is>
          <x:t xml:space="preserve">https://webcontainers.io/</x:t>
        </x:is>
      </x:c>
    </x:row>
    <x:row r="13">
      <x:c r="A13" s="127" t="inlineStr">
        <x:is>
          <x:t xml:space="preserve">MCP</x:t>
        </x:is>
      </x:c>
      <x:c r="B13" s="127" t="inlineStr">
        <x:is>
          <x:t xml:space="preserve">Standard tool/context connection model</x:t>
        </x:is>
      </x:c>
      <x:c r="C13" s="127" t="inlineStr">
        <x:is>
          <x:t xml:space="preserve">Govern through Tool Registry, scopes, secrets, approvals and audit</x:t>
        </x:is>
      </x:c>
      <x:c r="D13" s="127" t="inlineStr">
        <x:is>
          <x:t xml:space="preserve">Adopt</x:t>
        </x:is>
      </x:c>
      <x:c r="E13" s="127" t="inlineStr">
        <x:is>
          <x:t xml:space="preserve">https://modelcontextprotocol.io/</x:t>
        </x:is>
      </x:c>
    </x:row>
    <x:row r="14">
      <x:c r="A14" s="127" t="inlineStr">
        <x:is>
          <x:t xml:space="preserve">Supabase / Firebase / Atlas</x:t>
        </x:is>
      </x:c>
      <x:c r="B14" s="127" t="inlineStr">
        <x:is>
          <x:t xml:space="preserve">Rapid generated-app backend choices</x:t>
        </x:is>
      </x:c>
      <x:c r="C14" s="127" t="inlineStr">
        <x:is>
          <x:t xml:space="preserve">Offer as customer backend profiles; not platform core</x:t>
        </x:is>
      </x:c>
      <x:c r="D14" s="127" t="inlineStr">
        <x:is>
          <x:t xml:space="preserve">Adopt selectively</x:t>
        </x:is>
      </x:c>
      <x:c r="E14" s="127" t="inlineStr">
        <x:is>
          <x:t xml:space="preserve">https://supabase.com/docs ; https://firebase.google.com/docs ; https://www.mongodb.com/docs/atlas/</x:t>
        </x:is>
      </x:c>
    </x:row>
    <x:row r="15">
      <x:c r="A15" s="127" t="inlineStr">
        <x:is>
          <x:t xml:space="preserve">OWASP Top 10</x:t>
        </x:is>
      </x:c>
      <x:c r="B15" s="127" t="inlineStr">
        <x:is>
          <x:t xml:space="preserve">Security baseline</x:t>
        </x:is>
      </x:c>
      <x:c r="C15" s="127" t="inlineStr">
        <x:is>
          <x:t xml:space="preserve">Convert to automated controls + threat models + release gates</x:t>
        </x:is>
      </x:c>
      <x:c r="D15" s="127" t="inlineStr">
        <x:is>
          <x:t xml:space="preserve">Adopt baseline</x:t>
        </x:is>
      </x:c>
      <x:c r="E15" s="127" t="inlineStr">
        <x:is>
          <x:t xml:space="preserve">https://owasp.org/www-project-top-ten/</x:t>
        </x:is>
      </x:c>
    </x:row>
  </x:sheetData>
  <x:mergeCells>
    <x:mergeCell ref="A2:E2"/>
    <x:mergeCell ref="A1:E1"/>
  </x:mergeCells>
  <x:pageMargins left="0.7" right="0.7" top="0.75" bottom="0.75" header="0.3" footer="0.3"/>
</x:worksheet>
</file>

<file path=xl/worksheets/sheet35.xml><?xml version="1.0" encoding="utf-8"?>
<x:worksheet xmlns:x="http://schemas.openxmlformats.org/spreadsheetml/2006/main">
  <x:sheetFormatPr baseColWidth="8" defaultRowHeight="15"/>
  <x:cols>
    <x:col min="1" max="1" width="10" style="40" customWidth="1"/>
    <x:col min="2" max="2" width="24" style="40" customWidth="1"/>
    <x:col min="3" max="3" width="34" style="40" customWidth="1"/>
    <x:col min="4" max="4" width="30" style="40" customWidth="1"/>
    <x:col min="5" max="5" width="28" style="40" customWidth="1"/>
    <x:col min="6" max="6" width="36" style="40" customWidth="1"/>
    <x:col min="7" max="7" width="17" style="40" customWidth="1"/>
  </x:cols>
  <x:sheetData>
    <x:row r="1" s="40" customFormat="1" ht="30" customHeight="1">
      <x:c r="A1" s="380" t="inlineStr">
        <x:is>
          <x:t xml:space="preserve">OmniStackAI V5 — Runtime Tiers</x:t>
        </x:is>
      </x:c>
      <x:c r="B1" s="375" t="n"/>
      <x:c r="C1" s="375" t="n"/>
      <x:c r="D1" s="375" t="n"/>
      <x:c r="E1" s="375" t="n"/>
      <x:c r="F1" s="375" t="n"/>
      <x:c r="G1" s="375" t="n"/>
    </x:row>
    <x:row r="2" s="40" customFormat="1" ht="34" customHeight="1">
      <x:c r="A2" s="381" t="inlineStr">
        <x:is>
          <x:t xml:space="preserve">Provider-based execution. Browser runtime is an optimization; real Linux/macOS/local/BYOC remain available. Agents depend on RuntimeProvider, not a vendor SDK.</x:t>
        </x:is>
      </x:c>
      <x:c r="B2" s="375" t="n"/>
      <x:c r="C2" s="375" t="n"/>
      <x:c r="D2" s="375" t="n"/>
      <x:c r="E2" s="375" t="n"/>
      <x:c r="F2" s="375" t="n"/>
      <x:c r="G2" s="375" t="n"/>
    </x:row>
    <x:row r="3">
      <x:c r="A3" s="124" t="n"/>
      <x:c r="B3" s="124" t="n"/>
      <x:c r="C3" s="124" t="n"/>
      <x:c r="D3" s="124" t="n"/>
      <x:c r="E3" s="124" t="n"/>
      <x:c r="F3" s="124" t="n"/>
    </x:row>
    <x:row r="4" s="40" customFormat="1" ht="28" customHeight="1">
      <x:c r="A4" s="141" t="inlineStr">
        <x:is>
          <x:t xml:space="preserve">Tier</x:t>
        </x:is>
      </x:c>
      <x:c r="B4" s="142" t="inlineStr">
        <x:is>
          <x:t xml:space="preserve">Runtime</x:t>
        </x:is>
      </x:c>
      <x:c r="C4" s="142" t="inlineStr">
        <x:is>
          <x:t xml:space="preserve">Best For</x:t>
        </x:is>
      </x:c>
      <x:c r="D4" s="142" t="inlineStr">
        <x:is>
          <x:t xml:space="preserve">Isolation / Host</x:t>
        </x:is>
      </x:c>
      <x:c r="E4" s="142" t="inlineStr">
        <x:is>
          <x:t xml:space="preserve">Startup/Cost Strategy</x:t>
        </x:is>
      </x:c>
      <x:c r="F4" s="142" t="inlineStr">
        <x:is>
          <x:t xml:space="preserve">Examples / Implementation</x:t>
        </x:is>
      </x:c>
      <x:c r="G4" s="143" t="inlineStr">
        <x:is>
          <x:t xml:space="preserve">Phase</x:t>
        </x:is>
      </x:c>
    </x:row>
    <x:row r="5">
      <x:c r="A5" s="144" t="inlineStr">
        <x:is>
          <x:t xml:space="preserve">T0</x:t>
        </x:is>
      </x:c>
      <x:c r="B5" s="145" t="inlineStr">
        <x:is>
          <x:t xml:space="preserve">Browser runtime</x:t>
        </x:is>
      </x:c>
      <x:c r="C5" s="145" t="inlineStr">
        <x:is>
          <x:t xml:space="preserve">JS/TS/WASM eligible preview and lightweight work</x:t>
        </x:is>
      </x:c>
      <x:c r="D5" s="145" t="inlineStr">
        <x:is>
          <x:t xml:space="preserve">user browser / isolated browser tech</x:t>
        </x:is>
      </x:c>
      <x:c r="E5" s="145" t="inlineStr">
        <x:is>
          <x:t xml:space="preserve">fastest / cheapest</x:t>
        </x:is>
      </x:c>
      <x:c r="F5" s="145" t="inlineStr">
        <x:is>
          <x:t xml:space="preserve">WebContainers or equivalent adapter</x:t>
        </x:is>
      </x:c>
      <x:c r="G5" s="146" t="inlineStr">
        <x:is>
          <x:t xml:space="preserve">MVP</x:t>
        </x:is>
      </x:c>
    </x:row>
    <x:row r="6">
      <x:c r="A6" s="223" t="inlineStr">
        <x:is>
          <x:t xml:space="preserve">T1</x:t>
        </x:is>
      </x:c>
      <x:c r="B6" s="284" t="inlineStr">
        <x:is>
          <x:t xml:space="preserve">Managed Linux sandbox</x:t>
        </x:is>
      </x:c>
      <x:c r="C6" s="284" t="inlineStr">
        <x:is>
          <x:t xml:space="preserve">general web/backend/build/test</x:t>
        </x:is>
      </x:c>
      <x:c r="D6" s="284" t="inlineStr">
        <x:is>
          <x:t xml:space="preserve">isolated server-side Linux</x:t>
        </x:is>
      </x:c>
      <x:c r="E6" s="284" t="inlineStr">
        <x:is>
          <x:t xml:space="preserve">pay only while task active</x:t>
        </x:is>
      </x:c>
      <x:c r="F6" s="284" t="inlineStr">
        <x:is>
          <x:t xml:space="preserve">E2B / Daytona behind adapter</x:t>
        </x:is>
      </x:c>
      <x:c r="G6" s="225" t="inlineStr">
        <x:is>
          <x:t xml:space="preserve">MVP</x:t>
        </x:is>
      </x:c>
    </x:row>
    <x:row r="7">
      <x:c r="A7" s="147" t="inlineStr">
        <x:is>
          <x:t xml:space="preserve">T2</x:t>
        </x:is>
      </x:c>
      <x:c r="B7" s="148" t="inlineStr">
        <x:is>
          <x:t xml:space="preserve">OmniStackAI K8s Linux</x:t>
        </x:is>
      </x:c>
      <x:c r="C7" s="148" t="inlineStr">
        <x:is>
          <x:t xml:space="preserve">high-scale owned runtime</x:t>
        </x:is>
      </x:c>
      <x:c r="D7" s="148" t="inlineStr">
        <x:is>
          <x:t xml:space="preserve">K8s namespace/network/cgroups</x:t>
        </x:is>
      </x:c>
      <x:c r="E7" s="148" t="inlineStr">
        <x:is>
          <x:t xml:space="preserve">warm pool + bin packing</x:t>
        </x:is>
      </x:c>
      <x:c r="F7" s="148" t="inlineStr">
        <x:is>
          <x:t xml:space="preserve">own runner fleet when economics justify</x:t>
        </x:is>
      </x:c>
      <x:c r="G7" s="149" t="inlineStr">
        <x:is>
          <x:t xml:space="preserve">MID/ADV</x:t>
        </x:is>
      </x:c>
    </x:row>
    <x:row r="8">
      <x:c r="A8" s="223" t="inlineStr">
        <x:is>
          <x:t xml:space="preserve">T2S</x:t>
        </x:is>
      </x:c>
      <x:c r="B8" s="284" t="inlineStr">
        <x:is>
          <x:t xml:space="preserve">Hardened Linux</x:t>
        </x:is>
      </x:c>
      <x:c r="C8" s="284" t="inlineStr">
        <x:is>
          <x:t xml:space="preserve">higher-risk arbitrary code</x:t>
        </x:is>
      </x:c>
      <x:c r="D8" s="284" t="inlineStr">
        <x:is>
          <x:t xml:space="preserve">gVisor/Kata/Firecracker</x:t>
        </x:is>
      </x:c>
      <x:c r="E8" s="284" t="inlineStr">
        <x:is>
          <x:t xml:space="preserve">premium isolation</x:t>
        </x:is>
      </x:c>
      <x:c r="F8" s="284" t="inlineStr">
        <x:is>
          <x:t xml:space="preserve">microVM profile</x:t>
        </x:is>
      </x:c>
      <x:c r="G8" s="225" t="inlineStr">
        <x:is>
          <x:t xml:space="preserve">ADV</x:t>
        </x:is>
      </x:c>
    </x:row>
    <x:row r="9">
      <x:c r="A9" s="147" t="inlineStr">
        <x:is>
          <x:t xml:space="preserve">T3A</x:t>
        </x:is>
      </x:c>
      <x:c r="B9" s="148" t="inlineStr">
        <x:is>
          <x:t xml:space="preserve">Android runtime</x:t>
        </x:is>
      </x:c>
      <x:c r="C9" s="148" t="inlineStr">
        <x:is>
          <x:t xml:space="preserve">real Android debugging/test</x:t>
        </x:is>
      </x:c>
      <x:c r="D9" s="148" t="inlineStr">
        <x:is>
          <x:t xml:space="preserve">Linux + KVM/device cloud</x:t>
        </x:is>
      </x:c>
      <x:c r="E9" s="148" t="inlineStr">
        <x:is>
          <x:t xml:space="preserve">on demand only</x:t>
        </x:is>
      </x:c>
      <x:c r="F9" s="148" t="inlineStr">
        <x:is>
          <x:t xml:space="preserve">emulator / physical device cloud</x:t>
        </x:is>
      </x:c>
      <x:c r="G9" s="149" t="inlineStr">
        <x:is>
          <x:t xml:space="preserve">MID</x:t>
        </x:is>
      </x:c>
    </x:row>
    <x:row r="10">
      <x:c r="A10" s="223" t="inlineStr">
        <x:is>
          <x:t xml:space="preserve">T3I</x:t>
        </x:is>
      </x:c>
      <x:c r="B10" s="284" t="inlineStr">
        <x:is>
          <x:t xml:space="preserve">macOS runtime</x:t>
        </x:is>
      </x:c>
      <x:c r="C10" s="284" t="inlineStr">
        <x:is>
          <x:t xml:space="preserve">iOS build/simulator/signing boundary</x:t>
        </x:is>
      </x:c>
      <x:c r="D10" s="284" t="inlineStr">
        <x:is>
          <x:t xml:space="preserve">macOS + Xcode</x:t>
        </x:is>
      </x:c>
      <x:c r="E10" s="284" t="inlineStr">
        <x:is>
          <x:t xml:space="preserve">allocate only when required</x:t>
        </x:is>
      </x:c>
      <x:c r="F10" s="284" t="inlineStr">
        <x:is>
          <x:t xml:space="preserve">cloud Mac/provider</x:t>
        </x:is>
      </x:c>
      <x:c r="G10" s="225" t="inlineStr">
        <x:is>
          <x:t xml:space="preserve">MVP build / MID interactive</x:t>
        </x:is>
      </x:c>
    </x:row>
    <x:row r="11">
      <x:c r="A11" s="147" t="inlineStr">
        <x:is>
          <x:t xml:space="preserve">T4</x:t>
        </x:is>
      </x:c>
      <x:c r="B11" s="148" t="inlineStr">
        <x:is>
          <x:t xml:space="preserve">Local runtime</x:t>
        </x:is>
      </x:c>
      <x:c r="C11" s="148" t="inlineStr">
        <x:is>
          <x:t xml:space="preserve">privacy, local device/Xcode, developer workflows</x:t>
        </x:is>
      </x:c>
      <x:c r="D11" s="148" t="inlineStr">
        <x:is>
          <x:t xml:space="preserve">customer machine</x:t>
        </x:is>
      </x:c>
      <x:c r="E11" s="148" t="inlineStr">
        <x:is>
          <x:t xml:space="preserve">no OmniStackAI compute charge</x:t>
        </x:is>
      </x:c>
      <x:c r="F11" s="148" t="inlineStr">
        <x:is>
          <x:t xml:space="preserve">signed Local Agent</x:t>
        </x:is>
      </x:c>
      <x:c r="G11" s="149" t="inlineStr">
        <x:is>
          <x:t xml:space="preserve">MID</x:t>
        </x:is>
      </x:c>
    </x:row>
    <x:row r="12">
      <x:c r="A12" s="239" t="inlineStr">
        <x:is>
          <x:t xml:space="preserve">T5</x:t>
        </x:is>
      </x:c>
      <x:c r="B12" s="240" t="inlineStr">
        <x:is>
          <x:t xml:space="preserve">Enterprise BYOC/VPC</x:t>
        </x:is>
      </x:c>
      <x:c r="C12" s="240" t="inlineStr">
        <x:is>
          <x:t xml:space="preserve">regulated/private execution</x:t>
        </x:is>
      </x:c>
      <x:c r="D12" s="240" t="inlineStr">
        <x:is>
          <x:t xml:space="preserve">customer cloud/private network</x:t>
        </x:is>
      </x:c>
      <x:c r="E12" s="240" t="inlineStr">
        <x:is>
          <x:t xml:space="preserve">customer-owned capacity</x:t>
        </x:is>
      </x:c>
      <x:c r="F12" s="240" t="inlineStr">
        <x:is>
          <x:t xml:space="preserve">private runner adapter</x:t>
        </x:is>
      </x:c>
      <x:c r="G12" s="241" t="inlineStr">
        <x:is>
          <x:t xml:space="preserve">ADV</x:t>
        </x:is>
      </x:c>
    </x:row>
  </x:sheetData>
  <x:mergeCells>
    <x:mergeCell ref="A2:F2"/>
    <x:mergeCell ref="A2:G2"/>
    <x:mergeCell ref="A1:F1"/>
    <x:mergeCell ref="A1:G1"/>
  </x:mergeCells>
  <x:pageMargins left="0.7" right="0.7" top="0.75" bottom="0.75" header="0.3" footer="0.3"/>
</x:worksheet>
</file>

<file path=xl/worksheets/sheet36.xml><?xml version="1.0" encoding="utf-8"?>
<x:worksheet xmlns:x="http://schemas.openxmlformats.org/spreadsheetml/2006/main">
  <x:sheetFormatPr baseColWidth="8" defaultRowHeight="15"/>
  <x:cols>
    <x:col min="1" max="1" width="31" style="40" customWidth="1"/>
    <x:col min="2" max="2" width="31" style="40" customWidth="1"/>
    <x:col min="3" max="3" width="43" style="40" customWidth="1"/>
    <x:col min="4" max="4" width="43" style="40" customWidth="1"/>
  </x:cols>
  <x:sheetData>
    <x:row r="1" s="40" customFormat="1" ht="30" customHeight="1">
      <x:c r="A1" s="380" t="inlineStr">
        <x:is>
          <x:t xml:space="preserve">OmniStackAI V5 — Durable Agent Runtime</x:t>
        </x:is>
      </x:c>
      <x:c r="B1" s="375" t="n"/>
      <x:c r="C1" s="375" t="n"/>
      <x:c r="D1" s="375" t="n"/>
    </x:row>
    <x:row r="2" s="40" customFormat="1" ht="34" customHeight="1">
      <x:c r="A2" s="381" t="inlineStr">
        <x:is>
          <x:t xml:space="preserve">Temporal is the preferred durable workflow foundation. OmniStackAI owns task/run/step/event/idempotency schemas; reasoning graphs remain replaceable.</x:t>
        </x:is>
      </x:c>
      <x:c r="B2" s="375" t="n"/>
      <x:c r="C2" s="375" t="n"/>
      <x:c r="D2" s="375" t="n"/>
    </x:row>
    <x:row r="3">
      <x:c r="A3" s="124" t="n"/>
      <x:c r="B3" s="124" t="n"/>
      <x:c r="C3" s="124" t="n"/>
      <x:c r="D3" s="124" t="n"/>
    </x:row>
    <x:row r="4" s="40" customFormat="1" ht="28" customHeight="1">
      <x:c r="A4" s="141" t="inlineStr">
        <x:is>
          <x:t xml:space="preserve">State / Component</x:t>
        </x:is>
      </x:c>
      <x:c r="B4" s="142" t="inlineStr">
        <x:is>
          <x:t xml:space="preserve">Purpose</x:t>
        </x:is>
      </x:c>
      <x:c r="C4" s="142" t="inlineStr">
        <x:is>
          <x:t xml:space="preserve">Hard Requirement</x:t>
        </x:is>
      </x:c>
      <x:c r="D4" s="143" t="inlineStr">
        <x:is>
          <x:t xml:space="preserve">Implementation Note</x:t>
        </x:is>
      </x:c>
    </x:row>
    <x:row r="5">
      <x:c r="A5" s="144" t="inlineStr">
        <x:is>
          <x:t xml:space="preserve">CREATED -&gt; SPECIFYING -&gt; PLANNING</x:t>
        </x:is>
      </x:c>
      <x:c r="B5" s="145" t="inlineStr">
        <x:is>
          <x:t xml:space="preserve">prepare requirements/plan</x:t>
        </x:is>
      </x:c>
      <x:c r="C5" s="145" t="inlineStr">
        <x:is>
          <x:t xml:space="preserve">persist after meaningful transition</x:t>
        </x:is>
      </x:c>
      <x:c r="D5" s="146" t="inlineStr">
        <x:is>
          <x:t xml:space="preserve">PostgreSQL metadata + Temporal workflow</x:t>
        </x:is>
      </x:c>
    </x:row>
    <x:row r="6">
      <x:c r="A6" s="223" t="inlineStr">
        <x:is>
          <x:t xml:space="preserve">WAITING_APPROVAL?</x:t>
        </x:is>
      </x:c>
      <x:c r="B6" s="284" t="inlineStr">
        <x:is>
          <x:t xml:space="preserve">risk-based human checkpoint</x:t>
        </x:is>
      </x:c>
      <x:c r="C6" s="284" t="inlineStr">
        <x:is>
          <x:t xml:space="preserve">approval is specific and expiring</x:t>
        </x:is>
      </x:c>
      <x:c r="D6" s="225" t="inlineStr">
        <x:is>
          <x:t xml:space="preserve">no blanket future authorization</x:t>
        </x:is>
      </x:c>
    </x:row>
    <x:row r="7">
      <x:c r="A7" s="147" t="inlineStr">
        <x:is>
          <x:t xml:space="preserve">EXECUTING</x:t>
        </x:is>
      </x:c>
      <x:c r="B7" s="148" t="inlineStr">
        <x:is>
          <x:t xml:space="preserve">tool/model/code work</x:t>
        </x:is>
      </x:c>
      <x:c r="C7" s="148" t="inlineStr">
        <x:is>
          <x:t xml:space="preserve">each side effect has idempotency key</x:t>
        </x:is>
      </x:c>
      <x:c r="D7" s="149" t="inlineStr">
        <x:is>
          <x:t xml:space="preserve">Temporal activities / platform tools</x:t>
        </x:is>
      </x:c>
    </x:row>
    <x:row r="8">
      <x:c r="A8" s="223" t="inlineStr">
        <x:is>
          <x:t xml:space="preserve">VERIFYING</x:t>
        </x:is>
      </x:c>
      <x:c r="B8" s="284" t="inlineStr">
        <x:is>
          <x:t xml:space="preserve">build/test/security</x:t>
        </x:is>
      </x:c>
      <x:c r="C8" s="284" t="inlineStr">
        <x:is>
          <x:t xml:space="preserve">real tool output wins over model belief</x:t>
        </x:is>
      </x:c>
      <x:c r="D8" s="225" t="inlineStr">
        <x:is>
          <x:t xml:space="preserve">targeted first; broader on risk</x:t>
        </x:is>
      </x:c>
    </x:row>
    <x:row r="9">
      <x:c r="A9" s="147" t="inlineStr">
        <x:is>
          <x:t xml:space="preserve">REVIEWING -&gt; READY_TO_MERGE</x:t>
        </x:is>
      </x:c>
      <x:c r="B9" s="148" t="inlineStr">
        <x:is>
          <x:t xml:space="preserve">diff/impact review</x:t>
        </x:is>
      </x:c>
      <x:c r="C9" s="148" t="inlineStr">
        <x:is>
          <x:t xml:space="preserve">main stays protected</x:t>
        </x:is>
      </x:c>
      <x:c r="D9" s="149" t="inlineStr">
        <x:is>
          <x:t xml:space="preserve">Git PR/change set</x:t>
        </x:is>
      </x:c>
    </x:row>
    <x:row r="10">
      <x:c r="A10" s="223" t="inlineStr">
        <x:is>
          <x:t xml:space="preserve">DEPLOYING</x:t>
        </x:is>
      </x:c>
      <x:c r="B10" s="284" t="inlineStr">
        <x:is>
          <x:t xml:space="preserve">immutable release workflow</x:t>
        </x:is>
      </x:c>
      <x:c r="C10" s="284" t="inlineStr">
        <x:is>
          <x:t xml:space="preserve">retry creates linked run; no duplicated side effect</x:t>
        </x:is>
      </x:c>
      <x:c r="D10" s="225" t="inlineStr">
        <x:is>
          <x:t xml:space="preserve">Temporal durable activity pipeline</x:t>
        </x:is>
      </x:c>
    </x:row>
    <x:row r="11">
      <x:c r="A11" s="147" t="inlineStr">
        <x:is>
          <x:t xml:space="preserve">FAILED_RETRYABLE</x:t>
        </x:is>
      </x:c>
      <x:c r="B11" s="148" t="inlineStr">
        <x:is>
          <x:t xml:space="preserve">worker/provider failure</x:t>
        </x:is>
      </x:c>
      <x:c r="C11" s="148" t="inlineStr">
        <x:is>
          <x:t xml:space="preserve">resume from checkpoint</x:t>
        </x:is>
      </x:c>
      <x:c r="D11" s="149" t="inlineStr">
        <x:is>
          <x:t xml:space="preserve">browser disconnect does not cancel server task</x:t>
        </x:is>
      </x:c>
    </x:row>
    <x:row r="12">
      <x:c r="A12" s="223" t="inlineStr">
        <x:is>
          <x:t xml:space="preserve">Event Ledger</x:t>
        </x:is>
      </x:c>
      <x:c r="B12" s="284" t="inlineStr">
        <x:is>
          <x:t xml:space="preserve">ordered progress/history</x:t>
        </x:is>
      </x:c>
      <x:c r="C12" s="284" t="inlineStr">
        <x:is>
          <x:t xml:space="preserve">reconnect/replay</x:t>
        </x:is>
      </x:c>
      <x:c r="D12" s="225" t="inlineStr">
        <x:is>
          <x:t xml:space="preserve">compact metadata in Postgres; large payloads in object storage</x:t>
        </x:is>
      </x:c>
    </x:row>
    <x:row r="13">
      <x:c r="A13" s="156" t="inlineStr">
        <x:is>
          <x:t xml:space="preserve">AgentGraphAdapter</x:t>
        </x:is>
      </x:c>
      <x:c r="B13" s="157" t="inlineStr">
        <x:is>
          <x:t xml:space="preserve">planner/coder/reviewer graph</x:t>
        </x:is>
      </x:c>
      <x:c r="C13" s="157" t="inlineStr">
        <x:is>
          <x:t xml:space="preserve">replaceable</x:t>
        </x:is>
      </x:c>
      <x:c r="D13" s="158" t="inlineStr">
        <x:is>
          <x:t xml:space="preserve">custom state machine/LangGraph/etc. does not own durability</x:t>
        </x:is>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baseColWidth="8" defaultRowHeight="15"/>
  <x:cols>
    <x:col min="1" max="1" width="28" style="40" customWidth="1"/>
    <x:col min="2" max="2" width="64" style="40" customWidth="1"/>
    <x:col min="3" max="3" width="14" style="40" customWidth="1"/>
    <x:col min="4" max="4" width="52" style="40" customWidth="1"/>
  </x:cols>
  <x:sheetData>
    <x:row r="1" s="40" customFormat="1" ht="28" customHeight="1">
      <x:c r="A1" s="398" t="inlineStr">
        <x:is>
          <x:t xml:space="preserve">MCP Gateway &amp; Tool Registry</x:t>
        </x:is>
      </x:c>
      <x:c r="B1" s="375" t="n"/>
      <x:c r="C1" s="375" t="n"/>
      <x:c r="D1" s="375" t="n"/>
    </x:row>
    <x:row r="2" s="40" customFormat="1" ht="38" customHeight="1">
      <x:c r="A2" s="399" t="inlineStr">
        <x:is>
          <x:t xml:space="preserve">MCP is an extension standard, not a trust bypass. Every tool is governed by platform policy, capability scopes, secret brokering, cost controls and audit.</x:t>
        </x:is>
      </x:c>
      <x:c r="B2" s="375" t="n"/>
      <x:c r="C2" s="375" t="n"/>
      <x:c r="D2" s="375" t="n"/>
    </x:row>
    <x:row r="3">
      <x:c r="A3" s="124" t="inlineStr">
        <x:is>
          <x:t xml:space="preserve">Capability</x:t>
        </x:is>
      </x:c>
      <x:c r="B3" s="124" t="inlineStr">
        <x:is>
          <x:t xml:space="preserve">Required Metadata / Behavior</x:t>
        </x:is>
      </x:c>
      <x:c r="C3" s="124" t="inlineStr">
        <x:is>
          <x:t xml:space="preserve">Phase</x:t>
        </x:is>
      </x:c>
      <x:c r="D3" s="124" t="inlineStr">
        <x:is>
          <x:t xml:space="preserve">Rule</x:t>
        </x:is>
      </x:c>
    </x:row>
    <x:row r="4">
      <x:c r="A4" s="127" t="inlineStr">
        <x:is>
          <x:t xml:space="preserve">Tool Identity</x:t>
        </x:is>
      </x:c>
      <x:c r="B4" s="127" t="inlineStr">
        <x:is>
          <x:t xml:space="preserve">ID, version, provider/server identity</x:t>
        </x:is>
      </x:c>
      <x:c r="C4" s="127" t="inlineStr">
        <x:is>
          <x:t xml:space="preserve">MVP</x:t>
        </x:is>
      </x:c>
      <x:c r="D4" s="127" t="inlineStr">
        <x:is>
          <x:t xml:space="preserve">Required</x:t>
        </x:is>
      </x:c>
    </x:row>
    <x:row r="5">
      <x:c r="A5" s="127" t="inlineStr">
        <x:is>
          <x:t xml:space="preserve">Schema</x:t>
        </x:is>
      </x:c>
      <x:c r="B5" s="127" t="inlineStr">
        <x:is>
          <x:t xml:space="preserve">Input/output schema + capability description</x:t>
        </x:is>
      </x:c>
      <x:c r="C5" s="127" t="inlineStr">
        <x:is>
          <x:t xml:space="preserve">MVP</x:t>
        </x:is>
      </x:c>
      <x:c r="D5" s="127" t="inlineStr">
        <x:is>
          <x:t xml:space="preserve">Required</x:t>
        </x:is>
      </x:c>
    </x:row>
    <x:row r="6">
      <x:c r="A6" s="127" t="inlineStr">
        <x:is>
          <x:t xml:space="preserve">Risk Class</x:t>
        </x:is>
      </x:c>
      <x:c r="B6" s="127" t="inlineStr">
        <x:is>
          <x:t xml:space="preserve">Read / write / execute + L0-L4 risk</x:t>
        </x:is>
      </x:c>
      <x:c r="C6" s="127" t="inlineStr">
        <x:is>
          <x:t xml:space="preserve">MVP</x:t>
        </x:is>
      </x:c>
      <x:c r="D6" s="127" t="inlineStr">
        <x:is>
          <x:t xml:space="preserve">Required</x:t>
        </x:is>
      </x:c>
    </x:row>
    <x:row r="7">
      <x:c r="A7" s="127" t="inlineStr">
        <x:is>
          <x:t xml:space="preserve">Agent Permissions</x:t>
        </x:is>
      </x:c>
      <x:c r="B7" s="127" t="inlineStr">
        <x:is>
          <x:t xml:space="preserve">Allowed agent roles</x:t>
        </x:is>
      </x:c>
      <x:c r="C7" s="127" t="inlineStr">
        <x:is>
          <x:t xml:space="preserve">MVP</x:t>
        </x:is>
      </x:c>
      <x:c r="D7" s="127" t="inlineStr">
        <x:is>
          <x:t xml:space="preserve">Deny by default</x:t>
        </x:is>
      </x:c>
    </x:row>
    <x:row r="8">
      <x:c r="A8" s="127" t="inlineStr">
        <x:is>
          <x:t xml:space="preserve">Workspace/User Scope</x:t>
        </x:is>
      </x:c>
      <x:c r="B8" s="127" t="inlineStr">
        <x:is>
          <x:t xml:space="preserve">Explicit workspace and user scopes</x:t>
        </x:is>
      </x:c>
      <x:c r="C8" s="127" t="inlineStr">
        <x:is>
          <x:t xml:space="preserve">MVP</x:t>
        </x:is>
      </x:c>
      <x:c r="D8" s="127" t="inlineStr">
        <x:is>
          <x:t xml:space="preserve">Required</x:t>
        </x:is>
      </x:c>
    </x:row>
    <x:row r="9">
      <x:c r="A9" s="127" t="inlineStr">
        <x:is>
          <x:t xml:space="preserve">Network Egress</x:t>
        </x:is>
      </x:c>
      <x:c r="B9" s="127" t="inlineStr">
        <x:is>
          <x:t xml:space="preserve">Approved destinations</x:t>
        </x:is>
      </x:c>
      <x:c r="C9" s="127" t="inlineStr">
        <x:is>
          <x:t xml:space="preserve">MVP</x:t>
        </x:is>
      </x:c>
      <x:c r="D9" s="127" t="inlineStr">
        <x:is>
          <x:t xml:space="preserve">Restricted</x:t>
        </x:is>
      </x:c>
    </x:row>
    <x:row r="10">
      <x:c r="A10" s="127" t="inlineStr">
        <x:is>
          <x:t xml:space="preserve">Secrets</x:t>
        </x:is>
      </x:c>
      <x:c r="B10" s="127" t="inlineStr">
        <x:is>
          <x:t xml:space="preserve">Secret names/scopes brokered outside prompts</x:t>
        </x:is>
      </x:c>
      <x:c r="C10" s="127" t="inlineStr">
        <x:is>
          <x:t xml:space="preserve">MVP</x:t>
        </x:is>
      </x:c>
      <x:c r="D10" s="127" t="inlineStr">
        <x:is>
          <x:t xml:space="preserve">No raw long-lived secrets in prompts</x:t>
        </x:is>
      </x:c>
    </x:row>
    <x:row r="11">
      <x:c r="A11" s="127" t="inlineStr">
        <x:is>
          <x:t xml:space="preserve">Limits</x:t>
        </x:is>
      </x:c>
      <x:c r="B11" s="127" t="inlineStr">
        <x:is>
          <x:t xml:space="preserve">Rate, cost, timeout, retry</x:t>
        </x:is>
      </x:c>
      <x:c r="C11" s="127" t="inlineStr">
        <x:is>
          <x:t xml:space="preserve">MVP</x:t>
        </x:is>
      </x:c>
      <x:c r="D11" s="127" t="inlineStr">
        <x:is>
          <x:t xml:space="preserve">Required</x:t>
        </x:is>
      </x:c>
    </x:row>
    <x:row r="12">
      <x:c r="A12" s="127" t="inlineStr">
        <x:is>
          <x:t xml:space="preserve">Audit</x:t>
        </x:is>
      </x:c>
      <x:c r="B12" s="127" t="inlineStr">
        <x:is>
          <x:t xml:space="preserve">Event retention + approval requirement</x:t>
        </x:is>
      </x:c>
      <x:c r="C12" s="127" t="inlineStr">
        <x:is>
          <x:t xml:space="preserve">MVP</x:t>
        </x:is>
      </x:c>
      <x:c r="D12" s="127" t="inlineStr">
        <x:is>
          <x:t xml:space="preserve">Required</x:t>
        </x:is>
      </x:c>
    </x:row>
    <x:row r="13">
      <x:c r="A13" s="127" t="inlineStr">
        <x:is>
          <x:t xml:space="preserve">Verified External MCP</x:t>
        </x:is>
      </x:c>
      <x:c r="B13" s="127" t="inlineStr">
        <x:is>
          <x:t xml:space="preserve">Install verified third-party MCP servers</x:t>
        </x:is>
      </x:c>
      <x:c r="C13" s="127" t="inlineStr">
        <x:is>
          <x:t xml:space="preserve">MID</x:t>
        </x:is>
      </x:c>
      <x:c r="D13" s="127" t="inlineStr">
        <x:is>
          <x:t xml:space="preserve">Consent + signature/version validation</x:t>
        </x:is>
      </x:c>
    </x:row>
    <x:row r="14">
      <x:c r="A14" s="127" t="inlineStr">
        <x:is>
          <x:t xml:space="preserve">Customer Private MCP</x:t>
        </x:is>
      </x:c>
      <x:c r="B14" s="127" t="inlineStr">
        <x:is>
          <x:t xml:space="preserve">Customer-owned MCP server</x:t>
        </x:is>
      </x:c>
      <x:c r="C14" s="127" t="inlineStr">
        <x:is>
          <x:t xml:space="preserve">ADVANCED</x:t>
        </x:is>
      </x:c>
      <x:c r="D14" s="127" t="inlineStr">
        <x:is>
          <x:t xml:space="preserve">Private workspace install + strict policy</x:t>
        </x:is>
      </x:c>
    </x:row>
  </x:sheetData>
  <x:mergeCells>
    <x:mergeCell ref="A1:D1"/>
    <x:mergeCell ref="A2:D2"/>
  </x:mergeCells>
  <x:pageMargins left="0.7" right="0.7" top="0.75" bottom="0.75" header="0.3" footer="0.3"/>
</x:worksheet>
</file>

<file path=xl/worksheets/sheet38.xml><?xml version="1.0" encoding="utf-8"?>
<x:worksheet xmlns:x="http://schemas.openxmlformats.org/spreadsheetml/2006/main">
  <x:sheetFormatPr baseColWidth="8" defaultRowHeight="15"/>
  <x:cols>
    <x:col min="1" max="1" width="24" style="40" customWidth="1"/>
    <x:col min="2" max="2" width="58" style="40" customWidth="1"/>
    <x:col min="3" max="3" width="34" style="40" customWidth="1"/>
    <x:col min="4" max="4" width="46" style="40" customWidth="1"/>
  </x:cols>
  <x:sheetData>
    <x:row r="1" s="40" customFormat="1" ht="28" customHeight="1">
      <x:c r="A1" s="398" t="inlineStr">
        <x:is>
          <x:t xml:space="preserve">Human-in-the-Loop Risk Policy</x:t>
        </x:is>
      </x:c>
      <x:c r="B1" s="375" t="n"/>
      <x:c r="C1" s="375" t="n"/>
      <x:c r="D1" s="375" t="n"/>
    </x:row>
    <x:row r="2" s="40" customFormat="1" ht="38" customHeight="1">
      <x:c r="A2" s="399" t="inlineStr">
        <x:is>
          <x:t xml:space="preserve">Approvals are based on risk, not on every small action. This keeps normal coding fast while protecting production and destructive operations.</x:t>
        </x:is>
      </x:c>
      <x:c r="B2" s="375" t="n"/>
      <x:c r="C2" s="375" t="n"/>
      <x:c r="D2" s="375" t="n"/>
    </x:row>
    <x:row r="3">
      <x:c r="A3" s="124" t="inlineStr">
        <x:is>
          <x:t xml:space="preserve">Risk Level</x:t>
        </x:is>
      </x:c>
      <x:c r="B3" s="124" t="inlineStr">
        <x:is>
          <x:t xml:space="preserve">Examples</x:t>
        </x:is>
      </x:c>
      <x:c r="C3" s="124" t="inlineStr">
        <x:is>
          <x:t xml:space="preserve">Default Behavior</x:t>
        </x:is>
      </x:c>
      <x:c r="D3" s="124" t="inlineStr">
        <x:is>
          <x:t xml:space="preserve">Rule</x:t>
        </x:is>
      </x:c>
    </x:row>
    <x:row r="4">
      <x:c r="A4" s="127" t="inlineStr">
        <x:is>
          <x:t xml:space="preserve">L0 - Read</x:t>
        </x:is>
      </x:c>
      <x:c r="B4" s="127" t="inlineStr">
        <x:is>
          <x:t xml:space="preserve">Read files, logs, search docs</x:t>
        </x:is>
      </x:c>
      <x:c r="C4" s="127" t="inlineStr">
        <x:is>
          <x:t xml:space="preserve">Automatic</x:t>
        </x:is>
      </x:c>
      <x:c r="D4" s="127" t="inlineStr">
        <x:is>
          <x:t xml:space="preserve">No side effect</x:t>
        </x:is>
      </x:c>
    </x:row>
    <x:row r="5">
      <x:c r="A5" s="127" t="inlineStr">
        <x:is>
          <x:t xml:space="preserve">L1 - Normal Dev</x:t>
        </x:is>
      </x:c>
      <x:c r="B5" s="127" t="inlineStr">
        <x:is>
          <x:t xml:space="preserve">Scoped code patch, tests, preview</x:t>
        </x:is>
      </x:c>
      <x:c r="C5" s="127" t="inlineStr">
        <x:is>
          <x:t xml:space="preserve">Automatic after plan + impact checks</x:t>
        </x:is>
      </x:c>
      <x:c r="D5" s="127" t="inlineStr">
        <x:is>
          <x:t xml:space="preserve">Normal development stays fast</x:t>
        </x:is>
      </x:c>
    </x:row>
    <x:row r="6">
      <x:c r="A6" s="127" t="inlineStr">
        <x:is>
          <x:t xml:space="preserve">L2 - Material</x:t>
        </x:is>
      </x:c>
      <x:c r="B6" s="127" t="inlineStr">
        <x:is>
          <x:t xml:space="preserve">New dependency, reversible migration, new integration</x:t>
        </x:is>
      </x:c>
      <x:c r="C6" s="127" t="inlineStr">
        <x:is>
          <x:t xml:space="preserve">Policy-based approval</x:t>
        </x:is>
      </x:c>
      <x:c r="D6" s="127" t="inlineStr">
        <x:is>
          <x:t xml:space="preserve">May auto-run in trusted workspace</x:t>
        </x:is>
      </x:c>
    </x:row>
    <x:row r="7">
      <x:c r="A7" s="127" t="inlineStr">
        <x:is>
          <x:t xml:space="preserve">L3 - Destructive / External</x:t>
        </x:is>
      </x:c>
      <x:c r="B7" s="127" t="inlineStr">
        <x:is>
          <x:t xml:space="preserve">Destructive migration, production deploy, DNS, send real messages, broaden secret scope</x:t>
        </x:is>
      </x:c>
      <x:c r="C7" s="127" t="inlineStr">
        <x:is>
          <x:t xml:space="preserve">Explicit human approval</x:t>
        </x:is>
      </x:c>
      <x:c r="D7" s="127" t="inlineStr">
        <x:is>
          <x:t xml:space="preserve">Always show impact + rollback</x:t>
        </x:is>
      </x:c>
    </x:row>
    <x:row r="8">
      <x:c r="A8" s="127" t="inlineStr">
        <x:is>
          <x:t xml:space="preserve">L4 - Critical Enterprise</x:t>
        </x:is>
      </x:c>
      <x:c r="B8" s="127" t="inlineStr">
        <x:is>
          <x:t xml:space="preserve">Payment movement, signing-key policy, privileged infra, mass delete</x:t>
        </x:is>
      </x:c>
      <x:c r="C8" s="127" t="inlineStr">
        <x:is>
          <x:t xml:space="preserve">Privileged approval / optional two-person rule</x:t>
        </x:is>
      </x:c>
      <x:c r="D8" s="127" t="inlineStr">
        <x:is>
          <x:t xml:space="preserve">Strong identity + immutable audit</x:t>
        </x:is>
      </x:c>
    </x:row>
  </x:sheetData>
  <x:mergeCells>
    <x:mergeCell ref="A1:D1"/>
    <x:mergeCell ref="A2:D2"/>
  </x:mergeCells>
  <x:pageMargins left="0.7" right="0.7" top="0.75" bottom="0.75" header="0.3" footer="0.3"/>
</x:worksheet>
</file>

<file path=xl/worksheets/sheet39.xml><?xml version="1.0" encoding="utf-8"?>
<x:worksheet xmlns:x="http://schemas.openxmlformats.org/spreadsheetml/2006/main">
  <x:sheetFormatPr baseColWidth="8" defaultRowHeight="15"/>
  <x:cols>
    <x:col min="1" max="1" width="24" style="40" customWidth="1"/>
    <x:col min="2" max="2" width="30" style="40" customWidth="1"/>
    <x:col min="3" max="3" width="48" style="40" customWidth="1"/>
    <x:col min="4" max="4" width="34" style="40" customWidth="1"/>
    <x:col min="5" max="5" width="48" style="40" customWidth="1"/>
    <x:col min="6" max="6" width="30" style="40" customWidth="1"/>
  </x:cols>
  <x:sheetData>
    <x:row r="1" s="40" customFormat="1" ht="28" customHeight="1">
      <x:c r="A1" s="398" t="inlineStr">
        <x:is>
          <x:t xml:space="preserve">Cloud, Hybrid Local &amp; Enterprise Private Execution</x:t>
        </x:is>
      </x:c>
      <x:c r="B1" s="375" t="n"/>
      <x:c r="C1" s="375" t="n"/>
      <x:c r="D1" s="375" t="n"/>
      <x:c r="E1" s="375" t="n"/>
      <x:c r="F1" s="375" t="n"/>
    </x:row>
    <x:row r="2" s="40" customFormat="1" ht="38" customHeight="1">
      <x:c r="A2" s="399" t="inlineStr">
        <x:is>
          <x:t xml:space="preserve">Execution mode is a product choice. Local/private execution must not weaken cloud isolation or silently broaden permissions.</x:t>
        </x:is>
      </x:c>
      <x:c r="B2" s="375" t="n"/>
      <x:c r="C2" s="375" t="n"/>
      <x:c r="D2" s="375" t="n"/>
      <x:c r="E2" s="375" t="n"/>
      <x:c r="F2" s="375" t="n"/>
    </x:row>
    <x:row r="3">
      <x:c r="A3" s="124" t="inlineStr">
        <x:is>
          <x:t xml:space="preserve">Mode</x:t>
        </x:is>
      </x:c>
      <x:c r="B3" s="124" t="inlineStr">
        <x:is>
          <x:t xml:space="preserve">Where It Runs</x:t>
        </x:is>
      </x:c>
      <x:c r="C3" s="124" t="inlineStr">
        <x:is>
          <x:t xml:space="preserve">How It Works</x:t>
        </x:is>
      </x:c>
      <x:c r="D3" s="124" t="inlineStr">
        <x:is>
          <x:t xml:space="preserve">Best For</x:t>
        </x:is>
      </x:c>
      <x:c r="E3" s="124" t="inlineStr">
        <x:is>
          <x:t xml:space="preserve">Security Rule</x:t>
        </x:is>
      </x:c>
      <x:c r="F3" s="124" t="inlineStr">
        <x:is>
          <x:t xml:space="preserve">Cost Effect</x:t>
        </x:is>
      </x:c>
    </x:row>
    <x:row r="4">
      <x:c r="A4" s="127" t="inlineStr">
        <x:is>
          <x:t xml:space="preserve">Cloud Standard</x:t>
        </x:is>
      </x:c>
      <x:c r="B4" s="127" t="inlineStr">
        <x:is>
          <x:t xml:space="preserve">Platform cloud</x:t>
        </x:is>
      </x:c>
      <x:c r="C4" s="127" t="inlineStr">
        <x:is>
          <x:t xml:space="preserve">Managed gateway + managed sandboxes</x:t>
        </x:is>
      </x:c>
      <x:c r="D4" s="127" t="inlineStr">
        <x:is>
          <x:t xml:space="preserve">All OS/browser users</x:t>
        </x:is>
      </x:c>
      <x:c r="E4" s="127" t="inlineStr">
        <x:is>
          <x:t xml:space="preserve">Default; easiest onboarding</x:t>
        </x:is>
      </x:c>
      <x:c r="F4" s="127" t="inlineStr">
        <x:is>
          <x:t xml:space="preserve">Platform compute cost</x:t>
        </x:is>
      </x:c>
    </x:row>
    <x:row r="5">
      <x:c r="A5" s="127" t="inlineStr">
        <x:is>
          <x:t xml:space="preserve">Hybrid Local</x:t>
        </x:is>
      </x:c>
      <x:c r="B5" s="127" t="inlineStr">
        <x:is>
          <x:t xml:space="preserve">Customer Mac/Windows/Linux + optional cloud</x:t>
        </x:is>
      </x:c>
      <x:c r="C5" s="127" t="inlineStr">
        <x:is>
          <x:t xml:space="preserve">Signed Local Agent executes selected tasks locally</x:t>
        </x:is>
      </x:c>
      <x:c r="D5" s="127" t="inlineStr">
        <x:is>
          <x:t xml:space="preserve">Developers/agencies/privacy-sensitive</x:t>
        </x:is>
      </x:c>
      <x:c r="E5" s="127" t="inlineStr">
        <x:is>
          <x:t xml:space="preserve">Explicit folder grants and visible logs</x:t>
        </x:is>
      </x:c>
      <x:c r="F5" s="127" t="inlineStr">
        <x:is>
          <x:t xml:space="preserve">Reduces cloud compute; local trust mode</x:t>
        </x:is>
      </x:c>
    </x:row>
    <x:row r="6">
      <x:c r="A6" s="127" t="inlineStr">
        <x:is>
          <x:t xml:space="preserve">Enterprise Private / BYOC</x:t>
        </x:is>
      </x:c>
      <x:c r="B6" s="127" t="inlineStr">
        <x:is>
          <x:t xml:space="preserve">Customer VPC/private runners</x:t>
        </x:is>
      </x:c>
      <x:c r="C6" s="127" t="inlineStr">
        <x:is>
          <x:t xml:space="preserve">Customer execution environment + central platform policy</x:t>
        </x:is>
      </x:c>
      <x:c r="D6" s="127" t="inlineStr">
        <x:is>
          <x:t xml:space="preserve">Regulated/enterprise</x:t>
        </x:is>
      </x:c>
      <x:c r="E6" s="127" t="inlineStr">
        <x:is>
          <x:t xml:space="preserve">Data residency/private networking</x:t>
        </x:is>
      </x:c>
      <x:c r="F6" s="127" t="inlineStr">
        <x:is>
          <x:t xml:space="preserve">Enterprise pricing / customer compute</x:t>
        </x:is>
      </x:c>
    </x:row>
  </x:sheetData>
  <x:mergeCells>
    <x:mergeCell ref="A2:F2"/>
    <x:mergeCell ref="A1:F1"/>
  </x:mergeCells>
  <x:pageMargins left="0.7" right="0.7" top="0.75" bottom="0.75" header="0.3" footer="0.3"/>
</x:worksheet>
</file>

<file path=xl/worksheets/sheet40.xml><?xml version="1.0" encoding="utf-8"?>
<x:worksheet xmlns:x="http://schemas.openxmlformats.org/spreadsheetml/2006/main">
  <x:sheetFormatPr baseColWidth="8" defaultRowHeight="15"/>
  <x:cols>
    <x:col min="1" max="1" width="23" style="40" customWidth="1"/>
    <x:col min="2" max="2" width="25" style="40" customWidth="1"/>
    <x:col min="3" max="3" width="28" style="40" customWidth="1"/>
    <x:col min="4" max="4" width="34" style="40" customWidth="1"/>
    <x:col min="5" max="5" width="39" style="40" customWidth="1"/>
    <x:col min="6" max="6" width="20" style="40" customWidth="1"/>
    <x:col min="7" max="7" width="14" style="40" customWidth="1"/>
  </x:cols>
  <x:sheetData>
    <x:row r="1" s="40" customFormat="1" ht="30" customHeight="1">
      <x:c r="A1" s="380" t="inlineStr">
        <x:is>
          <x:t xml:space="preserve">OmniStackAI V5 — Backend Profiles</x:t>
        </x:is>
      </x:c>
      <x:c r="B1" s="375" t="n"/>
      <x:c r="C1" s="375" t="n"/>
      <x:c r="D1" s="375" t="n"/>
      <x:c r="E1" s="375" t="n"/>
      <x:c r="F1" s="375" t="n"/>
      <x:c r="G1" s="375" t="n"/>
    </x:row>
    <x:row r="2" s="40" customFormat="1" ht="34" customHeight="1">
      <x:c r="A2" s="381" t="inlineStr">
        <x:is>
          <x:t xml:space="preserve">Generated customer backend/database options. OmniStackAI itself stays on PostgreSQL control-plane data.</x:t>
        </x:is>
      </x:c>
      <x:c r="B2" s="375" t="n"/>
      <x:c r="C2" s="375" t="n"/>
      <x:c r="D2" s="375" t="n"/>
      <x:c r="E2" s="375" t="n"/>
      <x:c r="F2" s="375" t="n"/>
      <x:c r="G2" s="375" t="n"/>
    </x:row>
    <x:row r="3">
      <x:c r="A3" s="124" t="n"/>
      <x:c r="B3" s="124" t="n"/>
      <x:c r="C3" s="124" t="n"/>
      <x:c r="D3" s="124" t="n"/>
    </x:row>
    <x:row r="4" s="40" customFormat="1" ht="28" customHeight="1">
      <x:c r="A4" s="141" t="inlineStr">
        <x:is>
          <x:t xml:space="preserve">Profile</x:t>
        </x:is>
      </x:c>
      <x:c r="B4" s="142" t="inlineStr">
        <x:is>
          <x:t xml:space="preserve">Backend</x:t>
        </x:is>
      </x:c>
      <x:c r="C4" s="142" t="inlineStr">
        <x:is>
          <x:t xml:space="preserve">Database</x:t>
        </x:is>
      </x:c>
      <x:c r="D4" s="142" t="inlineStr">
        <x:is>
          <x:t xml:space="preserve">Best Fit</x:t>
        </x:is>
      </x:c>
      <x:c r="E4" s="142" t="inlineStr">
        <x:is>
          <x:t xml:space="preserve">Avoid / Escalate When</x:t>
        </x:is>
      </x:c>
      <x:c r="F4" s="142" t="inlineStr">
        <x:is>
          <x:t xml:space="preserve">Default?</x:t>
        </x:is>
      </x:c>
      <x:c r="G4" s="143" t="inlineStr">
        <x:is>
          <x:t xml:space="preserve">Phase</x:t>
        </x:is>
      </x:c>
    </x:row>
    <x:row r="5">
      <x:c r="A5" s="144" t="inlineStr">
        <x:is>
          <x:t xml:space="preserve">Auto / Recommended</x:t>
        </x:is>
      </x:c>
      <x:c r="B5" s="145" t="inlineStr">
        <x:is>
          <x:t xml:space="preserve">Go or Python</x:t>
        </x:is>
      </x:c>
      <x:c r="C5" s="145" t="inlineStr">
        <x:is>
          <x:t xml:space="preserve">PostgreSQL default</x:t>
        </x:is>
      </x:c>
      <x:c r="D5" s="145" t="inlineStr">
        <x:is>
          <x:t xml:space="preserve">most commercial products</x:t>
        </x:is>
      </x:c>
      <x:c r="E5" s="145" t="inlineStr">
        <x:is>
          <x:t xml:space="preserve">actual requirements prefer BaaS/document/existing DB</x:t>
        </x:is>
      </x:c>
      <x:c r="F5" s="145" t="inlineStr">
        <x:is>
          <x:t xml:space="preserve">Yes</x:t>
        </x:is>
      </x:c>
      <x:c r="G5" s="146" t="inlineStr">
        <x:is>
          <x:t xml:space="preserve">MVP</x:t>
        </x:is>
      </x:c>
    </x:row>
    <x:row r="6">
      <x:c r="A6" s="223" t="inlineStr">
        <x:is>
          <x:t xml:space="preserve">Rapid BaaS</x:t>
        </x:is>
      </x:c>
      <x:c r="B6" s="284" t="inlineStr">
        <x:is>
          <x:t xml:space="preserve">Supabase functions / Firebase</x:t>
        </x:is>
      </x:c>
      <x:c r="C6" s="284" t="inlineStr">
        <x:is>
          <x:t xml:space="preserve">Supabase/Postgres or Firestore</x:t>
        </x:is>
      </x:c>
      <x:c r="D6" s="284" t="inlineStr">
        <x:is>
          <x:t xml:space="preserve">prototypes/small-medium/realtime</x:t>
        </x:is>
      </x:c>
      <x:c r="E6" s="284" t="inlineStr">
        <x:is>
          <x:t xml:space="preserve">complex transactions, portability, unusual compliance</x:t>
        </x:is>
      </x:c>
      <x:c r="F6" s="284" t="inlineStr">
        <x:is>
          <x:t xml:space="preserve">Optional</x:t>
        </x:is>
      </x:c>
      <x:c r="G6" s="225" t="inlineStr">
        <x:is>
          <x:t xml:space="preserve">MVP/MID</x:t>
        </x:is>
      </x:c>
    </x:row>
    <x:row r="7">
      <x:c r="A7" s="147" t="inlineStr">
        <x:is>
          <x:t xml:space="preserve">Managed Custom API</x:t>
        </x:is>
      </x:c>
      <x:c r="B7" s="148" t="inlineStr">
        <x:is>
          <x:t xml:space="preserve">Go or Python</x:t>
        </x:is>
      </x:c>
      <x:c r="C7" s="148" t="inlineStr">
        <x:is>
          <x:t xml:space="preserve">PostgreSQL</x:t>
        </x:is>
      </x:c>
      <x:c r="D7" s="148" t="inlineStr">
        <x:is>
          <x:t xml:space="preserve">serious commercial products</x:t>
        </x:is>
      </x:c>
      <x:c r="E7" s="148" t="inlineStr">
        <x:is>
          <x:t xml:space="preserve">only change if ecosystem need</x:t>
        </x:is>
      </x:c>
      <x:c r="F7" s="148" t="inlineStr">
        <x:is>
          <x:t xml:space="preserve">Preferred serious profile</x:t>
        </x:is>
      </x:c>
      <x:c r="G7" s="149" t="inlineStr">
        <x:is>
          <x:t xml:space="preserve">MVP</x:t>
        </x:is>
      </x:c>
    </x:row>
    <x:row r="8">
      <x:c r="A8" s="223" t="inlineStr">
        <x:is>
          <x:t xml:space="preserve">TypeScript API</x:t>
        </x:is>
      </x:c>
      <x:c r="B8" s="284" t="inlineStr">
        <x:is>
          <x:t xml:space="preserve">Node/NestJS</x:t>
        </x:is>
      </x:c>
      <x:c r="C8" s="284" t="inlineStr">
        <x:is>
          <x:t xml:space="preserve">PostgreSQL / appropriate store</x:t>
        </x:is>
      </x:c>
      <x:c r="D8" s="284" t="inlineStr">
        <x:is>
          <x:t xml:space="preserve">end-to-end TS team/ecosystem</x:t>
        </x:is>
      </x:c>
      <x:c r="E8" s="284" t="inlineStr">
        <x:is>
          <x:t xml:space="preserve">no concrete TS benefit</x:t>
        </x:is>
      </x:c>
      <x:c r="F8" s="284" t="inlineStr">
        <x:is>
          <x:t xml:space="preserve">Optional</x:t>
        </x:is>
      </x:c>
      <x:c r="G8" s="225" t="inlineStr">
        <x:is>
          <x:t xml:space="preserve">MID</x:t>
        </x:is>
      </x:c>
    </x:row>
    <x:row r="9">
      <x:c r="A9" s="147" t="inlineStr">
        <x:is>
          <x:t xml:space="preserve">Document profile</x:t>
        </x:is>
      </x:c>
      <x:c r="B9" s="148" t="inlineStr">
        <x:is>
          <x:t xml:space="preserve">Go/Python/Node</x:t>
        </x:is>
      </x:c>
      <x:c r="C9" s="148" t="inlineStr">
        <x:is>
          <x:t xml:space="preserve">MongoDB</x:t>
        </x:is>
      </x:c>
      <x:c r="D9" s="148" t="inlineStr">
        <x:is>
          <x:t xml:space="preserve">document-heavy/flexible schema</x:t>
        </x:is>
      </x:c>
      <x:c r="E9" s="148" t="inlineStr">
        <x:is>
          <x:t xml:space="preserve">relationship-heavy financial/order/inventory model</x:t>
        </x:is>
      </x:c>
      <x:c r="F9" s="148" t="inlineStr">
        <x:is>
          <x:t xml:space="preserve">Optional</x:t>
        </x:is>
      </x:c>
      <x:c r="G9" s="149" t="inlineStr">
        <x:is>
          <x:t xml:space="preserve">MID</x:t>
        </x:is>
      </x:c>
    </x:row>
    <x:row r="10">
      <x:c r="A10" s="239" t="inlineStr">
        <x:is>
          <x:t xml:space="preserve">Enterprise / Existing</x:t>
        </x:is>
      </x:c>
      <x:c r="B10" s="240" t="inlineStr">
        <x:is>
          <x:t xml:space="preserve">customer-defined</x:t>
        </x:is>
      </x:c>
      <x:c r="C10" s="240" t="inlineStr">
        <x:is>
          <x:t xml:space="preserve">existing DB</x:t>
        </x:is>
      </x:c>
      <x:c r="D10" s="240" t="inlineStr">
        <x:is>
          <x:t xml:space="preserve">mature enterprise systems</x:t>
        </x:is>
      </x:c>
      <x:c r="E10" s="240" t="inlineStr">
        <x:is>
          <x:t xml:space="preserve">migration has no measured benefit</x:t>
        </x:is>
      </x:c>
      <x:c r="F10" s="240" t="inlineStr">
        <x:is>
          <x:t xml:space="preserve">Optional</x:t>
        </x:is>
      </x:c>
      <x:c r="G10" s="241" t="inlineStr">
        <x:is>
          <x:t xml:space="preserve">ADV</x:t>
        </x:is>
      </x:c>
    </x:row>
  </x:sheetData>
  <x:mergeCells>
    <x:mergeCell ref="A1:D1"/>
    <x:mergeCell ref="A2:G2"/>
    <x:mergeCell ref="A1:G1"/>
    <x:mergeCell ref="A2:D2"/>
  </x:mergeCells>
  <x:pageMargins left="0.7" right="0.7" top="0.75" bottom="0.75" header="0.3" footer="0.3"/>
</x:worksheet>
</file>

<file path=xl/worksheets/sheet41.xml><?xml version="1.0" encoding="utf-8"?>
<x:worksheet xmlns:x="http://schemas.openxmlformats.org/spreadsheetml/2006/main">
  <x:sheetFormatPr baseColWidth="8" defaultRowHeight="15"/>
  <x:cols>
    <x:col min="1" max="1" width="24" style="40" customWidth="1"/>
    <x:col min="2" max="2" width="82" style="40" customWidth="1"/>
    <x:col min="3" max="3" width="14" style="40" customWidth="1"/>
    <x:col min="4" max="4" width="58" style="40" customWidth="1"/>
  </x:cols>
  <x:sheetData>
    <x:row r="1" s="40" customFormat="1" ht="28" customHeight="1">
      <x:c r="A1" s="398" t="inlineStr">
        <x:is>
          <x:t xml:space="preserve">Real-Time Agent Streaming Protocol</x:t>
        </x:is>
      </x:c>
      <x:c r="B1" s="375" t="n"/>
      <x:c r="C1" s="375" t="n"/>
      <x:c r="D1" s="375" t="n"/>
    </x:row>
    <x:row r="2" s="40" customFormat="1" ht="38" customHeight="1">
      <x:c r="A2" s="399" t="inlineStr">
        <x:is>
          <x:t xml:space="preserve">Frontend consumes a platform-owned event protocol. Provider-specific streams are normalized at the backend boundary.</x:t>
        </x:is>
      </x:c>
      <x:c r="B2" s="375" t="n"/>
      <x:c r="C2" s="375" t="n"/>
      <x:c r="D2" s="375" t="n"/>
    </x:row>
    <x:row r="3">
      <x:c r="A3" s="124" t="inlineStr">
        <x:is>
          <x:t xml:space="preserve">Component</x:t>
        </x:is>
      </x:c>
      <x:c r="B3" s="124" t="inlineStr">
        <x:is>
          <x:t xml:space="preserve">Use</x:t>
        </x:is>
      </x:c>
      <x:c r="C3" s="124" t="inlineStr">
        <x:is>
          <x:t xml:space="preserve">Phase</x:t>
        </x:is>
      </x:c>
      <x:c r="D3" s="124" t="inlineStr">
        <x:is>
          <x:t xml:space="preserve">Rule</x:t>
        </x:is>
      </x:c>
    </x:row>
    <x:row r="4">
      <x:c r="A4" s="127" t="inlineStr">
        <x:is>
          <x:t xml:space="preserve">WebSocket</x:t>
        </x:is>
      </x:c>
      <x:c r="B4" s="127" t="inlineStr">
        <x:is>
          <x:t xml:space="preserve">Bidirectional agent sessions, approvals, terminal and simulator control</x:t>
        </x:is>
      </x:c>
      <x:c r="C4" s="127" t="inlineStr">
        <x:is>
          <x:t xml:space="preserve">MVP</x:t>
        </x:is>
      </x:c>
      <x:c r="D4" s="127" t="inlineStr">
        <x:is>
          <x:t xml:space="preserve">Reconnect replays missed events from ledger</x:t>
        </x:is>
      </x:c>
    </x:row>
    <x:row r="5">
      <x:c r="A5" s="127" t="inlineStr">
        <x:is>
          <x:t xml:space="preserve">SSE</x:t>
        </x:is>
      </x:c>
      <x:c r="B5" s="127" t="inlineStr">
        <x:is>
          <x:t xml:space="preserve">Simple one-way token/progress streaming</x:t>
        </x:is>
      </x:c>
      <x:c r="C5" s="127" t="inlineStr">
        <x:is>
          <x:t xml:space="preserve">MVP</x:t>
        </x:is>
      </x:c>
      <x:c r="D5" s="127" t="inlineStr">
        <x:is>
          <x:t xml:space="preserve">Use only when bidirectional control is unnecessary</x:t>
        </x:is>
      </x:c>
    </x:row>
    <x:row r="6">
      <x:c r="A6" s="127" t="inlineStr">
        <x:is>
          <x:t xml:space="preserve">Standard Envelope</x:t>
        </x:is>
      </x:c>
      <x:c r="B6" s="127" t="inlineStr">
        <x:is>
          <x:t xml:space="preserve">event_id, run_id, task_id, sequence, timestamp, type, stage, status, summary, payload_ref, cost_delta, tool_id, requires_approval</x:t>
        </x:is>
      </x:c>
      <x:c r="C6" s="127" t="inlineStr">
        <x:is>
          <x:t xml:space="preserve">MVP</x:t>
        </x:is>
      </x:c>
      <x:c r="D6" s="127" t="inlineStr">
        <x:is>
          <x:t xml:space="preserve">Frontend never parses vendor-specific model streams</x:t>
        </x:is>
      </x:c>
    </x:row>
    <x:row r="7">
      <x:c r="A7" s="127" t="inlineStr">
        <x:is>
          <x:t xml:space="preserve">Core Events</x:t>
        </x:is>
      </x:c>
      <x:c r="B7" s="127" t="inlineStr">
        <x:is>
          <x:t xml:space="preserve">run.started; plan.updated; agent.started; model.delta; tool.*; file.patch; build.*; test.result; approval.required; cost.updated; preview.ready; run.failed; run.completed</x:t>
        </x:is>
      </x:c>
      <x:c r="C7" s="127" t="inlineStr">
        <x:is>
          <x:t xml:space="preserve">MVP</x:t>
        </x:is>
      </x:c>
      <x:c r="D7" s="127" t="inlineStr">
        <x:is>
          <x:t xml:space="preserve">Ordered and replayable</x:t>
        </x:is>
      </x:c>
    </x:row>
  </x:sheetData>
  <x:mergeCells>
    <x:mergeCell ref="A1:D1"/>
    <x:mergeCell ref="A2:D2"/>
  </x:mergeCells>
  <x:pageMargins left="0.7" right="0.7" top="0.75" bottom="0.75" header="0.3" footer="0.3"/>
</x:worksheet>
</file>

<file path=xl/worksheets/sheet42.xml><?xml version="1.0" encoding="utf-8"?>
<x:worksheet xmlns:x="http://schemas.openxmlformats.org/spreadsheetml/2006/main">
  <x:sheetFormatPr baseColWidth="8" defaultRowHeight="15"/>
  <x:cols>
    <x:col min="1" max="1" width="34" style="40" customWidth="1"/>
    <x:col min="2" max="2" width="70" style="40" customWidth="1"/>
    <x:col min="3" max="3" width="16" style="40" customWidth="1"/>
    <x:col min="4" max="4" width="54" style="40" customWidth="1"/>
  </x:cols>
  <x:sheetData>
    <x:row r="1" s="40" customFormat="1" ht="28" customHeight="1">
      <x:c r="A1" s="398" t="inlineStr">
        <x:is>
          <x:t xml:space="preserve">Architecture Research Lab - Build vs Buy</x:t>
        </x:is>
      </x:c>
      <x:c r="B1" s="375" t="n"/>
      <x:c r="C1" s="375" t="n"/>
      <x:c r="D1" s="375" t="n"/>
    </x:row>
    <x:row r="2" s="40" customFormat="1" ht="38" customHeight="1">
      <x:c r="A2" s="399" t="inlineStr">
        <x:is>
          <x:t xml:space="preserve">References guide experiments; benchmark evidence and ADRs decide production architecture.</x:t>
        </x:is>
      </x:c>
      <x:c r="B2" s="375" t="n"/>
      <x:c r="C2" s="375" t="n"/>
      <x:c r="D2" s="375" t="n"/>
    </x:row>
    <x:row r="3">
      <x:c r="A3" s="124" t="inlineStr">
        <x:is>
          <x:t xml:space="preserve">Experiment</x:t>
        </x:is>
      </x:c>
      <x:c r="B3" s="124" t="inlineStr">
        <x:is>
          <x:t xml:space="preserve">Measure</x:t>
        </x:is>
      </x:c>
      <x:c r="C3" s="124" t="inlineStr">
        <x:is>
          <x:t xml:space="preserve">Phase</x:t>
        </x:is>
      </x:c>
      <x:c r="D3" s="124" t="inlineStr">
        <x:is>
          <x:t xml:space="preserve">Decision Output</x:t>
        </x:is>
      </x:c>
    </x:row>
    <x:row r="4">
      <x:c r="A4" s="127" t="inlineStr">
        <x:is>
          <x:t xml:space="preserve">WebContainers vs cloud sandbox</x:t>
        </x:is>
      </x:c>
      <x:c r="B4" s="127" t="inlineStr">
        <x:is>
          <x:t xml:space="preserve">Cold start, capabilities, preview, cost, isolation, package support</x:t>
        </x:is>
      </x:c>
      <x:c r="C4" s="127" t="inlineStr">
        <x:is>
          <x:t xml:space="preserve">MVP</x:t>
        </x:is>
      </x:c>
      <x:c r="D4" s="127" t="inlineStr">
        <x:is>
          <x:t xml:space="preserve">Choose Tier-0 browser usage boundary</x:t>
        </x:is>
      </x:c>
    </x:row>
    <x:row r="5">
      <x:c r="A5" s="127" t="inlineStr">
        <x:is>
          <x:t xml:space="preserve">E2B vs Daytona vs own runner</x:t>
        </x:is>
      </x:c>
      <x:c r="B5" s="127" t="inlineStr">
        <x:is>
          <x:t xml:space="preserve">Language/toolchain support, isolation, snapshot, port, network policy, cost, regions</x:t>
        </x:is>
      </x:c>
      <x:c r="C5" s="127" t="inlineStr">
        <x:is>
          <x:t xml:space="preserve">MVP</x:t>
        </x:is>
      </x:c>
      <x:c r="D5" s="127" t="inlineStr">
        <x:is>
          <x:t xml:space="preserve">Select first SandboxProvider adapter</x:t>
        </x:is>
      </x:c>
    </x:row>
    <x:row r="6">
      <x:c r="A6" s="127" t="inlineStr">
        <x:is>
          <x:t xml:space="preserve">LangGraph vs alternative durable runtime</x:t>
        </x:is>
      </x:c>
      <x:c r="B6" s="127" t="inlineStr">
        <x:is>
          <x:t xml:space="preserve">Checkpointing, HITL, streaming, retries, persistence, lock-in</x:t>
        </x:is>
      </x:c>
      <x:c r="C6" s="127" t="inlineStr">
        <x:is>
          <x:t xml:space="preserve">MVP</x:t>
        </x:is>
      </x:c>
      <x:c r="D6" s="127" t="inlineStr">
        <x:is>
          <x:t xml:space="preserve">Select first Orchestrator Adapter</x:t>
        </x:is>
      </x:c>
    </x:row>
    <x:row r="7">
      <x:c r="A7" s="127" t="inlineStr">
        <x:is>
          <x:t xml:space="preserve">Cloud-only vs Hybrid Local</x:t>
        </x:is>
      </x:c>
      <x:c r="B7" s="127" t="inlineStr">
        <x:is>
          <x:t xml:space="preserve">Security, UX, privacy, local permissions, cost</x:t>
        </x:is>
      </x:c>
      <x:c r="C7" s="127" t="inlineStr">
        <x:is>
          <x:t xml:space="preserve">MVP/MID</x:t>
        </x:is>
      </x:c>
      <x:c r="D7" s="127" t="inlineStr">
        <x:is>
          <x:t xml:space="preserve">Design Local Agent before productizing</x:t>
        </x:is>
      </x:c>
    </x:row>
    <x:row r="8">
      <x:c r="A8" s="127" t="inlineStr">
        <x:is>
          <x:t xml:space="preserve">Supabase/Firebase vs custom API</x:t>
        </x:is>
      </x:c>
      <x:c r="B8" s="127" t="inlineStr">
        <x:is>
          <x:t xml:space="preserve">Data model, transactions, portability, multi-tenancy, price</x:t>
        </x:is>
      </x:c>
      <x:c r="C8" s="127" t="inlineStr">
        <x:is>
          <x:t xml:space="preserve">MVP</x:t>
        </x:is>
      </x:c>
      <x:c r="D8" s="127" t="inlineStr">
        <x:is>
          <x:t xml:space="preserve">Define Rapid BaaS boundary</x:t>
        </x:is>
      </x:c>
    </x:row>
    <x:row r="9">
      <x:c r="A9" s="127" t="inlineStr">
        <x:is>
          <x:t xml:space="preserve">WebSocket reconnect/replay</x:t>
        </x:is>
      </x:c>
      <x:c r="B9" s="127" t="inlineStr">
        <x:is>
          <x:t xml:space="preserve">Concurrent sessions, backpressure, ordered replay, reconnect latency</x:t>
        </x:is>
      </x:c>
      <x:c r="C9" s="127" t="inlineStr">
        <x:is>
          <x:t xml:space="preserve">MVP</x:t>
        </x:is>
      </x:c>
      <x:c r="D9" s="127" t="inlineStr">
        <x:is>
          <x:t xml:space="preserve">Validate realtime protocol</x:t>
        </x:is>
      </x:c>
    </x:row>
    <x:row r="10">
      <x:c r="A10" s="127" t="inlineStr">
        <x:is>
          <x:t xml:space="preserve">Provider benchmark automation</x:t>
        </x:is>
      </x:c>
      <x:c r="B10" s="127" t="inlineStr">
        <x:is>
          <x:t xml:space="preserve">Cost/latency/reliability per runtime/model/tool provider</x:t>
        </x:is>
      </x:c>
      <x:c r="C10" s="127" t="inlineStr">
        <x:is>
          <x:t xml:space="preserve">ADVANCED</x:t>
        </x:is>
      </x:c>
      <x:c r="D10" s="127" t="inlineStr">
        <x:is>
          <x:t xml:space="preserve">Support automatic routing and vendor review</x:t>
        </x:is>
      </x:c>
    </x:row>
  </x:sheetData>
  <x:mergeCells>
    <x:mergeCell ref="A1:D1"/>
    <x:mergeCell ref="A2:D2"/>
  </x:mergeCells>
  <x:pageMargins left="0.7" right="0.7" top="0.75" bottom="0.75" header="0.3" footer="0.3"/>
</x:worksheet>
</file>

<file path=xl/worksheets/sheet43.xml><?xml version="1.0" encoding="utf-8"?>
<x:worksheet xmlns:x="http://schemas.openxmlformats.org/spreadsheetml/2006/main">
  <x:sheetFormatPr baseColWidth="8" defaultRowHeight="15"/>
  <x:cols>
    <x:col min="1" max="1" width="30" style="40" customWidth="1"/>
    <x:col min="2" max="2" width="110" style="40" customWidth="1"/>
  </x:cols>
  <x:sheetData>
    <x:row r="1" s="40" customFormat="1" ht="28" customHeight="1">
      <x:c r="A1" s="398" t="inlineStr">
        <x:is>
          <x:t xml:space="preserve">Team Glossary</x:t>
        </x:is>
      </x:c>
      <x:c r="B1" s="375" t="n"/>
    </x:row>
    <x:row r="2" s="40" customFormat="1" ht="38" customHeight="1">
      <x:c r="A2" s="399" t="inlineStr">
        <x:is>
          <x:t xml:space="preserve">Use the same vocabulary in requirements, code, dashboards, architecture reviews and AI prompts.</x:t>
        </x:is>
      </x:c>
      <x:c r="B2" s="375" t="n"/>
    </x:row>
    <x:row r="3">
      <x:c r="A3" s="124" t="inlineStr">
        <x:is>
          <x:t xml:space="preserve">Term</x:t>
        </x:is>
      </x:c>
      <x:c r="B3" s="124" t="inlineStr">
        <x:is>
          <x:t xml:space="preserve">Platform Meaning</x:t>
        </x:is>
      </x:c>
    </x:row>
    <x:row r="4">
      <x:c r="A4" s="127" t="inlineStr">
        <x:is>
          <x:t xml:space="preserve">Agent</x:t>
        </x:is>
      </x:c>
      <x:c r="B4" s="127" t="inlineStr">
        <x:is>
          <x:t xml:space="preserve">LLM-driven worker with one bounded job and allowed tools</x:t>
        </x:is>
      </x:c>
    </x:row>
    <x:row r="5">
      <x:c r="A5" s="127" t="inlineStr">
        <x:is>
          <x:t xml:space="preserve">Tool Call</x:t>
        </x:is>
      </x:c>
      <x:c r="B5" s="127" t="inlineStr">
        <x:is>
          <x:t xml:space="preserve">Structured request to platform code; model never executes directly</x:t>
        </x:is>
      </x:c>
    </x:row>
    <x:row r="6">
      <x:c r="A6" s="127" t="inlineStr">
        <x:is>
          <x:t xml:space="preserve">Supervisor</x:t>
        </x:is>
      </x:c>
      <x:c r="B6" s="127" t="inlineStr">
        <x:is>
          <x:t xml:space="preserve">Controls task plan, agent activation, policy, budget and final state</x:t>
        </x:is>
      </x:c>
    </x:row>
    <x:row r="7">
      <x:c r="A7" s="127" t="inlineStr">
        <x:is>
          <x:t xml:space="preserve">Application IR</x:t>
        </x:is>
      </x:c>
      <x:c r="B7" s="127" t="inlineStr">
        <x:is>
          <x:t xml:space="preserve">Platform-owned source of truth for product behavior across frameworks</x:t>
        </x:is>
      </x:c>
    </x:row>
    <x:row r="8">
      <x:c r="A8" s="127" t="inlineStr">
        <x:is>
          <x:t xml:space="preserve">Change Impact Engine</x:t>
        </x:is>
      </x:c>
      <x:c r="B8" s="127" t="inlineStr">
        <x:is>
          <x:t xml:space="preserve">Predicts allowed modules/APIs/schema/tests before edits</x:t>
        </x:is>
      </x:c>
    </x:row>
    <x:row r="9">
      <x:c r="A9" s="127" t="inlineStr">
        <x:is>
          <x:t xml:space="preserve">Sandbox</x:t>
        </x:is>
      </x:c>
      <x:c r="B9" s="127" t="inlineStr">
        <x:is>
          <x:t xml:space="preserve">Isolated disposable execution environment for untrusted code</x:t>
        </x:is>
      </x:c>
    </x:row>
    <x:row r="10">
      <x:c r="A10" s="127" t="inlineStr">
        <x:is>
          <x:t xml:space="preserve">Browser Runtime</x:t>
        </x:is>
      </x:c>
      <x:c r="B10" s="127" t="inlineStr">
        <x:is>
          <x:t xml:space="preserve">Client-side JS/WASM execution only where capabilities fit</x:t>
        </x:is>
      </x:c>
    </x:row>
    <x:row r="11">
      <x:c r="A11" s="127" t="inlineStr">
        <x:is>
          <x:t xml:space="preserve">Runtime Provider</x:t>
        </x:is>
      </x:c>
      <x:c r="B11" s="127" t="inlineStr">
        <x:is>
          <x:t xml:space="preserve">Adapter for browser/Linux/macOS/local/BYOC execution</x:t>
        </x:is>
      </x:c>
    </x:row>
    <x:row r="12">
      <x:c r="A12" s="127" t="inlineStr">
        <x:is>
          <x:t xml:space="preserve">Checkpoint</x:t>
        </x:is>
      </x:c>
      <x:c r="B12" s="127" t="inlineStr">
        <x:is>
          <x:t xml:space="preserve">Persisted recoverable point in an agent run</x:t>
        </x:is>
      </x:c>
    </x:row>
    <x:row r="13">
      <x:c r="A13" s="127" t="inlineStr">
        <x:is>
          <x:t xml:space="preserve">Event Ledger</x:t>
        </x:is>
      </x:c>
      <x:c r="B13" s="127" t="inlineStr">
        <x:is>
          <x:t xml:space="preserve">Ordered persisted task/agent/tool/build/test/approval history</x:t>
        </x:is>
      </x:c>
    </x:row>
    <x:row r="14">
      <x:c r="A14" s="127" t="inlineStr">
        <x:is>
          <x:t xml:space="preserve">HITL</x:t>
        </x:is>
      </x:c>
      <x:c r="B14" s="127" t="inlineStr">
        <x:is>
          <x:t xml:space="preserve">Human-in-the-loop approval/decision checkpoint</x:t>
        </x:is>
      </x:c>
    </x:row>
    <x:row r="15">
      <x:c r="A15" s="127" t="inlineStr">
        <x:is>
          <x:t xml:space="preserve">MCP</x:t>
        </x:is>
      </x:c>
      <x:c r="B15" s="127" t="inlineStr">
        <x:is>
          <x:t xml:space="preserve">Standard protocol for tools/resources/prompts exposed to AI clients</x:t>
        </x:is>
      </x:c>
    </x:row>
    <x:row r="16">
      <x:c r="A16" s="127" t="inlineStr">
        <x:is>
          <x:t xml:space="preserve">Tool Registry</x:t>
        </x:is>
      </x:c>
      <x:c r="B16" s="127" t="inlineStr">
        <x:is>
          <x:t xml:space="preserve">Governed tool inventory with schema, scope, risk and audit</x:t>
        </x:is>
      </x:c>
    </x:row>
    <x:row r="17">
      <x:c r="A17" s="127" t="inlineStr">
        <x:is>
          <x:t xml:space="preserve">BYOK</x:t>
        </x:is>
      </x:c>
      <x:c r="B17" s="127" t="inlineStr">
        <x:is>
          <x:t xml:space="preserve">Customer provides LLM provider key</x:t>
        </x:is>
      </x:c>
    </x:row>
    <x:row r="18">
      <x:c r="A18" s="127" t="inlineStr">
        <x:is>
          <x:t xml:space="preserve">BYOC</x:t>
        </x:is>
      </x:c>
      <x:c r="B18" s="127" t="inlineStr">
        <x:is>
          <x:t xml:space="preserve">Customer provides execution/cloud environment</x:t>
        </x:is>
      </x:c>
    </x:row>
    <x:row r="19">
      <x:c r="A19" s="127" t="inlineStr">
        <x:is>
          <x:t xml:space="preserve">BaaS</x:t>
        </x:is>
      </x:c>
      <x:c r="B19" s="127" t="inlineStr">
        <x:is>
          <x:t xml:space="preserve">Managed generated-app backend option</x:t>
        </x:is>
      </x:c>
    </x:row>
    <x:row r="20">
      <x:c r="A20" s="127" t="inlineStr">
        <x:is>
          <x:t xml:space="preserve">Structured Patch</x:t>
        </x:is>
      </x:c>
      <x:c r="B20" s="127" t="inlineStr">
        <x:is>
          <x:t xml:space="preserve">Minimal diff/symbol/AST edit rather than uncontrolled rewrite</x:t>
        </x:is>
      </x:c>
    </x:row>
    <x:row r="21">
      <x:c r="A21" s="127" t="inlineStr">
        <x:is>
          <x:t xml:space="preserve">ADR</x:t>
        </x:is>
      </x:c>
      <x:c r="B21" s="127" t="inlineStr">
        <x:is>
          <x:t xml:space="preserve">Architecture Decision Record with evidence, tradeoffs and escape plan</x:t>
        </x:is>
      </x:c>
    </x:row>
  </x:sheetData>
  <x:mergeCells>
    <x:mergeCell ref="A2:B2"/>
    <x:mergeCell ref="A1:B1"/>
  </x:mergeCells>
  <x:pageMargins left="0.7" right="0.7" top="0.75" bottom="0.75" header="0.3" footer="0.3"/>
</x:worksheet>
</file>

<file path=xl/worksheets/sheet44.xml><?xml version="1.0" encoding="utf-8"?>
<x:worksheet xmlns:x="http://schemas.openxmlformats.org/spreadsheetml/2006/main">
  <x:sheetFormatPr baseColWidth="8" defaultRowHeight="15"/>
  <x:cols>
    <x:col min="1" max="1" width="25" style="40" customWidth="1"/>
    <x:col min="2" max="2" width="30" style="40" customWidth="1"/>
    <x:col min="3" max="3" width="54" style="40" customWidth="1"/>
    <x:col min="4" max="4" width="44" style="40" customWidth="1"/>
  </x:cols>
  <x:sheetData>
    <x:row r="1" s="40" customFormat="1" ht="30" customHeight="1">
      <x:c r="A1" s="380" t="inlineStr">
        <x:is>
          <x:t xml:space="preserve">OmniStackAI V5 — Brand Naming</x:t>
        </x:is>
      </x:c>
      <x:c r="B1" s="375" t="n"/>
      <x:c r="C1" s="375" t="n"/>
      <x:c r="D1" s="375" t="n"/>
    </x:row>
    <x:row r="2" s="40" customFormat="1" ht="34" customHeight="1">
      <x:c r="A2" s="400" t="inlineStr">
        <x:is>
          <x:t xml:space="preserve">Working brand selected for the architecture package. Legal/trademark/domain/app-store clearance remains mandatory before public launch.</x:t>
        </x:is>
      </x:c>
      <x:c r="B2" s="375" t="n"/>
      <x:c r="C2" s="375" t="n"/>
      <x:c r="D2" s="375" t="n"/>
    </x:row>
    <x:row r="3"/>
    <x:row r="4" s="40" customFormat="1" ht="28" customHeight="1">
      <x:c r="A4" s="141" t="inlineStr">
        <x:is>
          <x:t xml:space="preserve">Item</x:t>
        </x:is>
      </x:c>
      <x:c r="B4" s="142" t="inlineStr">
        <x:is>
          <x:t xml:space="preserve">Decision</x:t>
        </x:is>
      </x:c>
      <x:c r="C4" s="142" t="inlineStr">
        <x:is>
          <x:t xml:space="preserve">Why</x:t>
        </x:is>
      </x:c>
      <x:c r="D4" s="143" t="inlineStr">
        <x:is>
          <x:t xml:space="preserve">Validation / Next Step</x:t>
        </x:is>
      </x:c>
    </x:row>
    <x:row r="5">
      <x:c r="A5" s="144" t="inlineStr">
        <x:is>
          <x:t xml:space="preserve">Working brand</x:t>
        </x:is>
      </x:c>
      <x:c r="B5" s="145" t="inlineStr">
        <x:is>
          <x:t xml:space="preserve">OmniStackAI</x:t>
        </x:is>
      </x:c>
      <x:c r="C5" s="145" t="inlineStr">
        <x:is>
          <x:t xml:space="preserve">vision/intent + forge; memorable engineering/product positioning</x:t>
        </x:is>
      </x:c>
      <x:c r="D5" s="146" t="inlineStr">
        <x:is>
          <x:t xml:space="preserve">trademark/domain/company-name clearance</x:t>
        </x:is>
      </x:c>
    </x:row>
    <x:row r="6">
      <x:c r="A6" s="223" t="inlineStr">
        <x:is>
          <x:t xml:space="preserve">Tagline</x:t>
        </x:is>
      </x:c>
      <x:c r="B6" s="284" t="inlineStr">
        <x:is>
          <x:t xml:space="preserve">From Intent to Production</x:t>
        </x:is>
      </x:c>
      <x:c r="C6" s="284" t="inlineStr">
        <x:is>
          <x:t xml:space="preserve">describes full lifecycle rather than just code generation</x:t>
        </x:is>
      </x:c>
      <x:c r="D6" s="225" t="inlineStr">
        <x:is>
          <x:t xml:space="preserve">brand testing with founders/developers/investors</x:t>
        </x:is>
      </x:c>
    </x:row>
    <x:row r="7">
      <x:c r="A7" s="147" t="inlineStr">
        <x:is>
          <x:t xml:space="preserve">Platform repo</x:t>
        </x:is>
      </x:c>
      <x:c r="B7" s="148" t="inlineStr">
        <x:is>
          <x:t xml:space="preserve">omnistackai-platform</x:t>
        </x:is>
      </x:c>
      <x:c r="C7" s="148" t="inlineStr">
        <x:is>
          <x:t xml:space="preserve">clear and stable internal repository name</x:t>
        </x:is>
      </x:c>
      <x:c r="D7" s="149" t="inlineStr">
        <x:is>
          <x:t xml:space="preserve">reserve org/repo names</x:t>
        </x:is>
      </x:c>
    </x:row>
    <x:row r="8">
      <x:c r="A8" s="223" t="inlineStr">
        <x:is>
          <x:t xml:space="preserve">Local agent repo</x:t>
        </x:is>
      </x:c>
      <x:c r="B8" s="284" t="inlineStr">
        <x:is>
          <x:t xml:space="preserve">omnistackai-local-agent</x:t>
        </x:is>
      </x:c>
      <x:c r="C8" s="284" t="inlineStr">
        <x:is>
          <x:t xml:space="preserve">separate signing/update lifecycle if split</x:t>
        </x:is>
      </x:c>
      <x:c r="D8" s="225" t="inlineStr">
        <x:is>
          <x:t xml:space="preserve">split only when measured need</x:t>
        </x:is>
      </x:c>
    </x:row>
    <x:row r="9">
      <x:c r="A9" s="147" t="inlineStr">
        <x:is>
          <x:t xml:space="preserve">Customer repo</x:t>
        </x:is>
      </x:c>
      <x:c r="B9" s="148" t="inlineStr">
        <x:is>
          <x:t xml:space="preserve">&lt;org&gt;-&lt;product&gt;</x:t>
        </x:is>
      </x:c>
      <x:c r="C9" s="148" t="inlineStr">
        <x:is>
          <x:t xml:space="preserve">customer-readable, transferable</x:t>
        </x:is>
      </x:c>
      <x:c r="D9" s="149" t="inlineStr">
        <x:is>
          <x:t xml:space="preserve">avoid opaque numeric-only naming</x:t>
        </x:is>
      </x:c>
    </x:row>
    <x:row r="10">
      <x:c r="A10" s="239" t="inlineStr">
        <x:is>
          <x:t xml:space="preserve">Positioning</x:t>
        </x:is>
      </x:c>
      <x:c r="B10" s="240" t="inlineStr">
        <x:is>
          <x:t xml:space="preserve">AI Software Engineering Factory</x:t>
        </x:is>
      </x:c>
      <x:c r="C10" s="240" t="inlineStr">
        <x:is>
          <x:t xml:space="preserve">production-grade multi-platform engineering</x:t>
        </x:is>
      </x:c>
      <x:c r="D10" s="241" t="inlineStr">
        <x:is>
          <x:t xml:space="preserve">do not market as a clone</x:t>
        </x:is>
      </x:c>
    </x:row>
  </x:sheetData>
  <x:mergeCells>
    <x:mergeCell ref="A1:D1"/>
    <x:mergeCell ref="A2:D2"/>
  </x:mergeCells>
  <x:pageMargins left="0.7" right="0.7" top="0.75" bottom="0.75" header="0.3" footer="0.3"/>
</x:worksheet>
</file>

<file path=xl/worksheets/sheet45.xml><?xml version="1.0" encoding="utf-8"?>
<x:worksheet xmlns:x="http://schemas.openxmlformats.org/spreadsheetml/2006/main">
  <x:sheetFormatPr baseColWidth="8" defaultRowHeight="15"/>
  <x:cols>
    <x:col min="1" max="1" width="9" style="40" customWidth="1"/>
    <x:col min="2" max="2" width="29" style="40" customWidth="1"/>
    <x:col min="3" max="3" width="26" style="40" customWidth="1"/>
    <x:col min="4" max="4" width="39" style="40" customWidth="1"/>
    <x:col min="5" max="5" width="35" style="40" customWidth="1"/>
    <x:col min="6" max="6" width="38" style="40" customWidth="1"/>
    <x:col min="7" max="7" width="12" style="40" customWidth="1"/>
  </x:cols>
  <x:sheetData>
    <x:row r="1" s="40" customFormat="1" ht="30" customHeight="1">
      <x:c r="A1" s="380" t="inlineStr">
        <x:is>
          <x:t xml:space="preserve">OmniStackAI V5 — Preview Verification</x:t>
        </x:is>
      </x:c>
      <x:c r="B1" s="375" t="n"/>
      <x:c r="C1" s="375" t="n"/>
      <x:c r="D1" s="375" t="n"/>
      <x:c r="E1" s="375" t="n"/>
      <x:c r="F1" s="375" t="n"/>
      <x:c r="G1" s="375" t="n"/>
    </x:row>
    <x:row r="2" s="40" customFormat="1" ht="34" customHeight="1">
      <x:c r="A2" s="400" t="inlineStr">
        <x:is>
          <x:t xml:space="preserve">Hard UX rule: browser preview first. Smart Verification selects the lowest-cost proof capable of validating the change.</x:t>
        </x:is>
      </x:c>
      <x:c r="B2" s="375" t="n"/>
      <x:c r="C2" s="375" t="n"/>
      <x:c r="D2" s="375" t="n"/>
      <x:c r="E2" s="375" t="n"/>
      <x:c r="F2" s="375" t="n"/>
      <x:c r="G2" s="375" t="n"/>
    </x:row>
    <x:row r="3"/>
    <x:row r="4" s="40" customFormat="1" ht="28" customHeight="1">
      <x:c r="A4" s="141" t="inlineStr">
        <x:is>
          <x:t xml:space="preserve">Level</x:t>
        </x:is>
      </x:c>
      <x:c r="B4" s="142" t="inlineStr">
        <x:is>
          <x:t xml:space="preserve">User Option</x:t>
        </x:is>
      </x:c>
      <x:c r="C4" s="142" t="inlineStr">
        <x:is>
          <x:t xml:space="preserve">Automatic / Optional</x:t>
        </x:is>
      </x:c>
      <x:c r="D4" s="142" t="inlineStr">
        <x:is>
          <x:t xml:space="preserve">Typical Trigger</x:t>
        </x:is>
      </x:c>
      <x:c r="E4" s="142" t="inlineStr">
        <x:is>
          <x:t xml:space="preserve">Proof</x:t>
        </x:is>
      </x:c>
      <x:c r="F4" s="142" t="inlineStr">
        <x:is>
          <x:t xml:space="preserve">Does NOT Prove</x:t>
        </x:is>
      </x:c>
      <x:c r="G4" s="143" t="inlineStr">
        <x:is>
          <x:t xml:space="preserve">Cost</x:t>
        </x:is>
      </x:c>
    </x:row>
    <x:row r="5">
      <x:c r="A5" s="144" t="n">
        <x:v>0</x:v>
      </x:c>
      <x:c r="B5" s="145" t="inlineStr">
        <x:is>
          <x:t xml:space="preserve">Static / deterministic verification</x:t>
        </x:is>
      </x:c>
      <x:c r="C5" s="145" t="inlineStr">
        <x:is>
          <x:t xml:space="preserve">Automatic</x:t>
        </x:is>
      </x:c>
      <x:c r="D5" s="145" t="inlineStr">
        <x:is>
          <x:t xml:space="preserve">every change</x:t>
        </x:is>
      </x:c>
      <x:c r="E5" s="145" t="inlineStr">
        <x:is>
          <x:t xml:space="preserve">lint/typecheck/tests/static/security</x:t>
        </x:is>
      </x:c>
      <x:c r="F5" s="145" t="inlineStr">
        <x:is>
          <x:t xml:space="preserve">real device behavior</x:t>
        </x:is>
      </x:c>
      <x:c r="G5" s="146" t="inlineStr">
        <x:is>
          <x:t xml:space="preserve">$</x:t>
        </x:is>
      </x:c>
    </x:row>
    <x:row r="6">
      <x:c r="A6" s="223" t="n">
        <x:v>1</x:v>
      </x:c>
      <x:c r="B6" s="284" t="inlineStr">
        <x:is>
          <x:t xml:space="preserve">Instant Browser Preview</x:t>
        </x:is>
      </x:c>
      <x:c r="C6" s="284" t="inlineStr">
        <x:is>
          <x:t xml:space="preserve">Automatic + always visible</x:t>
        </x:is>
      </x:c>
      <x:c r="D6" s="284" t="inlineStr">
        <x:is>
          <x:t xml:space="preserve">every previewable change</x:t>
        </x:is>
      </x:c>
      <x:c r="E6" s="284" t="inlineStr">
        <x:is>
          <x:t xml:space="preserve">actual web runtime or interactive mobile/IR state</x:t>
        </x:is>
      </x:c>
      <x:c r="F6" s="284" t="inlineStr">
        <x:is>
          <x:t xml:space="preserve">native binary/API/hardware when represented</x:t>
        </x:is>
      </x:c>
      <x:c r="G6" s="225" t="inlineStr">
        <x:is>
          <x:t xml:space="preserve">$</x:t>
        </x:is>
      </x:c>
    </x:row>
    <x:row r="7">
      <x:c r="A7" s="147" t="n">
        <x:v>2</x:v>
      </x:c>
      <x:c r="B7" s="148" t="inlineStr">
        <x:is>
          <x:t xml:space="preserve">Test on My Real Phone</x:t>
        </x:is>
      </x:c>
      <x:c r="C7" s="148" t="inlineStr">
        <x:is>
          <x:t xml:space="preserve">Optional/recommended by policy</x:t>
        </x:is>
      </x:c>
      <x:c r="D7" s="148" t="inlineStr">
        <x:is>
          <x:t xml:space="preserve">native/hardware confidence or user request</x:t>
        </x:is>
      </x:c>
      <x:c r="E7" s="148" t="inlineStr">
        <x:is>
          <x:t xml:space="preserve">actual user hardware</x:t>
        </x:is>
      </x:c>
      <x:c r="F7" s="148" t="inlineStr">
        <x:is>
          <x:t xml:space="preserve">all OS/device variants</x:t>
        </x:is>
      </x:c>
      <x:c r="G7" s="149" t="inlineStr">
        <x:is>
          <x:t xml:space="preserve">$$</x:t>
        </x:is>
      </x:c>
    </x:row>
    <x:row r="8">
      <x:c r="A8" s="223" t="n">
        <x:v>3</x:v>
      </x:c>
      <x:c r="B8" s="284" t="inlineStr">
        <x:is>
          <x:t xml:space="preserve">Cloud Android Emulator</x:t>
        </x:is>
      </x:c>
      <x:c r="C8" s="284" t="inlineStr">
        <x:is>
          <x:t xml:space="preserve">Optional/metered</x:t>
        </x:is>
      </x:c>
      <x:c r="D8" s="284" t="inlineStr">
        <x:is>
          <x:t xml:space="preserve">OS-specific debug, QA, no device</x:t>
        </x:is>
      </x:c>
      <x:c r="E8" s="284" t="inlineStr">
        <x:is>
          <x:t xml:space="preserve">real Android runtime</x:t>
        </x:is>
      </x:c>
      <x:c r="F8" s="284" t="inlineStr">
        <x:is>
          <x:t xml:space="preserve">iOS/hardware-specific behavior</x:t>
        </x:is>
      </x:c>
      <x:c r="G8" s="225" t="inlineStr">
        <x:is>
          <x:t xml:space="preserve">$$$</x:t>
        </x:is>
      </x:c>
    </x:row>
    <x:row r="9">
      <x:c r="A9" s="156" t="n">
        <x:v>4</x:v>
      </x:c>
      <x:c r="B9" s="157" t="inlineStr">
        <x:is>
          <x:t xml:space="preserve">Cloud iOS Simulator</x:t>
        </x:is>
      </x:c>
      <x:c r="C9" s="157" t="inlineStr">
        <x:is>
          <x:t xml:space="preserve">Optional/metered</x:t>
        </x:is>
      </x:c>
      <x:c r="D9" s="157" t="inlineStr">
        <x:is>
          <x:t xml:space="preserve">iOS-specific debug/QA</x:t>
        </x:is>
      </x:c>
      <x:c r="E9" s="157" t="inlineStr">
        <x:is>
          <x:t xml:space="preserve">real iOS Simulator/Xcode runtime</x:t>
        </x:is>
      </x:c>
      <x:c r="F9" s="157" t="inlineStr">
        <x:is>
          <x:t xml:space="preserve">all physical hardware behavior</x:t>
        </x:is>
      </x:c>
      <x:c r="G9" s="158" t="inlineStr">
        <x:is>
          <x:t xml:space="preserve">$$$$</x:t>
        </x:is>
      </x:c>
    </x:row>
  </x:sheetData>
  <x:mergeCells>
    <x:mergeCell ref="A2:G2"/>
    <x:mergeCell ref="A1:G1"/>
  </x:mergeCells>
  <x:pageMargins left="0.7" right="0.7" top="0.75" bottom="0.75" header="0.3" footer="0.3"/>
</x:worksheet>
</file>

<file path=xl/worksheets/sheet46.xml><?xml version="1.0" encoding="utf-8"?>
<x:worksheet xmlns:x="http://schemas.openxmlformats.org/spreadsheetml/2006/main">
  <x:sheetFormatPr baseColWidth="8" defaultRowHeight="15"/>
  <x:cols>
    <x:col min="1" max="1" width="24" style="40" customWidth="1"/>
    <x:col min="2" max="2" width="33" style="40" customWidth="1"/>
    <x:col min="3" max="3" width="36" style="40" customWidth="1"/>
    <x:col min="4" max="4" width="31" style="40" customWidth="1"/>
    <x:col min="5" max="5" width="28" style="40" customWidth="1"/>
    <x:col min="6" max="6" width="32" style="40" customWidth="1"/>
    <x:col min="7" max="7" width="35" style="40" customWidth="1"/>
  </x:cols>
  <x:sheetData>
    <x:row r="1" s="40" customFormat="1" ht="30" customHeight="1">
      <x:c r="A1" s="380" t="inlineStr">
        <x:is>
          <x:t xml:space="preserve">OmniStackAI V5 — Device QR Delivery</x:t>
        </x:is>
      </x:c>
      <x:c r="B1" s="375" t="n"/>
      <x:c r="C1" s="375" t="n"/>
      <x:c r="D1" s="375" t="n"/>
      <x:c r="E1" s="375" t="n"/>
      <x:c r="F1" s="375" t="n"/>
      <x:c r="G1" s="375" t="n"/>
    </x:row>
    <x:row r="2" s="40" customFormat="1" ht="34" customHeight="1">
      <x:c r="A2" s="400" t="inlineStr">
        <x:is>
          <x:t xml:space="preserve">Physical-device workflow minimizes infrastructure spend while giving users a real app feel. Testing artifacts are secured and time-limited.</x:t>
        </x:is>
      </x:c>
      <x:c r="B2" s="375" t="n"/>
      <x:c r="C2" s="375" t="n"/>
      <x:c r="D2" s="375" t="n"/>
      <x:c r="E2" s="375" t="n"/>
      <x:c r="F2" s="375" t="n"/>
      <x:c r="G2" s="375" t="n"/>
    </x:row>
    <x:row r="3"/>
    <x:row r="4" s="40" customFormat="1" ht="28" customHeight="1">
      <x:c r="A4" s="141" t="inlineStr">
        <x:is>
          <x:t xml:space="preserve">Profile</x:t>
        </x:is>
      </x:c>
      <x:c r="B4" s="142" t="inlineStr">
        <x:is>
          <x:t xml:space="preserve">Browser Step First</x:t>
        </x:is>
      </x:c>
      <x:c r="C4" s="142" t="inlineStr">
        <x:is>
          <x:t xml:space="preserve">QR / Link Step</x:t>
        </x:is>
      </x:c>
      <x:c r="D4" s="142" t="inlineStr">
        <x:is>
          <x:t xml:space="preserve">Rebuild Required?</x:t>
        </x:is>
      </x:c>
      <x:c r="E4" s="142" t="inlineStr">
        <x:is>
          <x:t xml:space="preserve">Artifact / Runtime</x:t>
        </x:is>
      </x:c>
      <x:c r="F4" s="142" t="inlineStr">
        <x:is>
          <x:t xml:space="preserve">Security</x:t>
        </x:is>
      </x:c>
      <x:c r="G4" s="143" t="inlineStr">
        <x:is>
          <x:t xml:space="preserve">Cost Optimization</x:t>
        </x:is>
      </x:c>
    </x:row>
    <x:row r="5">
      <x:c r="A5" s="144" t="inlineStr">
        <x:is>
          <x:t xml:space="preserve">Expo / RN</x:t>
        </x:is>
      </x:c>
      <x:c r="B5" s="145" t="inlineStr">
        <x:is>
          <x:t xml:space="preserve">Expo Web or browser preview</x:t>
        </x:is>
      </x:c>
      <x:c r="C5" s="145" t="inlineStr">
        <x:is>
          <x:t xml:space="preserve">QR -&gt; Expo Go/custom dev client</x:t>
        </x:is>
      </x:c>
      <x:c r="D5" s="145" t="inlineStr">
        <x:is>
          <x:t xml:space="preserve">only when native fingerprint changes</x:t>
        </x:is>
      </x:c>
      <x:c r="E5" s="145" t="inlineStr">
        <x:is>
          <x:t xml:space="preserve">JS bundle/dev runtime</x:t>
        </x:is>
      </x:c>
      <x:c r="F5" s="145" t="inlineStr">
        <x:is>
          <x:t xml:space="preserve">scoped dev URL/auth</x:t>
        </x:is>
      </x:c>
      <x:c r="G5" s="146" t="inlineStr">
        <x:is>
          <x:t xml:space="preserve">best hot-update economics</x:t>
        </x:is>
      </x:c>
    </x:row>
    <x:row r="6">
      <x:c r="A6" s="223" t="inlineStr">
        <x:is>
          <x:t xml:space="preserve">Bare RN Android</x:t>
        </x:is>
      </x:c>
      <x:c r="B6" s="284" t="inlineStr">
        <x:is>
          <x:t xml:space="preserve">browser/interactive</x:t>
        </x:is>
      </x:c>
      <x:c r="C6" s="284" t="inlineStr">
        <x:is>
          <x:t xml:space="preserve">QR -&gt; test APK</x:t>
        </x:is>
      </x:c>
      <x:c r="D6" s="284" t="inlineStr">
        <x:is>
          <x:t xml:space="preserve">yes for native binary changes</x:t>
        </x:is>
      </x:c>
      <x:c r="E6" s="284" t="inlineStr">
        <x:is>
          <x:t xml:space="preserve">signed test APK</x:t>
        </x:is>
      </x:c>
      <x:c r="F6" s="284" t="inlineStr">
        <x:is>
          <x:t xml:space="preserve">short-lived signed URL</x:t>
        </x:is>
      </x:c>
      <x:c r="G6" s="225" t="inlineStr">
        <x:is>
          <x:t xml:space="preserve">cache Gradle/dependencies</x:t>
        </x:is>
      </x:c>
    </x:row>
    <x:row r="7">
      <x:c r="A7" s="147" t="inlineStr">
        <x:is>
          <x:t xml:space="preserve">Flutter Android</x:t>
        </x:is>
      </x:c>
      <x:c r="B7" s="148" t="inlineStr">
        <x:is>
          <x:t xml:space="preserve">browser/Flutter Web/IR preview</x:t>
        </x:is>
      </x:c>
      <x:c r="C7" s="148" t="inlineStr">
        <x:is>
          <x:t xml:space="preserve">QR -&gt; test APK</x:t>
        </x:is>
      </x:c>
      <x:c r="D7" s="148" t="inlineStr">
        <x:is>
          <x:t xml:space="preserve">yes for true device binary</x:t>
        </x:is>
      </x:c>
      <x:c r="E7" s="148" t="inlineStr">
        <x:is>
          <x:t xml:space="preserve">signed test APK</x:t>
        </x:is>
      </x:c>
      <x:c r="F7" s="148" t="inlineStr">
        <x:is>
          <x:t xml:space="preserve">short-lived signed URL</x:t>
        </x:is>
      </x:c>
      <x:c r="G7" s="149" t="inlineStr">
        <x:is>
          <x:t xml:space="preserve">warm Flutter/Gradle cache</x:t>
        </x:is>
      </x:c>
    </x:row>
    <x:row r="8">
      <x:c r="A8" s="223" t="inlineStr">
        <x:is>
          <x:t xml:space="preserve">Native Android</x:t>
        </x:is>
      </x:c>
      <x:c r="B8" s="284" t="inlineStr">
        <x:is>
          <x:t xml:space="preserve">IR/browser preview</x:t>
        </x:is>
      </x:c>
      <x:c r="C8" s="284" t="inlineStr">
        <x:is>
          <x:t xml:space="preserve">QR -&gt; signed test APK</x:t>
        </x:is>
      </x:c>
      <x:c r="D8" s="284" t="inlineStr">
        <x:is>
          <x:t xml:space="preserve">yes</x:t>
        </x:is>
      </x:c>
      <x:c r="E8" s="284" t="inlineStr">
        <x:is>
          <x:t xml:space="preserve">APK</x:t>
        </x:is>
      </x:c>
      <x:c r="F8" s="284" t="inlineStr">
        <x:is>
          <x:t xml:space="preserve">isolated dev signing</x:t>
        </x:is>
      </x:c>
      <x:c r="G8" s="225" t="inlineStr">
        <x:is>
          <x:t xml:space="preserve">worker released after build</x:t>
        </x:is>
      </x:c>
    </x:row>
    <x:row r="9">
      <x:c r="A9" s="147" t="inlineStr">
        <x:is>
          <x:t xml:space="preserve">Expo/RN iOS</x:t>
        </x:is>
      </x:c>
      <x:c r="B9" s="148" t="inlineStr">
        <x:is>
          <x:t xml:space="preserve">browser/Expo preview</x:t>
        </x:is>
      </x:c>
      <x:c r="C9" s="148" t="inlineStr">
        <x:is>
          <x:t xml:space="preserve">QR/dev runtime or TestFlight</x:t>
        </x:is>
      </x:c>
      <x:c r="D9" s="148" t="inlineStr">
        <x:is>
          <x:t xml:space="preserve">native fingerprint dependent</x:t>
        </x:is>
      </x:c>
      <x:c r="E9" s="148" t="inlineStr">
        <x:is>
          <x:t xml:space="preserve">Expo dev client/TestFlight</x:t>
        </x:is>
      </x:c>
      <x:c r="F9" s="148" t="inlineStr">
        <x:is>
          <x:t xml:space="preserve">Apple credentials brokered</x:t>
        </x:is>
      </x:c>
      <x:c r="G9" s="149" t="inlineStr">
        <x:is>
          <x:t xml:space="preserve">avoid cloud simulator by default</x:t>
        </x:is>
      </x:c>
    </x:row>
    <x:row r="10">
      <x:c r="A10" s="223" t="inlineStr">
        <x:is>
          <x:t xml:space="preserve">Flutter iOS</x:t>
        </x:is>
      </x:c>
      <x:c r="B10" s="284" t="inlineStr">
        <x:is>
          <x:t xml:space="preserve">browser/IR preview</x:t>
        </x:is>
      </x:c>
      <x:c r="C10" s="284" t="inlineStr">
        <x:is>
          <x:t xml:space="preserve">TestFlight/dev build link/QR</x:t>
        </x:is>
      </x:c>
      <x:c r="D10" s="284" t="inlineStr">
        <x:is>
          <x:t xml:space="preserve">yes</x:t>
        </x:is>
      </x:c>
      <x:c r="E10" s="284" t="inlineStr">
        <x:is>
          <x:t xml:space="preserve">signed IPA/TestFlight</x:t>
        </x:is>
      </x:c>
      <x:c r="F10" s="284" t="inlineStr">
        <x:is>
          <x:t xml:space="preserve">isolated signing</x:t>
        </x:is>
      </x:c>
      <x:c r="G10" s="225" t="inlineStr">
        <x:is>
          <x:t xml:space="preserve">Mac allocated only on demand</x:t>
        </x:is>
      </x:c>
    </x:row>
    <x:row r="11">
      <x:c r="A11" s="156" t="inlineStr">
        <x:is>
          <x:t xml:space="preserve">Native iOS</x:t>
        </x:is>
      </x:c>
      <x:c r="B11" s="157" t="inlineStr">
        <x:is>
          <x:t xml:space="preserve">IR/browser preview</x:t>
        </x:is>
      </x:c>
      <x:c r="C11" s="157" t="inlineStr">
        <x:is>
          <x:t xml:space="preserve">TestFlight/dev provisioning</x:t>
        </x:is>
      </x:c>
      <x:c r="D11" s="157" t="inlineStr">
        <x:is>
          <x:t xml:space="preserve">yes</x:t>
        </x:is>
      </x:c>
      <x:c r="E11" s="157" t="inlineStr">
        <x:is>
          <x:t xml:space="preserve">Xcode archive/IPA</x:t>
        </x:is>
      </x:c>
      <x:c r="F11" s="157" t="inlineStr">
        <x:is>
          <x:t xml:space="preserve">KMS/HSM + App Store Connect</x:t>
        </x:is>
      </x:c>
      <x:c r="G11" s="158" t="inlineStr">
        <x:is>
          <x:t xml:space="preserve">Local Mac optional</x:t>
        </x:is>
      </x:c>
    </x:row>
  </x:sheetData>
  <x:mergeCells>
    <x:mergeCell ref="A2:G2"/>
    <x:mergeCell ref="A1:G1"/>
  </x:mergeCells>
  <x:pageMargins left="0.7" right="0.7" top="0.75" bottom="0.75" header="0.3" footer="0.3"/>
</x:worksheet>
</file>

<file path=xl/worksheets/sheet47.xml><?xml version="1.0" encoding="utf-8"?>
<x:worksheet xmlns:x="http://schemas.openxmlformats.org/spreadsheetml/2006/main">
  <x:sheetFormatPr baseColWidth="8" defaultRowHeight="15"/>
  <x:cols>
    <x:col min="1" max="1" width="24" style="40" customWidth="1"/>
    <x:col min="2" max="2" width="34" style="40" customWidth="1"/>
    <x:col min="3" max="3" width="31" style="40" customWidth="1"/>
    <x:col min="4" max="4" width="37" style="40" customWidth="1"/>
    <x:col min="5" max="5" width="16" style="40" customWidth="1"/>
    <x:col min="6" max="6" width="44" style="40" customWidth="1"/>
  </x:cols>
  <x:sheetData>
    <x:row r="1" s="40" customFormat="1" ht="30" customHeight="1">
      <x:c r="A1" s="380" t="inlineStr">
        <x:is>
          <x:t xml:space="preserve">OmniStackAI V5 — Context Engine</x:t>
        </x:is>
      </x:c>
      <x:c r="B1" s="375" t="n"/>
      <x:c r="C1" s="375" t="n"/>
      <x:c r="D1" s="375" t="n"/>
      <x:c r="E1" s="375" t="n"/>
      <x:c r="F1" s="375" t="n"/>
    </x:row>
    <x:row r="2" s="40" customFormat="1" ht="34" customHeight="1">
      <x:c r="A2" s="400" t="inlineStr">
        <x:is>
          <x:t xml:space="preserve">Large projects stay affordable by retrieving only task-relevant, authoritative context. Embeddings locate; code/IR/tests/runtime evidence establish truth.</x:t>
        </x:is>
      </x:c>
      <x:c r="B2" s="375" t="n"/>
      <x:c r="C2" s="375" t="n"/>
      <x:c r="D2" s="375" t="n"/>
      <x:c r="E2" s="375" t="n"/>
      <x:c r="F2" s="375" t="n"/>
    </x:row>
    <x:row r="3"/>
    <x:row r="4" s="40" customFormat="1" ht="28" customHeight="1">
      <x:c r="A4" s="141" t="inlineStr">
        <x:is>
          <x:t xml:space="preserve">Stage</x:t>
        </x:is>
      </x:c>
      <x:c r="B4" s="142" t="inlineStr">
        <x:is>
          <x:t xml:space="preserve">Mechanism</x:t>
        </x:is>
      </x:c>
      <x:c r="C4" s="142" t="inlineStr">
        <x:is>
          <x:t xml:space="preserve">Input</x:t>
        </x:is>
      </x:c>
      <x:c r="D4" s="142" t="inlineStr">
        <x:is>
          <x:t xml:space="preserve">Output</x:t>
        </x:is>
      </x:c>
      <x:c r="E4" s="142" t="inlineStr">
        <x:is>
          <x:t xml:space="preserve">LLM?</x:t>
        </x:is>
      </x:c>
      <x:c r="F4" s="143" t="inlineStr">
        <x:is>
          <x:t xml:space="preserve">Cost / Accuracy Rule</x:t>
        </x:is>
      </x:c>
    </x:row>
    <x:row r="5">
      <x:c r="A5" s="144" t="inlineStr">
        <x:is>
          <x:t xml:space="preserve">1 Issue understanding</x:t>
        </x:is>
      </x:c>
      <x:c r="B5" s="145" t="inlineStr">
        <x:is>
          <x:t xml:space="preserve">structured issue/goal parser</x:t>
        </x:is>
      </x:c>
      <x:c r="C5" s="145" t="inlineStr">
        <x:is>
          <x:t xml:space="preserve">current user request</x:t>
        </x:is>
      </x:c>
      <x:c r="D5" s="145" t="inlineStr">
        <x:is>
          <x:t xml:space="preserve">task intent + feature/domain hints</x:t>
        </x:is>
      </x:c>
      <x:c r="E5" s="145" t="inlineStr">
        <x:is>
          <x:t xml:space="preserve">small model optional</x:t>
        </x:is>
      </x:c>
      <x:c r="F5" s="146" t="inlineStr">
        <x:is>
          <x:t xml:space="preserve">do not load repo yet</x:t>
        </x:is>
      </x:c>
    </x:row>
    <x:row r="6">
      <x:c r="A6" s="223" t="inlineStr">
        <x:is>
          <x:t xml:space="preserve">2 Deterministic lookup</x:t>
        </x:is>
      </x:c>
      <x:c r="B6" s="284" t="inlineStr">
        <x:is>
          <x:t xml:space="preserve">Git/symbol/LSP/schema/deployment indexes</x:t>
        </x:is>
      </x:c>
      <x:c r="C6" s="284" t="inlineStr">
        <x:is>
          <x:t xml:space="preserve">task hints</x:t>
        </x:is>
      </x:c>
      <x:c r="D6" s="284" t="inlineStr">
        <x:is>
          <x:t xml:space="preserve">exact versions/symbols/references</x:t>
        </x:is>
      </x:c>
      <x:c r="E6" s="284" t="inlineStr">
        <x:is>
          <x:t xml:space="preserve">No</x:t>
        </x:is>
      </x:c>
      <x:c r="F6" s="225" t="inlineStr">
        <x:is>
          <x:t xml:space="preserve">free/cheap facts first</x:t>
        </x:is>
      </x:c>
    </x:row>
    <x:row r="7">
      <x:c r="A7" s="147" t="inlineStr">
        <x:is>
          <x:t xml:space="preserve">3 Semantic locate</x:t>
        </x:is>
      </x:c>
      <x:c r="B7" s="148" t="inlineStr">
        <x:is>
          <x:t xml:space="preserve">pgvector/code chunk retrieval</x:t>
        </x:is>
      </x:c>
      <x:c r="C7" s="148" t="inlineStr">
        <x:is>
          <x:t xml:space="preserve">task + hints</x:t>
        </x:is>
      </x:c>
      <x:c r="D7" s="148" t="inlineStr">
        <x:is>
          <x:t xml:space="preserve">ranked candidate docs/code</x:t>
        </x:is>
      </x:c>
      <x:c r="E7" s="148" t="inlineStr">
        <x:is>
          <x:t xml:space="preserve">No/embedding</x:t>
        </x:is>
      </x:c>
      <x:c r="F7" s="149" t="inlineStr">
        <x:is>
          <x:t xml:space="preserve">locator only</x:t>
        </x:is>
      </x:c>
    </x:row>
    <x:row r="8">
      <x:c r="A8" s="223" t="inlineStr">
        <x:is>
          <x:t xml:space="preserve">4 Graph expansion</x:t>
        </x:is>
      </x:c>
      <x:c r="B8" s="284" t="inlineStr">
        <x:is>
          <x:t xml:space="preserve">call/dependency/module graph</x:t>
        </x:is>
      </x:c>
      <x:c r="C8" s="284" t="inlineStr">
        <x:is>
          <x:t xml:space="preserve">candidate symbols</x:t>
        </x:is>
      </x:c>
      <x:c r="D8" s="284" t="inlineStr">
        <x:is>
          <x:t xml:space="preserve">callers/callees/affected tests</x:t>
        </x:is>
      </x:c>
      <x:c r="E8" s="284" t="inlineStr">
        <x:is>
          <x:t xml:space="preserve">No</x:t>
        </x:is>
      </x:c>
      <x:c r="F8" s="225" t="inlineStr">
        <x:is>
          <x:t xml:space="preserve">expand only evidence-related scope</x:t>
        </x:is>
      </x:c>
    </x:row>
    <x:row r="9">
      <x:c r="A9" s="147" t="inlineStr">
        <x:is>
          <x:t xml:space="preserve">5 Memory/evidence</x:t>
        </x:is>
      </x:c>
      <x:c r="B9" s="148" t="inlineStr">
        <x:is>
          <x:t xml:space="preserve">IR/ADRs/requirements/history/runtime</x:t>
        </x:is>
      </x:c>
      <x:c r="C9" s="148" t="inlineStr">
        <x:is>
          <x:t xml:space="preserve">affected domain</x:t>
        </x:is>
      </x:c>
      <x:c r="D9" s="148" t="inlineStr">
        <x:is>
          <x:t xml:space="preserve">authoritative rules + recent changes</x:t>
        </x:is>
      </x:c>
      <x:c r="E9" s="148" t="inlineStr">
        <x:is>
          <x:t xml:space="preserve">No</x:t>
        </x:is>
      </x:c>
      <x:c r="F9" s="149" t="inlineStr">
        <x:is>
          <x:t xml:space="preserve">revalidate stale memory</x:t>
        </x:is>
      </x:c>
    </x:row>
    <x:row r="10">
      <x:c r="A10" s="223" t="inlineStr">
        <x:is>
          <x:t xml:space="preserve">6 Context Pack</x:t>
        </x:is>
      </x:c>
      <x:c r="B10" s="284" t="inlineStr">
        <x:is>
          <x:t xml:space="preserve">budget controller</x:t>
        </x:is>
      </x:c>
      <x:c r="C10" s="284" t="inlineStr">
        <x:is>
          <x:t xml:space="preserve">selected evidence</x:t>
        </x:is>
      </x:c>
      <x:c r="D10" s="284" t="inlineStr">
        <x:is>
          <x:t xml:space="preserve">bounded task-specific context</x:t>
        </x:is>
      </x:c>
      <x:c r="E10" s="284" t="inlineStr">
        <x:is>
          <x:t xml:space="preserve">No</x:t>
        </x:is>
      </x:c>
      <x:c r="F10" s="225" t="inlineStr">
        <x:is>
          <x:t xml:space="preserve">token cap</x:t>
        </x:is>
      </x:c>
    </x:row>
    <x:row r="11">
      <x:c r="A11" s="147" t="inlineStr">
        <x:is>
          <x:t xml:space="preserve">7 Reason/implement</x:t>
        </x:is>
      </x:c>
      <x:c r="B11" s="148" t="inlineStr">
        <x:is>
          <x:t xml:space="preserve">Model Gateway</x:t>
        </x:is>
      </x:c>
      <x:c r="C11" s="148" t="inlineStr">
        <x:is>
          <x:t xml:space="preserve">Context Pack</x:t>
        </x:is>
      </x:c>
      <x:c r="D11" s="148" t="inlineStr">
        <x:is>
          <x:t xml:space="preserve">plan/patch requests</x:t>
        </x:is>
      </x:c>
      <x:c r="E11" s="148" t="inlineStr">
        <x:is>
          <x:t xml:space="preserve">Yes</x:t>
        </x:is>
      </x:c>
      <x:c r="F11" s="149" t="inlineStr">
        <x:is>
          <x:t xml:space="preserve">cheapest capable model</x:t>
        </x:is>
      </x:c>
    </x:row>
    <x:row r="12">
      <x:c r="A12" s="223" t="inlineStr">
        <x:is>
          <x:t xml:space="preserve">8 Progressive fetch</x:t>
        </x:is>
      </x:c>
      <x:c r="B12" s="284" t="inlineStr">
        <x:is>
          <x:t xml:space="preserve">readSymbol/readFile/findRefs tools</x:t>
        </x:is>
      </x:c>
      <x:c r="C12" s="284" t="inlineStr">
        <x:is>
          <x:t xml:space="preserve">model request</x:t>
        </x:is>
      </x:c>
      <x:c r="D12" s="284" t="inlineStr">
        <x:is>
          <x:t xml:space="preserve">additional exact context</x:t>
        </x:is>
      </x:c>
      <x:c r="E12" s="284" t="inlineStr">
        <x:is>
          <x:t xml:space="preserve">Yes tool loop</x:t>
        </x:is>
      </x:c>
      <x:c r="F12" s="225" t="inlineStr">
        <x:is>
          <x:t xml:space="preserve">no bulk repo dumps</x:t>
        </x:is>
      </x:c>
    </x:row>
    <x:row r="13">
      <x:c r="A13" s="156" t="inlineStr">
        <x:is>
          <x:t xml:space="preserve">9 Condense/checkpoint</x:t>
        </x:is>
      </x:c>
      <x:c r="B13" s="157" t="inlineStr">
        <x:is>
          <x:t xml:space="preserve">context condenser + event ledger</x:t>
        </x:is>
      </x:c>
      <x:c r="C13" s="157" t="inlineStr">
        <x:is>
          <x:t xml:space="preserve">long run</x:t>
        </x:is>
      </x:c>
      <x:c r="D13" s="157" t="inlineStr">
        <x:is>
          <x:t xml:space="preserve">evidence-backed working summary</x:t>
        </x:is>
      </x:c>
      <x:c r="E13" s="157" t="inlineStr">
        <x:is>
          <x:t xml:space="preserve">small model/deterministic</x:t>
        </x:is>
      </x:c>
      <x:c r="F13" s="158" t="inlineStr">
        <x:is>
          <x:t xml:space="preserve">avoid repeated history</x:t>
        </x:is>
      </x:c>
    </x:row>
  </x:sheetData>
  <x:mergeCells>
    <x:mergeCell ref="A2:F2"/>
    <x:mergeCell ref="A1:F1"/>
  </x:mergeCells>
  <x:pageMargins left="0.7" right="0.7" top="0.75" bottom="0.75" header="0.3" footer="0.3"/>
</x:worksheet>
</file>

<file path=xl/worksheets/sheet48.xml><?xml version="1.0" encoding="utf-8"?>
<x:worksheet xmlns:x="http://schemas.openxmlformats.org/spreadsheetml/2006/main">
  <x:sheetFormatPr baseColWidth="8" defaultRowHeight="15"/>
  <x:cols>
    <x:col min="1" max="1" width="10" style="40" customWidth="1"/>
    <x:col min="2" max="2" width="31" style="40" customWidth="1"/>
    <x:col min="3" max="3" width="27" style="40" customWidth="1"/>
    <x:col min="4" max="4" width="40" style="40" customWidth="1"/>
    <x:col min="5" max="5" width="33" style="40" customWidth="1"/>
    <x:col min="6" max="6" width="32" style="40" customWidth="1"/>
  </x:cols>
  <x:sheetData>
    <x:row r="1" s="40" customFormat="1" ht="30" customHeight="1">
      <x:c r="A1" s="380" t="inlineStr">
        <x:is>
          <x:t xml:space="preserve">OmniStackAI V5 — Project Memory</x:t>
        </x:is>
      </x:c>
      <x:c r="B1" s="375" t="n"/>
      <x:c r="C1" s="375" t="n"/>
      <x:c r="D1" s="375" t="n"/>
      <x:c r="E1" s="375" t="n"/>
      <x:c r="F1" s="375" t="n"/>
    </x:row>
    <x:row r="2" s="40" customFormat="1" ht="34" customHeight="1">
      <x:c r="A2" s="400" t="inlineStr">
        <x:is>
          <x:t xml:space="preserve">Persistent engineering memory is independent of chat. Raw chat is low-authority; accepted decisions are promoted into canonical project artifacts.</x:t>
        </x:is>
      </x:c>
      <x:c r="B2" s="375" t="n"/>
      <x:c r="C2" s="375" t="n"/>
      <x:c r="D2" s="375" t="n"/>
      <x:c r="E2" s="375" t="n"/>
      <x:c r="F2" s="375" t="n"/>
    </x:row>
    <x:row r="3"/>
    <x:row r="4" s="40" customFormat="1" ht="28" customHeight="1">
      <x:c r="A4" s="141" t="inlineStr">
        <x:is>
          <x:t xml:space="preserve">Priority</x:t>
        </x:is>
      </x:c>
      <x:c r="B4" s="142" t="inlineStr">
        <x:is>
          <x:t xml:space="preserve">Memory / Evidence</x:t>
        </x:is>
      </x:c>
      <x:c r="C4" s="142" t="inlineStr">
        <x:is>
          <x:t xml:space="preserve">Storage</x:t>
        </x:is>
      </x:c>
      <x:c r="D4" s="142" t="inlineStr">
        <x:is>
          <x:t xml:space="preserve">Examples</x:t>
        </x:is>
      </x:c>
      <x:c r="E4" s="142" t="inlineStr">
        <x:is>
          <x:t xml:space="preserve">Validation</x:t>
        </x:is>
      </x:c>
      <x:c r="F4" s="143" t="inlineStr">
        <x:is>
          <x:t xml:space="preserve">Use</x:t>
        </x:is>
      </x:c>
    </x:row>
    <x:row r="5">
      <x:c r="A5" s="144" t="n">
        <x:v>1</x:v>
      </x:c>
      <x:c r="B5" s="145" t="inlineStr">
        <x:is>
          <x:t xml:space="preserve">Current Git + canonical contracts</x:t>
        </x:is>
      </x:c>
      <x:c r="C5" s="145" t="inlineStr">
        <x:is>
          <x:t xml:space="preserve">Git</x:t>
        </x:is>
      </x:c>
      <x:c r="D5" s="145" t="inlineStr">
        <x:is>
          <x:t xml:space="preserve">source, OpenAPI, generated clients</x:t>
        </x:is>
      </x:c>
      <x:c r="E5" s="145" t="inlineStr">
        <x:is>
          <x:t xml:space="preserve">current branch/commit</x:t>
        </x:is>
      </x:c>
      <x:c r="F5" s="146" t="inlineStr">
        <x:is>
          <x:t xml:space="preserve">highest authority</x:t>
        </x:is>
      </x:c>
    </x:row>
    <x:row r="6">
      <x:c r="A6" s="223" t="n">
        <x:v>2</x:v>
      </x:c>
      <x:c r="B6" s="284" t="inlineStr">
        <x:is>
          <x:t xml:space="preserve">Application IR</x:t>
        </x:is>
      </x:c>
      <x:c r="C6" s="284" t="inlineStr">
        <x:is>
          <x:t xml:space="preserve">Git + metadata DB</x:t>
        </x:is>
      </x:c>
      <x:c r="D6" s="284" t="inlineStr">
        <x:is>
          <x:t xml:space="preserve">roles, screens, flows, entities, acceptance</x:t>
        </x:is>
      </x:c>
      <x:c r="E6" s="284" t="inlineStr">
        <x:is>
          <x:t xml:space="preserve">schema/hash/version</x:t>
        </x:is>
      </x:c>
      <x:c r="F6" s="225" t="inlineStr">
        <x:is>
          <x:t xml:space="preserve">cross-target truth</x:t>
        </x:is>
      </x:c>
    </x:row>
    <x:row r="7">
      <x:c r="A7" s="147" t="n">
        <x:v>3</x:v>
      </x:c>
      <x:c r="B7" s="148" t="inlineStr">
        <x:is>
          <x:t xml:space="preserve">Accepted requirements</x:t>
        </x:is>
      </x:c>
      <x:c r="C7" s="148" t="inlineStr">
        <x:is>
          <x:t xml:space="preserve">Git/DB</x:t>
        </x:is>
      </x:c>
      <x:c r="D7" s="148" t="inlineStr">
        <x:is>
          <x:t xml:space="preserve">business rules, constraints</x:t>
        </x:is>
      </x:c>
      <x:c r="E7" s="148" t="inlineStr">
        <x:is>
          <x:t xml:space="preserve">approval + traceability</x:t>
        </x:is>
      </x:c>
      <x:c r="F7" s="149" t="inlineStr">
        <x:is>
          <x:t xml:space="preserve">intent</x:t>
        </x:is>
      </x:c>
    </x:row>
    <x:row r="8">
      <x:c r="A8" s="223" t="n">
        <x:v>4</x:v>
      </x:c>
      <x:c r="B8" s="284" t="inlineStr">
        <x:is>
          <x:t xml:space="preserve">ADRs / policies</x:t>
        </x:is>
      </x:c>
      <x:c r="C8" s="284" t="inlineStr">
        <x:is>
          <x:t xml:space="preserve">Git</x:t>
        </x:is>
      </x:c>
      <x:c r="D8" s="284" t="inlineStr">
        <x:is>
          <x:t xml:space="preserve">framework, security, dependency decisions</x:t>
        </x:is>
      </x:c>
      <x:c r="E8" s="284" t="inlineStr">
        <x:is>
          <x:t xml:space="preserve">status + commit</x:t>
        </x:is>
      </x:c>
      <x:c r="F8" s="225" t="inlineStr">
        <x:is>
          <x:t xml:space="preserve">architecture guardrails</x:t>
        </x:is>
      </x:c>
    </x:row>
    <x:row r="9">
      <x:c r="A9" s="147" t="n">
        <x:v>5</x:v>
      </x:c>
      <x:c r="B9" s="148" t="inlineStr">
        <x:is>
          <x:t xml:space="preserve">DB/API schema</x:t>
        </x:is>
      </x:c>
      <x:c r="C9" s="148" t="inlineStr">
        <x:is>
          <x:t xml:space="preserve">Git/DB</x:t>
        </x:is>
      </x:c>
      <x:c r="D9" s="148" t="inlineStr">
        <x:is>
          <x:t xml:space="preserve">migrations, indexes, endpoints</x:t>
        </x:is>
      </x:c>
      <x:c r="E9" s="148" t="inlineStr">
        <x:is>
          <x:t xml:space="preserve">schema version</x:t>
        </x:is>
      </x:c>
      <x:c r="F9" s="149" t="inlineStr">
        <x:is>
          <x:t xml:space="preserve">data/API truth</x:t>
        </x:is>
      </x:c>
    </x:row>
    <x:row r="10">
      <x:c r="A10" s="223" t="n">
        <x:v>6</x:v>
      </x:c>
      <x:c r="B10" s="284" t="inlineStr">
        <x:is>
          <x:t xml:space="preserve">Tests / baselines</x:t>
        </x:is>
      </x:c>
      <x:c r="C10" s="284" t="inlineStr">
        <x:is>
          <x:t xml:space="preserve">Git/object storage</x:t>
        </x:is>
      </x:c>
      <x:c r="D10" s="284" t="inlineStr">
        <x:is>
          <x:t xml:space="preserve">unit, E2E, visual</x:t>
        </x:is>
      </x:c>
      <x:c r="E10" s="284" t="inlineStr">
        <x:is>
          <x:t xml:space="preserve">execution results</x:t>
        </x:is>
      </x:c>
      <x:c r="F10" s="225" t="inlineStr">
        <x:is>
          <x:t xml:space="preserve">behavior proof</x:t>
        </x:is>
      </x:c>
    </x:row>
    <x:row r="11">
      <x:c r="A11" s="147" t="n">
        <x:v>7</x:v>
      </x:c>
      <x:c r="B11" s="148" t="inlineStr">
        <x:is>
          <x:t xml:space="preserve">Runtime evidence</x:t>
        </x:is>
      </x:c>
      <x:c r="C11" s="148" t="inlineStr">
        <x:is>
          <x:t xml:space="preserve">observability/object storage</x:t>
        </x:is>
      </x:c>
      <x:c r="D11" s="148" t="inlineStr">
        <x:is>
          <x:t xml:space="preserve">crash, trace, deployment</x:t>
        </x:is>
      </x:c>
      <x:c r="E11" s="148" t="inlineStr">
        <x:is>
          <x:t xml:space="preserve">deployment + build ID</x:t>
        </x:is>
      </x:c>
      <x:c r="F11" s="149" t="inlineStr">
        <x:is>
          <x:t xml:space="preserve">bug diagnosis</x:t>
        </x:is>
      </x:c>
    </x:row>
    <x:row r="12">
      <x:c r="A12" s="223" t="n">
        <x:v>8</x:v>
      </x:c>
      <x:c r="B12" s="284" t="inlineStr">
        <x:is>
          <x:t xml:space="preserve">Git/task history</x:t>
        </x:is>
      </x:c>
      <x:c r="C12" s="284" t="inlineStr">
        <x:is>
          <x:t xml:space="preserve">Git/Postgres</x:t>
        </x:is>
      </x:c>
      <x:c r="D12" s="284" t="inlineStr">
        <x:is>
          <x:t xml:space="preserve">diffs, commits, PRs, incidents</x:t>
        </x:is>
      </x:c>
      <x:c r="E12" s="284" t="inlineStr">
        <x:is>
          <x:t xml:space="preserve">commit refs</x:t>
        </x:is>
      </x:c>
      <x:c r="F12" s="225" t="inlineStr">
        <x:is>
          <x:t xml:space="preserve">recent-change context</x:t>
        </x:is>
      </x:c>
    </x:row>
    <x:row r="13">
      <x:c r="A13" s="147" t="n">
        <x:v>9</x:v>
      </x:c>
      <x:c r="B13" s="148" t="inlineStr">
        <x:is>
          <x:t xml:space="preserve">Evidence-backed memory</x:t>
        </x:is>
      </x:c>
      <x:c r="C13" s="148" t="inlineStr">
        <x:is>
          <x:t xml:space="preserve">Postgres/pgvector</x:t>
        </x:is>
      </x:c>
      <x:c r="D13" s="148" t="inlineStr">
        <x:is>
          <x:t xml:space="preserve">reusable fact + source refs</x:t>
        </x:is>
      </x:c>
      <x:c r="E13" s="148" t="inlineStr">
        <x:is>
          <x:t xml:space="preserve">revalidate at current commit</x:t>
        </x:is>
      </x:c>
      <x:c r="F13" s="149" t="inlineStr">
        <x:is>
          <x:t xml:space="preserve">fast retrieval</x:t>
        </x:is>
      </x:c>
    </x:row>
    <x:row r="14">
      <x:c r="A14" s="239" t="n">
        <x:v>10</x:v>
      </x:c>
      <x:c r="B14" s="240" t="inlineStr">
        <x:is>
          <x:t xml:space="preserve">Raw chat</x:t>
        </x:is>
      </x:c>
      <x:c r="C14" s="240" t="inlineStr">
        <x:is>
          <x:t xml:space="preserve">conversation store</x:t>
        </x:is>
      </x:c>
      <x:c r="D14" s="240" t="inlineStr">
        <x:is>
          <x:t xml:space="preserve">brainstorming, discussion</x:t>
        </x:is>
      </x:c>
      <x:c r="E14" s="240" t="inlineStr">
        <x:is>
          <x:t xml:space="preserve">never canonical by itself</x:t>
        </x:is>
      </x:c>
      <x:c r="F14" s="241" t="inlineStr">
        <x:is>
          <x:t xml:space="preserve">last-resort history</x:t>
        </x:is>
      </x:c>
    </x:row>
  </x:sheetData>
  <x:mergeCells>
    <x:mergeCell ref="A2:F2"/>
    <x:mergeCell ref="A1:F1"/>
  </x:mergeCells>
  <x:pageMargins left="0.7" right="0.7" top="0.75" bottom="0.75" header="0.3" footer="0.3"/>
</x:worksheet>
</file>

<file path=xl/worksheets/sheet49.xml><?xml version="1.0" encoding="utf-8"?>
<x:worksheet xmlns:x="http://schemas.openxmlformats.org/spreadsheetml/2006/main">
  <x:sheetFormatPr baseColWidth="8" defaultRowHeight="15"/>
  <x:cols>
    <x:col min="1" max="1" width="25" style="40" customWidth="1"/>
    <x:col min="2" max="2" width="31" style="40" customWidth="1"/>
    <x:col min="3" max="3" width="38" style="40" customWidth="1"/>
    <x:col min="4" max="4" width="32" style="40" customWidth="1"/>
    <x:col min="5" max="5" width="32" style="40" customWidth="1"/>
    <x:col min="6" max="6" width="16" style="40" customWidth="1"/>
  </x:cols>
  <x:sheetData>
    <x:row r="1" s="40" customFormat="1" ht="30" customHeight="1">
      <x:c r="A1" s="380" t="inlineStr">
        <x:is>
          <x:t xml:space="preserve">OmniStackAI V5 — LLM Cost Optimization</x:t>
        </x:is>
      </x:c>
      <x:c r="B1" s="375" t="n"/>
      <x:c r="C1" s="375" t="n"/>
      <x:c r="D1" s="375" t="n"/>
      <x:c r="E1" s="375" t="n"/>
      <x:c r="F1" s="375" t="n"/>
    </x:row>
    <x:row r="2" s="40" customFormat="1" ht="34" customHeight="1">
      <x:c r="A2" s="400" t="inlineStr">
        <x:is>
          <x:t xml:space="preserve">Optimization target: successful verified change, not maximum model usage. Every stage has token, retry and compute budgets.</x:t>
        </x:is>
      </x:c>
      <x:c r="B2" s="375" t="n"/>
      <x:c r="C2" s="375" t="n"/>
      <x:c r="D2" s="375" t="n"/>
      <x:c r="E2" s="375" t="n"/>
      <x:c r="F2" s="375" t="n"/>
    </x:row>
    <x:row r="3"/>
    <x:row r="4" s="40" customFormat="1" ht="28" customHeight="1">
      <x:c r="A4" s="141" t="inlineStr">
        <x:is>
          <x:t xml:space="preserve">Optimization</x:t>
        </x:is>
      </x:c>
      <x:c r="B4" s="142" t="inlineStr">
        <x:is>
          <x:t xml:space="preserve">Mechanism</x:t>
        </x:is>
      </x:c>
      <x:c r="C4" s="142" t="inlineStr">
        <x:is>
          <x:t xml:space="preserve">Example</x:t>
        </x:is>
      </x:c>
      <x:c r="D4" s="142" t="inlineStr">
        <x:is>
          <x:t xml:space="preserve">Savings Source</x:t>
        </x:is>
      </x:c>
      <x:c r="E4" s="142" t="inlineStr">
        <x:is>
          <x:t xml:space="preserve">Guardrail / Metric</x:t>
        </x:is>
      </x:c>
      <x:c r="F4" s="143" t="inlineStr">
        <x:is>
          <x:t xml:space="preserve">Phase</x:t>
        </x:is>
      </x:c>
    </x:row>
    <x:row r="5">
      <x:c r="A5" s="144" t="inlineStr">
        <x:is>
          <x:t xml:space="preserve">Deterministic first</x:t>
        </x:is>
      </x:c>
      <x:c r="B5" s="145" t="inlineStr">
        <x:is>
          <x:t xml:space="preserve">AST/LSP/compiler/Git/schema</x:t>
        </x:is>
      </x:c>
      <x:c r="C5" s="145" t="inlineStr">
        <x:is>
          <x:t xml:space="preserve">find references without LLM</x:t>
        </x:is>
      </x:c>
      <x:c r="D5" s="145" t="inlineStr">
        <x:is>
          <x:t xml:space="preserve">avoid model call</x:t>
        </x:is>
      </x:c>
      <x:c r="E5" s="145" t="inlineStr">
        <x:is>
          <x:t xml:space="preserve">LLM calls avoided</x:t>
        </x:is>
      </x:c>
      <x:c r="F5" s="146" t="inlineStr">
        <x:is>
          <x:t xml:space="preserve">MVP</x:t>
        </x:is>
      </x:c>
    </x:row>
    <x:row r="6">
      <x:c r="A6" s="223" t="inlineStr">
        <x:is>
          <x:t xml:space="preserve">Progressive retrieval</x:t>
        </x:is>
      </x:c>
      <x:c r="B6" s="284" t="inlineStr">
        <x:is>
          <x:t xml:space="preserve">Context Pack + on-demand tools</x:t>
        </x:is>
      </x:c>
      <x:c r="C6" s="284" t="inlineStr">
        <x:is>
          <x:t xml:space="preserve">5 symbols before 30 files</x:t>
        </x:is>
      </x:c>
      <x:c r="D6" s="284" t="inlineStr">
        <x:is>
          <x:t xml:space="preserve">input-token reduction</x:t>
        </x:is>
      </x:c>
      <x:c r="E6" s="284" t="inlineStr">
        <x:is>
          <x:t xml:space="preserve">relevant-context hit rate</x:t>
        </x:is>
      </x:c>
      <x:c r="F6" s="225" t="inlineStr">
        <x:is>
          <x:t xml:space="preserve">MVP</x:t>
        </x:is>
      </x:c>
    </x:row>
    <x:row r="7">
      <x:c r="A7" s="147" t="inlineStr">
        <x:is>
          <x:t xml:space="preserve">Incremental indexing</x:t>
        </x:is>
      </x:c>
      <x:c r="B7" s="148" t="inlineStr">
        <x:is>
          <x:t xml:space="preserve">content hashes/Merkle-like tree</x:t>
        </x:is>
      </x:c>
      <x:c r="C7" s="148" t="inlineStr">
        <x:is>
          <x:t xml:space="preserve">re-index 3 changed files</x:t>
        </x:is>
      </x:c>
      <x:c r="D7" s="148" t="inlineStr">
        <x:is>
          <x:t xml:space="preserve">embedding/index cost</x:t>
        </x:is>
      </x:c>
      <x:c r="E7" s="148" t="inlineStr">
        <x:is>
          <x:t xml:space="preserve">index cache hit rate</x:t>
        </x:is>
      </x:c>
      <x:c r="F7" s="149" t="inlineStr">
        <x:is>
          <x:t xml:space="preserve">MVP/MID</x:t>
        </x:is>
      </x:c>
    </x:row>
    <x:row r="8">
      <x:c r="A8" s="223" t="inlineStr">
        <x:is>
          <x:t xml:space="preserve">Log compaction</x:t>
        </x:is>
      </x:c>
      <x:c r="B8" s="284" t="inlineStr">
        <x:is>
          <x:t xml:space="preserve">parse structured failures</x:t>
        </x:is>
      </x:c>
      <x:c r="C8" s="284" t="inlineStr">
        <x:is>
          <x:t xml:space="preserve">3 errors from 80k build lines</x:t>
        </x:is>
      </x:c>
      <x:c r="D8" s="284" t="inlineStr">
        <x:is>
          <x:t xml:space="preserve">input tokens + latency</x:t>
        </x:is>
      </x:c>
      <x:c r="E8" s="284" t="inlineStr">
        <x:is>
          <x:t xml:space="preserve">error extraction accuracy</x:t>
        </x:is>
      </x:c>
      <x:c r="F8" s="225" t="inlineStr">
        <x:is>
          <x:t xml:space="preserve">MVP</x:t>
        </x:is>
      </x:c>
    </x:row>
    <x:row r="9">
      <x:c r="A9" s="147" t="inlineStr">
        <x:is>
          <x:t xml:space="preserve">Model ladder</x:t>
        </x:is>
      </x:c>
      <x:c r="B9" s="148" t="inlineStr">
        <x:is>
          <x:t xml:space="preserve">L1 -&gt; L2 -&gt; L3 -&gt; L4</x:t>
        </x:is>
      </x:c>
      <x:c r="C9" s="148" t="inlineStr">
        <x:is>
          <x:t xml:space="preserve">cheap classify, strong debug only when needed</x:t>
        </x:is>
      </x:c>
      <x:c r="D9" s="148" t="inlineStr">
        <x:is>
          <x:t xml:space="preserve">provider/model spend</x:t>
        </x:is>
      </x:c>
      <x:c r="E9" s="148" t="inlineStr">
        <x:is>
          <x:t xml:space="preserve">model escalation rate</x:t>
        </x:is>
      </x:c>
      <x:c r="F9" s="149" t="inlineStr">
        <x:is>
          <x:t xml:space="preserve">MVP</x:t>
        </x:is>
      </x:c>
    </x:row>
    <x:row r="10">
      <x:c r="A10" s="223" t="inlineStr">
        <x:is>
          <x:t xml:space="preserve">Durable resume</x:t>
        </x:is>
      </x:c>
      <x:c r="B10" s="284" t="inlineStr">
        <x:is>
          <x:t xml:space="preserve">Temporal checkpoints</x:t>
        </x:is>
      </x:c>
      <x:c r="C10" s="284" t="inlineStr">
        <x:is>
          <x:t xml:space="preserve">resume after worker death</x:t>
        </x:is>
      </x:c>
      <x:c r="D10" s="284" t="inlineStr">
        <x:is>
          <x:t xml:space="preserve">avoid repeated build/model work</x:t>
        </x:is>
      </x:c>
      <x:c r="E10" s="284" t="inlineStr">
        <x:is>
          <x:t xml:space="preserve">resume success</x:t>
        </x:is>
      </x:c>
      <x:c r="F10" s="225" t="inlineStr">
        <x:is>
          <x:t xml:space="preserve">MVP</x:t>
        </x:is>
      </x:c>
    </x:row>
    <x:row r="11">
      <x:c r="A11" s="147" t="inlineStr">
        <x:is>
          <x:t xml:space="preserve">Browser first</x:t>
        </x:is>
      </x:c>
      <x:c r="B11" s="148" t="inlineStr">
        <x:is>
          <x:t xml:space="preserve">instant preview</x:t>
        </x:is>
      </x:c>
      <x:c r="C11" s="148" t="inlineStr">
        <x:is>
          <x:t xml:space="preserve">UI change no APK/IPA</x:t>
        </x:is>
      </x:c>
      <x:c r="D11" s="148" t="inlineStr">
        <x:is>
          <x:t xml:space="preserve">native build/device compute</x:t>
        </x:is>
      </x:c>
      <x:c r="E11" s="148" t="inlineStr">
        <x:is>
          <x:t xml:space="preserve">preview-to-build ratio</x:t>
        </x:is>
      </x:c>
      <x:c r="F11" s="149" t="inlineStr">
        <x:is>
          <x:t xml:space="preserve">MVP</x:t>
        </x:is>
      </x:c>
    </x:row>
    <x:row r="12">
      <x:c r="A12" s="223" t="inlineStr">
        <x:is>
          <x:t xml:space="preserve">Physical device first</x:t>
        </x:is>
      </x:c>
      <x:c r="B12" s="284" t="inlineStr">
        <x:is>
          <x:t xml:space="preserve">QR/TestFlight</x:t>
        </x:is>
      </x:c>
      <x:c r="C12" s="284" t="inlineStr">
        <x:is>
          <x:t xml:space="preserve">customer phone supplies CPU/GPU</x:t>
        </x:is>
      </x:c>
      <x:c r="D12" s="284" t="inlineStr">
        <x:is>
          <x:t xml:space="preserve">device-cloud spend</x:t>
        </x:is>
      </x:c>
      <x:c r="E12" s="284" t="inlineStr">
        <x:is>
          <x:t xml:space="preserve">cloud device avoidance</x:t>
        </x:is>
      </x:c>
      <x:c r="F12" s="225" t="inlineStr">
        <x:is>
          <x:t xml:space="preserve">MVP/MID</x:t>
        </x:is>
      </x:c>
    </x:row>
    <x:row r="13">
      <x:c r="A13" s="147" t="inlineStr">
        <x:is>
          <x:t xml:space="preserve">Native fingerprint</x:t>
        </x:is>
      </x:c>
      <x:c r="B13" s="148" t="inlineStr">
        <x:is>
          <x:t xml:space="preserve">reuse dev runtime</x:t>
        </x:is>
      </x:c>
      <x:c r="C13" s="148" t="inlineStr">
        <x:is>
          <x:t xml:space="preserve">JS change no new Expo client</x:t>
        </x:is>
      </x:c>
      <x:c r="D13" s="148" t="inlineStr">
        <x:is>
          <x:t xml:space="preserve">build minutes</x:t>
        </x:is>
      </x:c>
      <x:c r="E13" s="148" t="inlineStr">
        <x:is>
          <x:t xml:space="preserve">native rebuild avoidance</x:t>
        </x:is>
      </x:c>
      <x:c r="F13" s="149" t="inlineStr">
        <x:is>
          <x:t xml:space="preserve">MVP/MID</x:t>
        </x:is>
      </x:c>
    </x:row>
    <x:row r="14">
      <x:c r="A14" s="223" t="inlineStr">
        <x:is>
          <x:t xml:space="preserve">Build caches</x:t>
        </x:is>
      </x:c>
      <x:c r="B14" s="284" t="inlineStr">
        <x:is>
          <x:t xml:space="preserve">Gradle/pub/npm/SPM safe caches</x:t>
        </x:is>
      </x:c>
      <x:c r="C14" s="284" t="inlineStr">
        <x:is>
          <x:t xml:space="preserve">faster repeat build</x:t>
        </x:is>
      </x:c>
      <x:c r="D14" s="284" t="inlineStr">
        <x:is>
          <x:t xml:space="preserve">Linux/Mac minutes</x:t>
        </x:is>
      </x:c>
      <x:c r="E14" s="284" t="inlineStr">
        <x:is>
          <x:t xml:space="preserve">cache hit rate</x:t>
        </x:is>
      </x:c>
      <x:c r="F14" s="225" t="inlineStr">
        <x:is>
          <x:t xml:space="preserve">MVP/MID</x:t>
        </x:is>
      </x:c>
    </x:row>
    <x:row r="15">
      <x:c r="A15" s="156" t="inlineStr">
        <x:is>
          <x:t xml:space="preserve">Mac on demand</x:t>
        </x:is>
      </x:c>
      <x:c r="B15" s="157" t="inlineStr">
        <x:is>
          <x:t xml:space="preserve">schedule only Apple work</x:t>
        </x:is>
      </x:c>
      <x:c r="C15" s="157" t="inlineStr">
        <x:is>
          <x:t xml:space="preserve">Android never uses Mac</x:t>
        </x:is>
      </x:c>
      <x:c r="D15" s="157" t="inlineStr">
        <x:is>
          <x:t xml:space="preserve">Mac cost</x:t>
        </x:is>
      </x:c>
      <x:c r="E15" s="157" t="inlineStr">
        <x:is>
          <x:t xml:space="preserve">Mac minutes/iOS success</x:t>
        </x:is>
      </x:c>
      <x:c r="F15" s="158" t="inlineStr">
        <x:is>
          <x:t xml:space="preserve">MVP</x:t>
        </x:is>
      </x:c>
    </x:row>
  </x:sheetData>
  <x:mergeCells>
    <x:mergeCell ref="A2:F2"/>
    <x:mergeCell ref="A1:F1"/>
  </x:mergeCells>
  <x:pageMargins left="0.7" right="0.7" top="0.75" bottom="0.75" header="0.3" footer="0.3"/>
</x:worksheet>
</file>

<file path=xl/worksheets/sheet50.xml><?xml version="1.0" encoding="utf-8"?>
<x:worksheet xmlns:x="http://schemas.openxmlformats.org/spreadsheetml/2006/main">
  <x:sheetFormatPr baseColWidth="8" defaultRowHeight="15"/>
  <x:cols>
    <x:col min="1" max="1" width="31" style="40" customWidth="1"/>
    <x:col min="2" max="2" width="30" style="40" customWidth="1"/>
    <x:col min="3" max="3" width="28" style="40" customWidth="1"/>
    <x:col min="4" max="4" width="42" style="40" customWidth="1"/>
    <x:col min="5" max="5" width="31" style="40" customWidth="1"/>
    <x:col min="6" max="6" width="38" style="40" customWidth="1"/>
  </x:cols>
  <x:sheetData>
    <x:row r="1" s="40" customFormat="1" ht="30" customHeight="1">
      <x:c r="A1" s="380" t="inlineStr">
        <x:is>
          <x:t xml:space="preserve">OmniStackAI V5 — Database Strategy</x:t>
        </x:is>
      </x:c>
      <x:c r="B1" s="375" t="n"/>
      <x:c r="C1" s="375" t="n"/>
      <x:c r="D1" s="375" t="n"/>
      <x:c r="E1" s="375" t="n"/>
      <x:c r="F1" s="375" t="n"/>
    </x:row>
    <x:row r="2" s="40" customFormat="1" ht="34" customHeight="1">
      <x:c r="A2" s="400" t="inlineStr">
        <x:is>
          <x:t xml:space="preserve">OmniStackAI control plane is PostgreSQL. Generated customer databases are recommended from workload requirements, not copied from a competitor.</x:t>
        </x:is>
      </x:c>
      <x:c r="B2" s="375" t="n"/>
      <x:c r="C2" s="375" t="n"/>
      <x:c r="D2" s="375" t="n"/>
      <x:c r="E2" s="375" t="n"/>
      <x:c r="F2" s="375" t="n"/>
    </x:row>
    <x:row r="3"/>
    <x:row r="4" s="40" customFormat="1" ht="28" customHeight="1">
      <x:c r="A4" s="141" t="inlineStr">
        <x:is>
          <x:t xml:space="preserve">Scope / Workload</x:t>
        </x:is>
      </x:c>
      <x:c r="B4" s="142" t="inlineStr">
        <x:is>
          <x:t xml:space="preserve">Recommended</x:t>
        </x:is>
      </x:c>
      <x:c r="C4" s="142" t="inlineStr">
        <x:is>
          <x:t xml:space="preserve">Alternative</x:t>
        </x:is>
      </x:c>
      <x:c r="D4" s="142" t="inlineStr">
        <x:is>
          <x:t xml:space="preserve">Why</x:t>
        </x:is>
      </x:c>
      <x:c r="E4" s="142" t="inlineStr">
        <x:is>
          <x:t xml:space="preserve">Key Features</x:t>
        </x:is>
      </x:c>
      <x:c r="F4" s="143" t="inlineStr">
        <x:is>
          <x:t xml:space="preserve">Risk / Caveat</x:t>
        </x:is>
      </x:c>
    </x:row>
    <x:row r="5">
      <x:c r="A5" s="144" t="inlineStr">
        <x:is>
          <x:t xml:space="preserve">OmniStackAI control plane</x:t>
        </x:is>
      </x:c>
      <x:c r="B5" s="145" t="inlineStr">
        <x:is>
          <x:t xml:space="preserve">PostgreSQL + pgvector + JSONB</x:t>
        </x:is>
      </x:c>
      <x:c r="C5" s="145" t="inlineStr">
        <x:is>
          <x:t xml:space="preserve">specialized stores later</x:t>
        </x:is>
      </x:c>
      <x:c r="D5" s="145" t="inlineStr">
        <x:is>
          <x:t xml:space="preserve">transactions, constraints, joins, audit, one primary DB</x:t>
        </x:is>
      </x:c>
      <x:c r="E5" s="145" t="inlineStr">
        <x:is>
          <x:t xml:space="preserve">RLS where useful, HA, backups</x:t>
        </x:is>
      </x:c>
      <x:c r="F5" s="146" t="inlineStr">
        <x:is>
          <x:t xml:space="preserve">do not overload Postgres with huge raw logs</x:t>
        </x:is>
      </x:c>
    </x:row>
    <x:row r="6">
      <x:c r="A6" s="223" t="inlineStr">
        <x:is>
          <x:t xml:space="preserve">E-commerce / marketplace</x:t>
        </x:is>
      </x:c>
      <x:c r="B6" s="284" t="inlineStr">
        <x:is>
          <x:t xml:space="preserve">PostgreSQL</x:t>
        </x:is>
      </x:c>
      <x:c r="C6" s="284" t="inlineStr">
        <x:is>
          <x:t xml:space="preserve">Supabase/Postgres</x:t>
        </x:is>
      </x:c>
      <x:c r="D6" s="284" t="inlineStr">
        <x:is>
          <x:t xml:space="preserve">orders, inventory, refunds, payments relational</x:t>
        </x:is>
      </x:c>
      <x:c r="E6" s="284" t="inlineStr">
        <x:is>
          <x:t xml:space="preserve">FKs, transactions, indexes</x:t>
        </x:is>
      </x:c>
      <x:c r="F6" s="225" t="inlineStr">
        <x:is>
          <x:t xml:space="preserve">design money/idempotency carefully</x:t>
        </x:is>
      </x:c>
    </x:row>
    <x:row r="7">
      <x:c r="A7" s="147" t="inlineStr">
        <x:is>
          <x:t xml:space="preserve">SaaS / CRM / ERP</x:t>
        </x:is>
      </x:c>
      <x:c r="B7" s="148" t="inlineStr">
        <x:is>
          <x:t xml:space="preserve">PostgreSQL</x:t>
        </x:is>
      </x:c>
      <x:c r="C7" s="148" t="inlineStr">
        <x:is>
          <x:t xml:space="preserve">Supabase/Postgres</x:t>
        </x:is>
      </x:c>
      <x:c r="D7" s="148" t="inlineStr">
        <x:is>
          <x:t xml:space="preserve">relational reporting and permissions</x:t>
        </x:is>
      </x:c>
      <x:c r="E7" s="148" t="inlineStr">
        <x:is>
          <x:t xml:space="preserve">constraints, JSONB</x:t>
        </x:is>
      </x:c>
      <x:c r="F7" s="149" t="inlineStr">
        <x:is>
          <x:t xml:space="preserve">tenant isolation</x:t>
        </x:is>
      </x:c>
    </x:row>
    <x:row r="8">
      <x:c r="A8" s="223" t="inlineStr">
        <x:is>
          <x:t xml:space="preserve">Taxi / logistics</x:t>
        </x:is>
      </x:c>
      <x:c r="B8" s="284" t="inlineStr">
        <x:is>
          <x:t xml:space="preserve">PostgreSQL + PostGIS</x:t>
        </x:is>
      </x:c>
      <x:c r="C8" s="284" t="inlineStr">
        <x:is>
          <x:t xml:space="preserve">existing GIS</x:t>
        </x:is>
      </x:c>
      <x:c r="D8" s="284" t="inlineStr">
        <x:is>
          <x:t xml:space="preserve">relational + geospatial</x:t>
        </x:is>
      </x:c>
      <x:c r="E8" s="284" t="inlineStr">
        <x:is>
          <x:t xml:space="preserve">spatial indexes</x:t>
        </x:is>
      </x:c>
      <x:c r="F8" s="225" t="inlineStr">
        <x:is>
          <x:t xml:space="preserve">route engines may be separate</x:t>
        </x:is>
      </x:c>
    </x:row>
    <x:row r="9">
      <x:c r="A9" s="147" t="inlineStr">
        <x:is>
          <x:t xml:space="preserve">Flexible documents/CMS</x:t>
        </x:is>
      </x:c>
      <x:c r="B9" s="148" t="inlineStr">
        <x:is>
          <x:t xml:space="preserve">PostgreSQL JSONB</x:t>
        </x:is>
      </x:c>
      <x:c r="C9" s="148" t="inlineStr">
        <x:is>
          <x:t xml:space="preserve">MongoDB</x:t>
        </x:is>
      </x:c>
      <x:c r="D9" s="148" t="inlineStr">
        <x:is>
          <x:t xml:space="preserve">flexibility without losing relational core</x:t>
        </x:is>
      </x:c>
      <x:c r="E9" s="148" t="inlineStr">
        <x:is>
          <x:t xml:space="preserve">GIN/JSONB</x:t>
        </x:is>
      </x:c>
      <x:c r="F9" s="149" t="inlineStr">
        <x:is>
          <x:t xml:space="preserve">Mongo may win on document-specific workload</x:t>
        </x:is>
      </x:c>
    </x:row>
    <x:row r="10">
      <x:c r="A10" s="223" t="inlineStr">
        <x:is>
          <x:t xml:space="preserve">Rapid mobile BaaS</x:t>
        </x:is>
      </x:c>
      <x:c r="B10" s="284" t="inlineStr">
        <x:is>
          <x:t xml:space="preserve">Supabase/Postgres</x:t>
        </x:is>
      </x:c>
      <x:c r="C10" s="284" t="inlineStr">
        <x:is>
          <x:t xml:space="preserve">Firebase/Firestore</x:t>
        </x:is>
      </x:c>
      <x:c r="D10" s="284" t="inlineStr">
        <x:is>
          <x:t xml:space="preserve">fast auth/storage/realtime</x:t>
        </x:is>
      </x:c>
      <x:c r="E10" s="284" t="inlineStr">
        <x:is>
          <x:t xml:space="preserve">managed BaaS</x:t>
        </x:is>
      </x:c>
      <x:c r="F10" s="225" t="inlineStr">
        <x:is>
          <x:t xml:space="preserve">portability/transaction constraints</x:t>
        </x:is>
      </x:c>
    </x:row>
    <x:row r="11">
      <x:c r="A11" s="147" t="inlineStr">
        <x:is>
          <x:t xml:space="preserve">Existing enterprise</x:t>
        </x:is>
      </x:c>
      <x:c r="B11" s="148" t="inlineStr">
        <x:is>
          <x:t xml:space="preserve">Existing database adapter</x:t>
        </x:is>
      </x:c>
      <x:c r="C11" s="148" t="inlineStr">
        <x:is>
          <x:t xml:space="preserve">migration</x:t>
        </x:is>
      </x:c>
      <x:c r="D11" s="148" t="inlineStr">
        <x:is>
          <x:t xml:space="preserve">least disruption</x:t>
        </x:is>
      </x:c>
      <x:c r="E11" s="148" t="inlineStr">
        <x:is>
          <x:t xml:space="preserve">contracts/IR portable</x:t>
        </x:is>
      </x:c>
      <x:c r="F11" s="149" t="inlineStr">
        <x:is>
          <x:t xml:space="preserve">never force rewrite silently</x:t>
        </x:is>
      </x:c>
    </x:row>
    <x:row r="12">
      <x:c r="A12" s="239" t="inlineStr">
        <x:is>
          <x:t xml:space="preserve">High-volume analytics later</x:t>
        </x:is>
      </x:c>
      <x:c r="B12" s="240" t="inlineStr">
        <x:is>
          <x:t xml:space="preserve">ClickHouse/warehouse when measured</x:t>
        </x:is>
      </x:c>
      <x:c r="C12" s="240" t="inlineStr">
        <x:is>
          <x:t xml:space="preserve">managed warehouse</x:t>
        </x:is>
      </x:c>
      <x:c r="D12" s="240" t="inlineStr">
        <x:is>
          <x:t xml:space="preserve">columnar analytics</x:t>
        </x:is>
      </x:c>
      <x:c r="E12" s="240" t="inlineStr">
        <x:is>
          <x:t xml:space="preserve">large event queries</x:t>
        </x:is>
      </x:c>
      <x:c r="F12" s="241" t="inlineStr">
        <x:is>
          <x:t xml:space="preserve">not MVP default</x:t>
        </x:is>
      </x:c>
    </x:row>
  </x:sheetData>
  <x:mergeCells>
    <x:mergeCell ref="A2:F2"/>
    <x:mergeCell ref="A1:F1"/>
  </x:mergeCells>
  <x:pageMargins left="0.7" right="0.7" top="0.75" bottom="0.75" header="0.3" footer="0.3"/>
</x:worksheet>
</file>

<file path=xl/worksheets/sheet51.xml><?xml version="1.0" encoding="utf-8"?>
<x:worksheet xmlns:x="http://schemas.openxmlformats.org/spreadsheetml/2006/main">
  <x:sheetFormatPr baseColWidth="8" defaultRowHeight="15"/>
  <x:cols>
    <x:col min="1" max="1" width="9" style="40" customWidth="1"/>
    <x:col min="2" max="2" width="36" style="40" customWidth="1"/>
    <x:col min="3" max="3" width="31" style="40" customWidth="1"/>
    <x:col min="4" max="4" width="42" style="40" customWidth="1"/>
    <x:col min="5" max="5" width="18" style="40" customWidth="1"/>
    <x:col min="6" max="6" width="34" style="40" customWidth="1"/>
  </x:cols>
  <x:sheetData>
    <x:row r="1" s="40" customFormat="1" ht="30" customHeight="1">
      <x:c r="A1" s="380" t="inlineStr">
        <x:is>
          <x:t xml:space="preserve">OmniStackAI V5 — Incident Bug Flow</x:t>
        </x:is>
      </x:c>
      <x:c r="B1" s="375" t="n"/>
      <x:c r="C1" s="375" t="n"/>
      <x:c r="D1" s="375" t="n"/>
      <x:c r="E1" s="375" t="n"/>
      <x:c r="F1" s="375" t="n"/>
    </x:row>
    <x:row r="2" s="40" customFormat="1" ht="34" customHeight="1">
      <x:c r="A2" s="400" t="inlineStr">
        <x:is>
          <x:t xml:space="preserve">Production bug handling for a large project months or years later. The platform reconstructs current engineering context from evidence, not old chat.</x:t>
        </x:is>
      </x:c>
      <x:c r="B2" s="375" t="n"/>
      <x:c r="C2" s="375" t="n"/>
      <x:c r="D2" s="375" t="n"/>
      <x:c r="E2" s="375" t="n"/>
      <x:c r="F2" s="375" t="n"/>
    </x:row>
    <x:row r="3"/>
    <x:row r="4" s="40" customFormat="1" ht="28" customHeight="1">
      <x:c r="A4" s="141" t="inlineStr">
        <x:is>
          <x:t xml:space="preserve">Step</x:t>
        </x:is>
      </x:c>
      <x:c r="B4" s="142" t="inlineStr">
        <x:is>
          <x:t xml:space="preserve">Action</x:t>
        </x:is>
      </x:c>
      <x:c r="C4" s="142" t="inlineStr">
        <x:is>
          <x:t xml:space="preserve">Primary System</x:t>
        </x:is>
      </x:c>
      <x:c r="D4" s="142" t="inlineStr">
        <x:is>
          <x:t xml:space="preserve">Evidence / Output</x:t>
        </x:is>
      </x:c>
      <x:c r="E4" s="142" t="inlineStr">
        <x:is>
          <x:t xml:space="preserve">Approval?</x:t>
        </x:is>
      </x:c>
      <x:c r="F4" s="143" t="inlineStr">
        <x:is>
          <x:t xml:space="preserve">Cost Rule</x:t>
        </x:is>
      </x:c>
    </x:row>
    <x:row r="5">
      <x:c r="A5" s="144" t="n">
        <x:v>1</x:v>
      </x:c>
      <x:c r="B5" s="145" t="inlineStr">
        <x:is>
          <x:t xml:space="preserve">User reports crash/change</x:t>
        </x:is>
      </x:c>
      <x:c r="C5" s="145" t="inlineStr">
        <x:is>
          <x:t xml:space="preserve">Chat/Issue Agent</x:t>
        </x:is>
      </x:c>
      <x:c r="D5" s="145" t="inlineStr">
        <x:is>
          <x:t xml:space="preserve">BUG task + feature clues</x:t>
        </x:is>
      </x:c>
      <x:c r="E5" s="145" t="inlineStr">
        <x:is>
          <x:t xml:space="preserve">No</x:t>
        </x:is>
      </x:c>
      <x:c r="F5" s="146" t="inlineStr">
        <x:is>
          <x:t xml:space="preserve">small model or structured parse</x:t>
        </x:is>
      </x:c>
    </x:row>
    <x:row r="6">
      <x:c r="A6" s="223" t="n">
        <x:v>2</x:v>
      </x:c>
      <x:c r="B6" s="284" t="inlineStr">
        <x:is>
          <x:t xml:space="preserve">Identify exact production version</x:t>
        </x:is>
      </x:c>
      <x:c r="C6" s="284" t="inlineStr">
        <x:is>
          <x:t xml:space="preserve">Deployment/Git/IR index</x:t>
        </x:is>
      </x:c>
      <x:c r="D6" s="284" t="inlineStr">
        <x:is>
          <x:t xml:space="preserve">deployment, commit, IR, DB version</x:t>
        </x:is>
      </x:c>
      <x:c r="E6" s="284" t="inlineStr">
        <x:is>
          <x:t xml:space="preserve">No</x:t>
        </x:is>
      </x:c>
      <x:c r="F6" s="225" t="inlineStr">
        <x:is>
          <x:t xml:space="preserve">deterministic</x:t>
        </x:is>
      </x:c>
    </x:row>
    <x:row r="7">
      <x:c r="A7" s="147" t="n">
        <x:v>3</x:v>
      </x:c>
      <x:c r="B7" s="148" t="inlineStr">
        <x:is>
          <x:t xml:space="preserve">Collect runtime evidence</x:t>
        </x:is>
      </x:c>
      <x:c r="C7" s="148" t="inlineStr">
        <x:is>
          <x:t xml:space="preserve">Observability/Remote Debug Bridge</x:t>
        </x:is>
      </x:c>
      <x:c r="D7" s="148" t="inlineStr">
        <x:is>
          <x:t xml:space="preserve">crash, trace, device, logs</x:t>
        </x:is>
      </x:c>
      <x:c r="E7" s="148" t="inlineStr">
        <x:is>
          <x:t xml:space="preserve">Access policy</x:t>
        </x:is>
      </x:c>
      <x:c r="F7" s="149" t="inlineStr">
        <x:is>
          <x:t xml:space="preserve">retrieve only relevant trace</x:t>
        </x:is>
      </x:c>
    </x:row>
    <x:row r="8">
      <x:c r="A8" s="223" t="n">
        <x:v>4</x:v>
      </x:c>
      <x:c r="B8" s="284" t="inlineStr">
        <x:is>
          <x:t xml:space="preserve">Build Context Pack</x:t>
        </x:is>
      </x:c>
      <x:c r="C8" s="284" t="inlineStr">
        <x:is>
          <x:t xml:space="preserve">Context Engine</x:t>
        </x:is>
      </x:c>
      <x:c r="D8" s="284" t="inlineStr">
        <x:is>
          <x:t xml:space="preserve">requirements, ADRs, symbols, recent commits, tests</x:t>
        </x:is>
      </x:c>
      <x:c r="E8" s="284" t="inlineStr">
        <x:is>
          <x:t xml:space="preserve">No</x:t>
        </x:is>
      </x:c>
      <x:c r="F8" s="225" t="inlineStr">
        <x:is>
          <x:t xml:space="preserve">bounded context</x:t>
        </x:is>
      </x:c>
    </x:row>
    <x:row r="9">
      <x:c r="A9" s="147" t="n">
        <x:v>5</x:v>
      </x:c>
      <x:c r="B9" s="148" t="inlineStr">
        <x:is>
          <x:t xml:space="preserve">Predict blast radius</x:t>
        </x:is>
      </x:c>
      <x:c r="C9" s="148" t="inlineStr">
        <x:is>
          <x:t xml:space="preserve">Change Impact</x:t>
        </x:is>
      </x:c>
      <x:c r="D9" s="148" t="inlineStr">
        <x:is>
          <x:t xml:space="preserve">allowed modules/APIs/schema/tests</x:t>
        </x:is>
      </x:c>
      <x:c r="E9" s="148" t="inlineStr">
        <x:is>
          <x:t xml:space="preserve">Policy-based</x:t>
        </x:is>
      </x:c>
      <x:c r="F9" s="149" t="inlineStr">
        <x:is>
          <x:t xml:space="preserve">no broad repo edit</x:t>
        </x:is>
      </x:c>
    </x:row>
    <x:row r="10">
      <x:c r="A10" s="223" t="n">
        <x:v>6</x:v>
      </x:c>
      <x:c r="B10" s="284" t="inlineStr">
        <x:is>
          <x:t xml:space="preserve">Create branch/worktree</x:t>
        </x:is>
      </x:c>
      <x:c r="C10" s="284" t="inlineStr">
        <x:is>
          <x:t xml:space="preserve">GitProvider</x:t>
        </x:is>
      </x:c>
      <x:c r="D10" s="284" t="inlineStr">
        <x:is>
          <x:t xml:space="preserve">ai/BUG-... isolated task</x:t>
        </x:is>
      </x:c>
      <x:c r="E10" s="284" t="inlineStr">
        <x:is>
          <x:t xml:space="preserve">No</x:t>
        </x:is>
      </x:c>
      <x:c r="F10" s="225" t="inlineStr">
        <x:is>
          <x:t xml:space="preserve">cheap</x:t>
        </x:is>
      </x:c>
    </x:row>
    <x:row r="11">
      <x:c r="A11" s="147" t="n">
        <x:v>7</x:v>
      </x:c>
      <x:c r="B11" s="148" t="inlineStr">
        <x:is>
          <x:t xml:space="preserve">Reproduce</x:t>
        </x:is>
      </x:c>
      <x:c r="C11" s="148" t="inlineStr">
        <x:is>
          <x:t xml:space="preserve">RuntimeProvider</x:t>
        </x:is>
      </x:c>
      <x:c r="D11" s="148" t="inlineStr">
        <x:is>
          <x:t xml:space="preserve">confirmed failing case</x:t>
        </x:is>
      </x:c>
      <x:c r="E11" s="148" t="inlineStr">
        <x:is>
          <x:t xml:space="preserve">No</x:t>
        </x:is>
      </x:c>
      <x:c r="F11" s="149" t="inlineStr">
        <x:is>
          <x:t xml:space="preserve">cheapest capable runtime</x:t>
        </x:is>
      </x:c>
    </x:row>
    <x:row r="12">
      <x:c r="A12" s="223" t="n">
        <x:v>8</x:v>
      </x:c>
      <x:c r="B12" s="284" t="inlineStr">
        <x:is>
          <x:t xml:space="preserve">Patch</x:t>
        </x:is>
      </x:c>
      <x:c r="C12" s="284" t="inlineStr">
        <x:is>
          <x:t xml:space="preserve">Coding Agent</x:t>
        </x:is>
      </x:c>
      <x:c r="D12" s="284" t="inlineStr">
        <x:is>
          <x:t xml:space="preserve">structured minimal diff</x:t>
        </x:is>
      </x:c>
      <x:c r="E12" s="284" t="inlineStr">
        <x:is>
          <x:t xml:space="preserve">No/Policy</x:t>
        </x:is>
      </x:c>
      <x:c r="F12" s="225" t="inlineStr">
        <x:is>
          <x:t xml:space="preserve">L2 model; escalate only if needed</x:t>
        </x:is>
      </x:c>
    </x:row>
    <x:row r="13">
      <x:c r="A13" s="147" t="n">
        <x:v>9</x:v>
      </x:c>
      <x:c r="B13" s="148" t="inlineStr">
        <x:is>
          <x:t xml:space="preserve">Verify</x:t>
        </x:is>
      </x:c>
      <x:c r="C13" s="148" t="inlineStr">
        <x:is>
          <x:t xml:space="preserve">Tests/Security</x:t>
        </x:is>
      </x:c>
      <x:c r="D13" s="148" t="inlineStr">
        <x:is>
          <x:t xml:space="preserve">targeted + regression + blast radius</x:t>
        </x:is>
      </x:c>
      <x:c r="E13" s="148" t="inlineStr">
        <x:is>
          <x:t xml:space="preserve">No</x:t>
        </x:is>
      </x:c>
      <x:c r="F13" s="149" t="inlineStr">
        <x:is>
          <x:t xml:space="preserve">deterministic first</x:t>
        </x:is>
      </x:c>
    </x:row>
    <x:row r="14">
      <x:c r="A14" s="223" t="n">
        <x:v>10</x:v>
      </x:c>
      <x:c r="B14" s="284" t="inlineStr">
        <x:is>
          <x:t xml:space="preserve">Instant Browser Preview</x:t>
        </x:is>
      </x:c>
      <x:c r="C14" s="284" t="inlineStr">
        <x:is>
          <x:t xml:space="preserve">Preview Service</x:t>
        </x:is>
      </x:c>
      <x:c r="D14" s="284" t="inlineStr">
        <x:is>
          <x:t xml:space="preserve">visible fix FIRST</x:t>
        </x:is>
      </x:c>
      <x:c r="E14" s="284" t="inlineStr">
        <x:is>
          <x:t xml:space="preserve">User review</x:t>
        </x:is>
      </x:c>
      <x:c r="F14" s="225" t="inlineStr">
        <x:is>
          <x:t xml:space="preserve">lowest runtime</x:t>
        </x:is>
      </x:c>
    </x:row>
    <x:row r="15">
      <x:c r="A15" s="147" t="n">
        <x:v>11</x:v>
      </x:c>
      <x:c r="B15" s="148" t="inlineStr">
        <x:is>
          <x:t xml:space="preserve">Real device / cloud device if required</x:t>
        </x:is>
      </x:c>
      <x:c r="C15" s="148" t="inlineStr">
        <x:is>
          <x:t xml:space="preserve">DeviceProvider</x:t>
        </x:is>
      </x:c>
      <x:c r="D15" s="148" t="inlineStr">
        <x:is>
          <x:t xml:space="preserve">actual native proof</x:t>
        </x:is>
      </x:c>
      <x:c r="E15" s="148" t="inlineStr">
        <x:is>
          <x:t xml:space="preserve">User/policy</x:t>
        </x:is>
      </x:c>
      <x:c r="F15" s="149" t="inlineStr">
        <x:is>
          <x:t xml:space="preserve">physical before cloud</x:t>
        </x:is>
      </x:c>
    </x:row>
    <x:row r="16">
      <x:c r="A16" s="223" t="n">
        <x:v>12</x:v>
      </x:c>
      <x:c r="B16" s="284" t="inlineStr">
        <x:is>
          <x:t xml:space="preserve">PR -&gt; staging -&gt; prod</x:t>
        </x:is>
      </x:c>
      <x:c r="C16" s="284" t="inlineStr">
        <x:is>
          <x:t xml:space="preserve">Git/Deployment</x:t>
        </x:is>
      </x:c>
      <x:c r="D16" s="284" t="inlineStr">
        <x:is>
          <x:t xml:space="preserve">approved immutable release</x:t>
        </x:is>
      </x:c>
      <x:c r="E16" s="284" t="inlineStr">
        <x:is>
          <x:t xml:space="preserve">Yes for production</x:t>
        </x:is>
      </x:c>
      <x:c r="F16" s="225" t="inlineStr">
        <x:is>
          <x:t xml:space="preserve">no repeated side effects</x:t>
        </x:is>
      </x:c>
    </x:row>
    <x:row r="17">
      <x:c r="A17" s="156" t="n">
        <x:v>13</x:v>
      </x:c>
      <x:c r="B17" s="157" t="inlineStr">
        <x:is>
          <x:t xml:space="preserve">Persist incident memory</x:t>
        </x:is>
      </x:c>
      <x:c r="C17" s="157" t="inlineStr">
        <x:is>
          <x:t xml:space="preserve">Project Memory</x:t>
        </x:is>
      </x:c>
      <x:c r="D17" s="157" t="inlineStr">
        <x:is>
          <x:t xml:space="preserve">cause, diff, tests, release, similarity refs</x:t>
        </x:is>
      </x:c>
      <x:c r="E17" s="157" t="inlineStr">
        <x:is>
          <x:t xml:space="preserve">No</x:t>
        </x:is>
      </x:c>
      <x:c r="F17" s="158" t="inlineStr">
        <x:is>
          <x:t xml:space="preserve">future cost reduction</x:t>
        </x:is>
      </x:c>
    </x:row>
  </x:sheetData>
  <x:mergeCells>
    <x:mergeCell ref="A2:F2"/>
    <x:mergeCell ref="A1:F1"/>
  </x:mergeCells>
  <x:pageMargins left="0.7" right="0.7" top="0.75" bottom="0.75" header="0.3" footer="0.3"/>
</x:worksheet>
</file>

<file path=xl/worksheets/sheet52.xml><?xml version="1.0" encoding="utf-8"?>
<x:worksheet xmlns:x="http://schemas.openxmlformats.org/spreadsheetml/2006/main">
  <x:sheetFormatPr baseColWidth="8" defaultRowHeight="15"/>
  <x:cols>
    <x:col min="1" max="1" width="31" style="40" customWidth="1"/>
    <x:col min="2" max="2" width="31" style="40" customWidth="1"/>
    <x:col min="3" max="3" width="30" style="40" customWidth="1"/>
    <x:col min="4" max="4" width="29" style="40" customWidth="1"/>
    <x:col min="5" max="5" width="29" style="40" customWidth="1"/>
    <x:col min="6" max="6" width="34" style="40" customWidth="1"/>
    <x:col min="7" max="7" width="43" style="40" customWidth="1"/>
  </x:cols>
  <x:sheetData>
    <x:row r="1" s="40" customFormat="1" ht="30" customHeight="1">
      <x:c r="A1" s="380" t="inlineStr">
        <x:is>
          <x:t xml:space="preserve">OmniStackAI V5 — Competitor Matrix</x:t>
        </x:is>
      </x:c>
      <x:c r="B1" s="375" t="n"/>
      <x:c r="C1" s="375" t="n"/>
      <x:c r="D1" s="375" t="n"/>
      <x:c r="E1" s="375" t="n"/>
      <x:c r="F1" s="375" t="n"/>
      <x:c r="G1" s="375" t="n"/>
    </x:row>
    <x:row r="2" s="40" customFormat="1" ht="34" customHeight="1">
      <x:c r="A2" s="400" t="inlineStr">
        <x:is>
          <x:t xml:space="preserve">Publicly documented position as of September 2026. Use for internal strategy; revalidate before external marketing.</x:t>
        </x:is>
      </x:c>
      <x:c r="B2" s="375" t="n"/>
      <x:c r="C2" s="375" t="n"/>
      <x:c r="D2" s="375" t="n"/>
      <x:c r="E2" s="375" t="n"/>
      <x:c r="F2" s="375" t="n"/>
      <x:c r="G2" s="375" t="n"/>
    </x:row>
    <x:row r="3"/>
    <x:row r="4" s="40" customFormat="1" ht="28" customHeight="1">
      <x:c r="A4" s="141" t="inlineStr">
        <x:is>
          <x:t xml:space="preserve">Capability</x:t>
        </x:is>
      </x:c>
      <x:c r="B4" s="142" t="inlineStr">
        <x:is>
          <x:t xml:space="preserve">Emergent</x:t>
        </x:is>
      </x:c>
      <x:c r="C4" s="142" t="inlineStr">
        <x:is>
          <x:t xml:space="preserve">Lovable</x:t>
        </x:is>
      </x:c>
      <x:c r="D4" s="142" t="inlineStr">
        <x:is>
          <x:t xml:space="preserve">Bolt</x:t>
        </x:is>
      </x:c>
      <x:c r="E4" s="142" t="inlineStr">
        <x:is>
          <x:t xml:space="preserve">Replit</x:t>
        </x:is>
      </x:c>
      <x:c r="F4" s="142" t="inlineStr">
        <x:is>
          <x:t xml:space="preserve">Cursor/Windsurf reference</x:t>
        </x:is>
      </x:c>
      <x:c r="G4" s="143" t="inlineStr">
        <x:is>
          <x:t xml:space="preserve">OmniStackAI Target</x:t>
        </x:is>
      </x:c>
    </x:row>
    <x:row r="5">
      <x:c r="A5" s="144" t="inlineStr">
        <x:is>
          <x:t xml:space="preserve">Full product from natural language</x:t>
        </x:is>
      </x:c>
      <x:c r="B5" s="145" t="inlineStr">
        <x:is>
          <x:t xml:space="preserve">Yes</x:t>
        </x:is>
      </x:c>
      <x:c r="C5" s="145" t="inlineStr">
        <x:is>
          <x:t xml:space="preserve">Yes, web-focused</x:t>
        </x:is>
      </x:c>
      <x:c r="D5" s="145" t="inlineStr">
        <x:is>
          <x:t xml:space="preserve">Yes</x:t>
        </x:is>
      </x:c>
      <x:c r="E5" s="145" t="inlineStr">
        <x:is>
          <x:t xml:space="preserve">Yes</x:t>
        </x:is>
      </x:c>
      <x:c r="F5" s="145" t="inlineStr">
        <x:is>
          <x:t xml:space="preserve">Developer-agent focus</x:t>
        </x:is>
      </x:c>
      <x:c r="G5" s="146" t="inlineStr">
        <x:is>
          <x:t xml:space="preserve">Yes</x:t>
        </x:is>
      </x:c>
    </x:row>
    <x:row r="6">
      <x:c r="A6" s="223" t="inlineStr">
        <x:is>
          <x:t xml:space="preserve">Mobile generated stack</x:t>
        </x:is>
      </x:c>
      <x:c r="B6" s="284" t="inlineStr">
        <x:is>
          <x:t xml:space="preserve">Expo/React Native</x:t>
        </x:is>
      </x:c>
      <x:c r="C6" s="284" t="inlineStr">
        <x:is>
          <x:t xml:space="preserve">No native-generation core in public docs</x:t>
        </x:is>
      </x:c>
      <x:c r="D6" s="284" t="inlineStr">
        <x:is>
          <x:t xml:space="preserve">Expo</x:t>
        </x:is>
      </x:c>
      <x:c r="E6" s="284" t="inlineStr">
        <x:is>
          <x:t xml:space="preserve">React Native/Expo</x:t>
        </x:is>
      </x:c>
      <x:c r="F6" s="284" t="inlineStr">
        <x:is>
          <x:t xml:space="preserve">IDE assistants</x:t>
        </x:is>
      </x:c>
      <x:c r="G6" s="225" t="inlineStr">
        <x:is>
          <x:t xml:space="preserve">Expo/RN + Flutter + Kotlin + Swift</x:t>
        </x:is>
      </x:c>
    </x:row>
    <x:row r="7">
      <x:c r="A7" s="147" t="inlineStr">
        <x:is>
          <x:t xml:space="preserve">Flutter/native Kotlin/native Swift</x:t>
        </x:is>
      </x:c>
      <x:c r="B7" s="148" t="inlineStr">
        <x:is>
          <x:t xml:space="preserve">Emergent Mobile Agent says unsupported</x:t>
        </x:is>
      </x:c>
      <x:c r="C7" s="148" t="inlineStr">
        <x:is>
          <x:t xml:space="preserve">Not core</x:t>
        </x:is>
      </x:c>
      <x:c r="D7" s="148" t="inlineStr">
        <x:is>
          <x:t xml:space="preserve">Not core</x:t>
        </x:is>
      </x:c>
      <x:c r="E7" s="148" t="inlineStr">
        <x:is>
          <x:t xml:space="preserve">Not core</x:t>
        </x:is>
      </x:c>
      <x:c r="F7" s="148" t="inlineStr">
        <x:is>
          <x:t xml:space="preserve">Can edit existing repos</x:t>
        </x:is>
      </x:c>
      <x:c r="G7" s="149" t="inlineStr">
        <x:is>
          <x:t xml:space="preserve">First-class adapters</x:t>
        </x:is>
      </x:c>
    </x:row>
    <x:row r="8">
      <x:c r="A8" s="223" t="inlineStr">
        <x:is>
          <x:t xml:space="preserve">Database default/direction</x:t>
        </x:is>
      </x:c>
      <x:c r="B8" s="284" t="inlineStr">
        <x:is>
          <x:t xml:space="preserve">MongoDB common/default generated stack</x:t>
        </x:is>
      </x:c>
      <x:c r="C8" s="284" t="inlineStr">
        <x:is>
          <x:t xml:space="preserve">PostgreSQL via Cloud/Supabase foundation</x:t>
        </x:is>
      </x:c>
      <x:c r="D8" s="284" t="inlineStr">
        <x:is>
          <x:t xml:space="preserve">JS/Supabase options</x:t>
        </x:is>
      </x:c>
      <x:c r="E8" s="284" t="inlineStr">
        <x:is>
          <x:t xml:space="preserve">multiple services</x:t>
        </x:is>
      </x:c>
      <x:c r="F8" s="284" t="inlineStr">
        <x:is>
          <x:t xml:space="preserve">works with existing repo</x:t>
        </x:is>
      </x:c>
      <x:c r="G8" s="225" t="inlineStr">
        <x:is>
          <x:t xml:space="preserve">Auto -&gt; PostgreSQL; Mongo/Supabase/Firebase/existing optional</x:t>
        </x:is>
      </x:c>
    </x:row>
    <x:row r="9">
      <x:c r="A9" s="147" t="inlineStr">
        <x:is>
          <x:t xml:space="preserve">Execution</x:t>
        </x:is>
      </x:c>
      <x:c r="B9" s="148" t="inlineStr">
        <x:is>
          <x:t xml:space="preserve">Full Linux K8s pods</x:t>
        </x:is>
      </x:c>
      <x:c r="C9" s="148" t="inlineStr">
        <x:is>
          <x:t xml:space="preserve">Managed cloud</x:t>
        </x:is>
      </x:c>
      <x:c r="D9" s="148" t="inlineStr">
        <x:is>
          <x:t xml:space="preserve">WebContainers/browser-centered</x:t>
        </x:is>
      </x:c>
      <x:c r="E9" s="148" t="inlineStr">
        <x:is>
          <x:t xml:space="preserve">Cloud workspace</x:t>
        </x:is>
      </x:c>
      <x:c r="F9" s="148" t="inlineStr">
        <x:is>
          <x:t xml:space="preserve">developer environments</x:t>
        </x:is>
      </x:c>
      <x:c r="G9" s="149" t="inlineStr">
        <x:is>
          <x:t xml:space="preserve">Tiered browser/Linux/microVM/Android/macOS/local/BYOC</x:t>
        </x:is>
      </x:c>
    </x:row>
    <x:row r="10">
      <x:c r="A10" s="223" t="inlineStr">
        <x:is>
          <x:t xml:space="preserve">Low-cost device preview</x:t>
        </x:is>
      </x:c>
      <x:c r="B10" s="284" t="inlineStr">
        <x:is>
          <x:t xml:space="preserve">Expo Go/EAS</x:t>
        </x:is>
      </x:c>
      <x:c r="C10" s="284" t="inlineStr">
        <x:is>
          <x:t xml:space="preserve">N/A native</x:t>
        </x:is>
      </x:c>
      <x:c r="D10" s="284" t="inlineStr">
        <x:is>
          <x:t xml:space="preserve">Expo Go/EAS</x:t>
        </x:is>
      </x:c>
      <x:c r="E10" s="284" t="inlineStr">
        <x:is>
          <x:t xml:space="preserve">Expo Go</x:t>
        </x:is>
      </x:c>
      <x:c r="F10" s="284" t="inlineStr">
        <x:is>
          <x:t xml:space="preserve">N/A builder platform</x:t>
        </x:is>
      </x:c>
      <x:c r="G10" s="225" t="inlineStr">
        <x:is>
          <x:t xml:space="preserve">Browser first + Expo QR + APK QR + TestFlight</x:t>
        </x:is>
      </x:c>
    </x:row>
    <x:row r="11">
      <x:c r="A11" s="147" t="inlineStr">
        <x:is>
          <x:t xml:space="preserve">Long workflow durability</x:t>
        </x:is>
      </x:c>
      <x:c r="B11" s="148" t="inlineStr">
        <x:is>
          <x:t xml:space="preserve">Temporal publicly documented</x:t>
        </x:is>
      </x:c>
      <x:c r="C11" s="148" t="inlineStr">
        <x:is>
          <x:t xml:space="preserve">Managed product behavior</x:t>
        </x:is>
      </x:c>
      <x:c r="D11" s="148" t="inlineStr">
        <x:is>
          <x:t xml:space="preserve">Managed product behavior</x:t>
        </x:is>
      </x:c>
      <x:c r="E11" s="148" t="inlineStr">
        <x:is>
          <x:t xml:space="preserve">Checkpoints/agent infra</x:t>
        </x:is>
      </x:c>
      <x:c r="F11" s="148" t="inlineStr">
        <x:is>
          <x:t xml:space="preserve">Agent state varies</x:t>
        </x:is>
      </x:c>
      <x:c r="G11" s="149" t="inlineStr">
        <x:is>
          <x:t xml:space="preserve">Temporal + platform-owned event ledger</x:t>
        </x:is>
      </x:c>
    </x:row>
    <x:row r="12">
      <x:c r="A12" s="223" t="inlineStr">
        <x:is>
          <x:t xml:space="preserve">Project context/memory</x:t>
        </x:is>
      </x:c>
      <x:c r="B12" s="284" t="inlineStr">
        <x:is>
          <x:t xml:space="preserve">~200K + compression/forks + filtered subagents</x:t>
        </x:is>
      </x:c>
      <x:c r="C12" s="284" t="inlineStr">
        <x:is>
          <x:t xml:space="preserve">Project/workspace knowledge</x:t>
        </x:is>
      </x:c>
      <x:c r="D12" s="284" t="inlineStr">
        <x:is>
          <x:t xml:space="preserve">Project Knowledge + context cleanup</x:t>
        </x:is>
      </x:c>
      <x:c r="E12" s="284" t="inlineStr">
        <x:is>
          <x:t xml:space="preserve">Checkpoints/context</x:t>
        </x:is>
      </x:c>
      <x:c r="F12" s="284" t="inlineStr">
        <x:is>
          <x:t xml:space="preserve">Rules/memories + indexed retrieval</x:t>
        </x:is>
      </x:c>
      <x:c r="G12" s="225" t="inlineStr">
        <x:is>
          <x:t xml:space="preserve">IR + code graph + runtime evidence + evidence-backed memory</x:t>
        </x:is>
      </x:c>
    </x:row>
    <x:row r="13">
      <x:c r="A13" s="147" t="inlineStr">
        <x:is>
          <x:t xml:space="preserve">Code ownership</x:t>
        </x:is>
      </x:c>
      <x:c r="B13" s="148" t="inlineStr">
        <x:is>
          <x:t xml:space="preserve">GitHub/export</x:t>
        </x:is>
      </x:c>
      <x:c r="C13" s="148" t="inlineStr">
        <x:is>
          <x:t xml:space="preserve">Git sync/export</x:t>
        </x:is>
      </x:c>
      <x:c r="D13" s="148" t="inlineStr">
        <x:is>
          <x:t xml:space="preserve">GitHub</x:t>
        </x:is>
      </x:c>
      <x:c r="E13" s="148" t="inlineStr">
        <x:is>
          <x:t xml:space="preserve">Git</x:t>
        </x:is>
      </x:c>
      <x:c r="F13" s="148" t="inlineStr">
        <x:is>
          <x:t xml:space="preserve">existing repo</x:t>
        </x:is>
      </x:c>
      <x:c r="G13" s="149" t="inlineStr">
        <x:is>
          <x:t xml:space="preserve">customer Git + handover</x:t>
        </x:is>
      </x:c>
    </x:row>
    <x:row r="14">
      <x:c r="A14" s="239" t="inlineStr">
        <x:is>
          <x:t xml:space="preserve">Primary differentiation</x:t>
        </x:is>
      </x:c>
      <x:c r="B14" s="240" t="inlineStr">
        <x:is>
          <x:t xml:space="preserve">full Linux + autonomous app build</x:t>
        </x:is>
      </x:c>
      <x:c r="C14" s="240" t="inlineStr">
        <x:is>
          <x:t xml:space="preserve">smooth full-stack web UX</x:t>
        </x:is>
      </x:c>
      <x:c r="D14" s="240" t="inlineStr">
        <x:is>
          <x:t xml:space="preserve">browser speed + JS/Expo</x:t>
        </x:is>
      </x:c>
      <x:c r="E14" s="240" t="inlineStr">
        <x:is>
          <x:t xml:space="preserve">integrated cloud dev + Expo</x:t>
        </x:is>
      </x:c>
      <x:c r="F14" s="240" t="inlineStr">
        <x:is>
          <x:t xml:space="preserve">deep developer code context</x:t>
        </x:is>
      </x:c>
      <x:c r="G14" s="241" t="inlineStr">
        <x:is>
          <x:t xml:space="preserve">multi-target engineering + cost/safety governance</x:t>
        </x:is>
      </x:c>
    </x:row>
  </x:sheetData>
  <x:mergeCells>
    <x:mergeCell ref="A2:G2"/>
    <x:mergeCell ref="A1:G1"/>
  </x:mergeCells>
  <x:pageMargins left="0.7" right="0.7" top="0.75" bottom="0.75" header="0.3" footer="0.3"/>
</x:worksheet>
</file>

<file path=xl/worksheets/sheet53.xml><?xml version="1.0" encoding="utf-8"?>
<x:worksheet xmlns:x="http://schemas.openxmlformats.org/spreadsheetml/2006/main">
  <x:sheetFormatPr baseColWidth="8" defaultRowHeight="15"/>
  <x:cols>
    <x:col min="1" max="1" width="30" style="40" customWidth="1"/>
    <x:col min="2" max="2" width="14" style="40" customWidth="1"/>
    <x:col min="3" max="3" width="31" style="40" customWidth="1"/>
    <x:col min="4" max="4" width="44" style="40" customWidth="1"/>
    <x:col min="5" max="5" width="36" style="40" customWidth="1"/>
    <x:col min="6" max="6" width="15" style="40" customWidth="1"/>
  </x:cols>
  <x:sheetData>
    <x:row r="1" s="40" customFormat="1" ht="30" customHeight="1">
      <x:c r="A1" s="380" t="inlineStr">
        <x:is>
          <x:t xml:space="preserve">OmniStackAI V5 — Client Handover</x:t>
        </x:is>
      </x:c>
      <x:c r="B1" s="375" t="n"/>
      <x:c r="C1" s="375" t="n"/>
      <x:c r="D1" s="375" t="n"/>
      <x:c r="E1" s="375" t="n"/>
      <x:c r="F1" s="375" t="n"/>
    </x:row>
    <x:row r="2" s="40" customFormat="1" ht="34" customHeight="1">
      <x:c r="A2" s="400" t="inlineStr">
        <x:is>
          <x:t xml:space="preserve">Customer source ownership is a product feature. A project must remain maintainable outside OmniStackAI.</x:t>
        </x:is>
      </x:c>
      <x:c r="B2" s="375" t="n"/>
      <x:c r="C2" s="375" t="n"/>
      <x:c r="D2" s="375" t="n"/>
      <x:c r="E2" s="375" t="n"/>
      <x:c r="F2" s="375" t="n"/>
    </x:row>
    <x:row r="3"/>
    <x:row r="4" s="40" customFormat="1" ht="28" customHeight="1">
      <x:c r="A4" s="141" t="inlineStr">
        <x:is>
          <x:t xml:space="preserve">Deliverable</x:t>
        </x:is>
      </x:c>
      <x:c r="B4" s="142" t="inlineStr">
        <x:is>
          <x:t xml:space="preserve">Required</x:t>
        </x:is>
      </x:c>
      <x:c r="C4" s="142" t="inlineStr">
        <x:is>
          <x:t xml:space="preserve">Generated / Verified By</x:t>
        </x:is>
      </x:c>
      <x:c r="D4" s="142" t="inlineStr">
        <x:is>
          <x:t xml:space="preserve">Contains</x:t>
        </x:is>
      </x:c>
      <x:c r="E4" s="142" t="inlineStr">
        <x:is>
          <x:t xml:space="preserve">Must Exclude</x:t>
        </x:is>
      </x:c>
      <x:c r="F4" s="143" t="inlineStr">
        <x:is>
          <x:t xml:space="preserve">Phase</x:t>
        </x:is>
      </x:c>
    </x:row>
    <x:row r="5">
      <x:c r="A5" s="144" t="inlineStr">
        <x:is>
          <x:t xml:space="preserve">Source repository</x:t>
        </x:is>
      </x:c>
      <x:c r="B5" s="145" t="inlineStr">
        <x:is>
          <x:t xml:space="preserve">Yes</x:t>
        </x:is>
      </x:c>
      <x:c r="C5" s="145" t="inlineStr">
        <x:is>
          <x:t xml:space="preserve">GitProvider</x:t>
        </x:is>
      </x:c>
      <x:c r="D5" s="145" t="inlineStr">
        <x:is>
          <x:t xml:space="preserve">all customer source + history</x:t>
        </x:is>
      </x:c>
      <x:c r="E5" s="145" t="inlineStr">
        <x:is>
          <x:t xml:space="preserve">platform internal secrets</x:t>
        </x:is>
      </x:c>
      <x:c r="F5" s="146" t="inlineStr">
        <x:is>
          <x:t xml:space="preserve">MVP</x:t>
        </x:is>
      </x:c>
    </x:row>
    <x:row r="6">
      <x:c r="A6" s="223" t="inlineStr">
        <x:is>
          <x:t xml:space="preserve">Application IR</x:t>
        </x:is>
      </x:c>
      <x:c r="B6" s="284" t="inlineStr">
        <x:is>
          <x:t xml:space="preserve">Yes</x:t>
        </x:is>
      </x:c>
      <x:c r="C6" s="284" t="inlineStr">
        <x:is>
          <x:t xml:space="preserve">IR service</x:t>
        </x:is>
      </x:c>
      <x:c r="D6" s="284" t="inlineStr">
        <x:is>
          <x:t xml:space="preserve">product behavior, targets, acceptance</x:t>
        </x:is>
      </x:c>
      <x:c r="E6" s="284" t="inlineStr">
        <x:is>
          <x:t xml:space="preserve">raw private chat dumps</x:t>
        </x:is>
      </x:c>
      <x:c r="F6" s="225" t="inlineStr">
        <x:is>
          <x:t xml:space="preserve">MVP</x:t>
        </x:is>
      </x:c>
    </x:row>
    <x:row r="7">
      <x:c r="A7" s="147" t="inlineStr">
        <x:is>
          <x:t xml:space="preserve">ADRs / architecture</x:t>
        </x:is>
      </x:c>
      <x:c r="B7" s="148" t="inlineStr">
        <x:is>
          <x:t xml:space="preserve">Yes</x:t>
        </x:is>
      </x:c>
      <x:c r="C7" s="148" t="inlineStr">
        <x:is>
          <x:t xml:space="preserve">Architect/Review</x:t>
        </x:is>
      </x:c>
      <x:c r="D7" s="148" t="inlineStr">
        <x:is>
          <x:t xml:space="preserve">decisions, reasons, exit strategies</x:t>
        </x:is>
      </x:c>
      <x:c r="E7" s="148" t="inlineStr">
        <x:is>
          <x:t xml:space="preserve">unverified assumptions</x:t>
        </x:is>
      </x:c>
      <x:c r="F7" s="149" t="inlineStr">
        <x:is>
          <x:t xml:space="preserve">MVP/MID</x:t>
        </x:is>
      </x:c>
    </x:row>
    <x:row r="8">
      <x:c r="A8" s="223" t="inlineStr">
        <x:is>
          <x:t xml:space="preserve">API contracts</x:t>
        </x:is>
      </x:c>
      <x:c r="B8" s="284" t="inlineStr">
        <x:is>
          <x:t xml:space="preserve">Yes</x:t>
        </x:is>
      </x:c>
      <x:c r="C8" s="284" t="inlineStr">
        <x:is>
          <x:t xml:space="preserve">Contract service</x:t>
        </x:is>
      </x:c>
      <x:c r="D8" s="284" t="inlineStr">
        <x:is>
          <x:t xml:space="preserve">OpenAPI/AsyncAPI/generated clients</x:t>
        </x:is>
      </x:c>
      <x:c r="E8" s="284" t="inlineStr">
        <x:is>
          <x:t xml:space="preserve">secrets</x:t>
        </x:is>
      </x:c>
      <x:c r="F8" s="225" t="inlineStr">
        <x:is>
          <x:t xml:space="preserve">MVP</x:t>
        </x:is>
      </x:c>
    </x:row>
    <x:row r="9">
      <x:c r="A9" s="147" t="inlineStr">
        <x:is>
          <x:t xml:space="preserve">DB package</x:t>
        </x:is>
      </x:c>
      <x:c r="B9" s="148" t="inlineStr">
        <x:is>
          <x:t xml:space="preserve">Yes</x:t>
        </x:is>
      </x:c>
      <x:c r="C9" s="148" t="inlineStr">
        <x:is>
          <x:t xml:space="preserve">DB agent</x:t>
        </x:is>
      </x:c>
      <x:c r="D9" s="148" t="inlineStr">
        <x:is>
          <x:t xml:space="preserve">schema/migrations/seeds</x:t>
        </x:is>
      </x:c>
      <x:c r="E9" s="148" t="inlineStr">
        <x:is>
          <x:t xml:space="preserve">production credentials</x:t>
        </x:is>
      </x:c>
      <x:c r="F9" s="149" t="inlineStr">
        <x:is>
          <x:t xml:space="preserve">MVP</x:t>
        </x:is>
      </x:c>
    </x:row>
    <x:row r="10">
      <x:c r="A10" s="223" t="inlineStr">
        <x:is>
          <x:t xml:space="preserve">Developer setup</x:t>
        </x:is>
      </x:c>
      <x:c r="B10" s="284" t="inlineStr">
        <x:is>
          <x:t xml:space="preserve">Yes</x:t>
        </x:is>
      </x:c>
      <x:c r="C10" s="284" t="inlineStr">
        <x:is>
          <x:t xml:space="preserve">Template/build service</x:t>
        </x:is>
      </x:c>
      <x:c r="D10" s="284" t="inlineStr">
        <x:is>
          <x:t xml:space="preserve">bootstrap/lint/test/build/preview</x:t>
        </x:is>
      </x:c>
      <x:c r="E10" s="284" t="inlineStr">
        <x:is>
          <x:t xml:space="preserve">internal-only infra endpoints</x:t>
        </x:is>
      </x:c>
      <x:c r="F10" s="225" t="inlineStr">
        <x:is>
          <x:t xml:space="preserve">MVP/MID</x:t>
        </x:is>
      </x:c>
    </x:row>
    <x:row r="11">
      <x:c r="A11" s="147" t="inlineStr">
        <x:is>
          <x:t xml:space="preserve">CI/CD &amp; deployment</x:t>
        </x:is>
      </x:c>
      <x:c r="B11" s="148" t="inlineStr">
        <x:is>
          <x:t xml:space="preserve">Yes</x:t>
        </x:is>
      </x:c>
      <x:c r="C11" s="148" t="inlineStr">
        <x:is>
          <x:t xml:space="preserve">Deployment service</x:t>
        </x:is>
      </x:c>
      <x:c r="D11" s="148" t="inlineStr">
        <x:is>
          <x:t xml:space="preserve">environments, promotion, rollback</x:t>
        </x:is>
      </x:c>
      <x:c r="E11" s="148" t="inlineStr">
        <x:is>
          <x:t xml:space="preserve">private keys</x:t>
        </x:is>
      </x:c>
      <x:c r="F11" s="149" t="inlineStr">
        <x:is>
          <x:t xml:space="preserve">MID</x:t>
        </x:is>
      </x:c>
    </x:row>
    <x:row r="12">
      <x:c r="A12" s="223" t="inlineStr">
        <x:is>
          <x:t xml:space="preserve">Security/SBOM/provenance</x:t>
        </x:is>
      </x:c>
      <x:c r="B12" s="284" t="inlineStr">
        <x:is>
          <x:t xml:space="preserve">Yes</x:t>
        </x:is>
      </x:c>
      <x:c r="C12" s="284" t="inlineStr">
        <x:is>
          <x:t xml:space="preserve">Security/release</x:t>
        </x:is>
      </x:c>
      <x:c r="D12" s="284" t="inlineStr">
        <x:is>
          <x:t xml:space="preserve">scan reports, licenses, digests</x:t>
        </x:is>
      </x:c>
      <x:c r="E12" s="284" t="inlineStr">
        <x:is>
          <x:t xml:space="preserve">sensitive scanner credentials</x:t>
        </x:is>
      </x:c>
      <x:c r="F12" s="225" t="inlineStr">
        <x:is>
          <x:t xml:space="preserve">MID</x:t>
        </x:is>
      </x:c>
    </x:row>
    <x:row r="13">
      <x:c r="A13" s="147" t="inlineStr">
        <x:is>
          <x:t xml:space="preserve">Signing ownership checklist</x:t>
        </x:is>
      </x:c>
      <x:c r="B13" s="148" t="inlineStr">
        <x:is>
          <x:t xml:space="preserve">Mobile projects</x:t>
        </x:is>
      </x:c>
      <x:c r="C13" s="148" t="inlineStr">
        <x:is>
          <x:t xml:space="preserve">Signing service</x:t>
        </x:is>
      </x:c>
      <x:c r="D13" s="148" t="inlineStr">
        <x:is>
          <x:t xml:space="preserve">key ownership/process/App Store/Play ownership</x:t>
        </x:is>
      </x:c>
      <x:c r="E13" s="148" t="inlineStr">
        <x:is>
          <x:t xml:space="preserve">raw private keys</x:t>
        </x:is>
      </x:c>
      <x:c r="F13" s="149" t="inlineStr">
        <x:is>
          <x:t xml:space="preserve">MID</x:t>
        </x:is>
      </x:c>
    </x:row>
    <x:row r="14">
      <x:c r="A14" s="239" t="inlineStr">
        <x:is>
          <x:t xml:space="preserve">Release history/runbooks</x:t>
        </x:is>
      </x:c>
      <x:c r="B14" s="240" t="inlineStr">
        <x:is>
          <x:t xml:space="preserve">Yes</x:t>
        </x:is>
      </x:c>
      <x:c r="C14" s="240" t="inlineStr">
        <x:is>
          <x:t xml:space="preserve">Deployment/observability</x:t>
        </x:is>
      </x:c>
      <x:c r="D14" s="240" t="inlineStr">
        <x:is>
          <x:t xml:space="preserve">versions, incidents, operations</x:t>
        </x:is>
      </x:c>
      <x:c r="E14" s="240" t="inlineStr">
        <x:is>
          <x:t xml:space="preserve">unnecessary user PII</x:t>
        </x:is>
      </x:c>
      <x:c r="F14" s="241" t="inlineStr">
        <x:is>
          <x:t xml:space="preserve">MID</x:t>
        </x:is>
      </x:c>
    </x:row>
  </x:sheetData>
  <x:mergeCells>
    <x:mergeCell ref="A2:F2"/>
    <x:mergeCell ref="A1:F1"/>
  </x:mergeCells>
  <x:pageMargins left="0.7" right="0.7" top="0.75" bottom="0.75" header="0.3" footer="0.3"/>
</x:worksheet>
</file>

<file path=xl/worksheets/sheet54.xml><?xml version="1.0" encoding="utf-8"?>
<x:worksheet xmlns:x="http://schemas.openxmlformats.org/spreadsheetml/2006/main">
  <x:sheetFormatPr baseColWidth="8" defaultRowHeight="15"/>
  <x:cols>
    <x:col min="1" max="1" width="20" style="40" customWidth="1"/>
    <x:col min="2" max="2" width="45" style="40" customWidth="1"/>
    <x:col min="3" max="3" width="30" style="40" customWidth="1"/>
    <x:col min="4" max="4" width="34" style="40" customWidth="1"/>
    <x:col min="5" max="5" width="42" style="40" customWidth="1"/>
    <x:col min="6" max="6" width="36" style="40" customWidth="1"/>
    <x:col min="7" max="7" width="21" style="40" customWidth="1"/>
  </x:cols>
  <x:sheetData>
    <x:row r="1" s="40" customFormat="1" ht="30" customHeight="1">
      <x:c r="A1" s="380" t="inlineStr">
        <x:is>
          <x:t xml:space="preserve">OmniStackAI V5 — Publishing Release</x:t>
        </x:is>
      </x:c>
      <x:c r="B1" s="375" t="n"/>
      <x:c r="C1" s="375" t="n"/>
      <x:c r="D1" s="375" t="n"/>
      <x:c r="E1" s="375" t="n"/>
      <x:c r="F1" s="375" t="n"/>
      <x:c r="G1" s="375" t="n"/>
    </x:row>
    <x:row r="2" s="40" customFormat="1" ht="34" customHeight="1">
      <x:c r="A2" s="400" t="inlineStr">
        <x:is>
          <x:t xml:space="preserve">Immutable, traceable releases for web, Android and iOS. Coding agents never read raw signing keys.</x:t>
        </x:is>
      </x:c>
      <x:c r="B2" s="375" t="n"/>
      <x:c r="C2" s="375" t="n"/>
      <x:c r="D2" s="375" t="n"/>
      <x:c r="E2" s="375" t="n"/>
      <x:c r="F2" s="375" t="n"/>
      <x:c r="G2" s="375" t="n"/>
    </x:row>
    <x:row r="3"/>
    <x:row r="4" s="40" customFormat="1" ht="28" customHeight="1">
      <x:c r="A4" s="141" t="inlineStr">
        <x:is>
          <x:t xml:space="preserve">Target</x:t>
        </x:is>
      </x:c>
      <x:c r="B4" s="142" t="inlineStr">
        <x:is>
          <x:t xml:space="preserve">Pipeline</x:t>
        </x:is>
      </x:c>
      <x:c r="C4" s="142" t="inlineStr">
        <x:is>
          <x:t xml:space="preserve">Artifact</x:t>
        </x:is>
      </x:c>
      <x:c r="D4" s="142" t="inlineStr">
        <x:is>
          <x:t xml:space="preserve">Signing</x:t>
        </x:is>
      </x:c>
      <x:c r="E4" s="142" t="inlineStr">
        <x:is>
          <x:t xml:space="preserve">Promotion / Store</x:t>
        </x:is>
      </x:c>
      <x:c r="F4" s="142" t="inlineStr">
        <x:is>
          <x:t xml:space="preserve">Rollback</x:t>
        </x:is>
      </x:c>
      <x:c r="G4" s="143" t="inlineStr">
        <x:is>
          <x:t xml:space="preserve">Approval</x:t>
        </x:is>
      </x:c>
    </x:row>
    <x:row r="5">
      <x:c r="A5" s="144" t="inlineStr">
        <x:is>
          <x:t xml:space="preserve">Web</x:t>
        </x:is>
      </x:c>
      <x:c r="B5" s="145" t="inlineStr">
        <x:is>
          <x:t xml:space="preserve">commit -&gt; build/test/scan -&gt; OCI -&gt; health</x:t>
        </x:is>
      </x:c>
      <x:c r="C5" s="145" t="inlineStr">
        <x:is>
          <x:t xml:space="preserve">OCI image + SBOM + digest</x:t>
        </x:is>
      </x:c>
      <x:c r="D5" s="145" t="inlineStr">
        <x:is>
          <x:t xml:space="preserve">Cosign/supply-chain signing</x:t>
        </x:is>
      </x:c>
      <x:c r="E5" s="145" t="inlineStr">
        <x:is>
          <x:t xml:space="preserve">preview -&gt; staging -&gt; isolated production -&gt; atomic traffic switch</x:t>
        </x:is>
      </x:c>
      <x:c r="F5" s="145" t="inlineStr">
        <x:is>
          <x:t xml:space="preserve">pointer to previous known-good run</x:t>
        </x:is>
      </x:c>
      <x:c r="G5" s="146" t="inlineStr">
        <x:is>
          <x:t xml:space="preserve">production</x:t>
        </x:is>
      </x:c>
    </x:row>
    <x:row r="6">
      <x:c r="A6" s="223" t="inlineStr">
        <x:is>
          <x:t xml:space="preserve">Backend</x:t>
        </x:is>
      </x:c>
      <x:c r="B6" s="284" t="inlineStr">
        <x:is>
          <x:t xml:space="preserve">commit -&gt; test/container/migrations check</x:t>
        </x:is>
      </x:c>
      <x:c r="C6" s="284" t="inlineStr">
        <x:is>
          <x:t xml:space="preserve">OCI image</x:t>
        </x:is>
      </x:c>
      <x:c r="D6" s="284" t="inlineStr">
        <x:is>
          <x:t xml:space="preserve">artifact signing</x:t>
        </x:is>
      </x:c>
      <x:c r="E6" s="284" t="inlineStr">
        <x:is>
          <x:t xml:space="preserve">staging -&gt; production</x:t>
        </x:is>
      </x:c>
      <x:c r="F6" s="284" t="inlineStr">
        <x:is>
          <x:t xml:space="preserve">immutable prior run</x:t>
        </x:is>
      </x:c>
      <x:c r="G6" s="225" t="inlineStr">
        <x:is>
          <x:t xml:space="preserve">production</x:t>
        </x:is>
      </x:c>
    </x:row>
    <x:row r="7">
      <x:c r="A7" s="147" t="inlineStr">
        <x:is>
          <x:t xml:space="preserve">Android test</x:t>
        </x:is>
      </x:c>
      <x:c r="B7" s="148" t="inlineStr">
        <x:is>
          <x:t xml:space="preserve">commit -&gt; Gradle/test/scan</x:t>
        </x:is>
      </x:c>
      <x:c r="C7" s="148" t="inlineStr">
        <x:is>
          <x:t xml:space="preserve">APK</x:t>
        </x:is>
      </x:c>
      <x:c r="D7" s="148" t="inlineStr">
        <x:is>
          <x:t xml:space="preserve">isolated dev signing</x:t>
        </x:is>
      </x:c>
      <x:c r="E7" s="148" t="inlineStr">
        <x:is>
          <x:t xml:space="preserve">secure object store -&gt; short-lived QR</x:t>
        </x:is>
      </x:c>
      <x:c r="F7" s="148" t="inlineStr">
        <x:is>
          <x:t xml:space="preserve">build previous APK</x:t>
        </x:is>
      </x:c>
      <x:c r="G7" s="149" t="inlineStr">
        <x:is>
          <x:t xml:space="preserve">user/request</x:t>
        </x:is>
      </x:c>
    </x:row>
    <x:row r="8">
      <x:c r="A8" s="223" t="inlineStr">
        <x:is>
          <x:t xml:space="preserve">Android store</x:t>
        </x:is>
      </x:c>
      <x:c r="B8" s="284" t="inlineStr">
        <x:is>
          <x:t xml:space="preserve">commit -&gt; Gradle/test/scan</x:t>
        </x:is>
      </x:c>
      <x:c r="C8" s="284" t="inlineStr">
        <x:is>
          <x:t xml:space="preserve">AAB</x:t>
        </x:is>
      </x:c>
      <x:c r="D8" s="284" t="inlineStr">
        <x:is>
          <x:t xml:space="preserve">isolated release signing</x:t>
        </x:is>
      </x:c>
      <x:c r="E8" s="284" t="inlineStr">
        <x:is>
          <x:t xml:space="preserve">Play internal/closed -&gt; production</x:t>
        </x:is>
      </x:c>
      <x:c r="F8" s="284" t="inlineStr">
        <x:is>
          <x:t xml:space="preserve">store/version rollback strategy</x:t>
        </x:is>
      </x:c>
      <x:c r="G8" s="225" t="inlineStr">
        <x:is>
          <x:t xml:space="preserve">explicit</x:t>
        </x:is>
      </x:c>
    </x:row>
    <x:row r="9">
      <x:c r="A9" s="147" t="inlineStr">
        <x:is>
          <x:t xml:space="preserve">iOS test</x:t>
        </x:is>
      </x:c>
      <x:c r="B9" s="148" t="inlineStr">
        <x:is>
          <x:t xml:space="preserve">commit -&gt; Xcode/test/archive</x:t>
        </x:is>
      </x:c>
      <x:c r="C9" s="148" t="inlineStr">
        <x:is>
          <x:t xml:space="preserve">IPA/TestFlight build</x:t>
        </x:is>
      </x:c>
      <x:c r="D9" s="148" t="inlineStr">
        <x:is>
          <x:t xml:space="preserve">isolated Apple signing/provisioning</x:t>
        </x:is>
      </x:c>
      <x:c r="E9" s="148" t="inlineStr">
        <x:is>
          <x:t xml:space="preserve">TestFlight</x:t>
        </x:is>
      </x:c>
      <x:c r="F9" s="148" t="inlineStr">
        <x:is>
          <x:t xml:space="preserve">new build / previous approved build</x:t>
        </x:is>
      </x:c>
      <x:c r="G9" s="149" t="inlineStr">
        <x:is>
          <x:t xml:space="preserve">explicit credentials/use</x:t>
        </x:is>
      </x:c>
    </x:row>
    <x:row r="10">
      <x:c r="A10" s="239" t="inlineStr">
        <x:is>
          <x:t xml:space="preserve">iOS store</x:t>
        </x:is>
      </x:c>
      <x:c r="B10" s="240" t="inlineStr">
        <x:is>
          <x:t xml:space="preserve">approved archive -&gt; App Store Connect</x:t>
        </x:is>
      </x:c>
      <x:c r="C10" s="240" t="inlineStr">
        <x:is>
          <x:t xml:space="preserve">signed archive/IPA</x:t>
        </x:is>
      </x:c>
      <x:c r="D10" s="240" t="inlineStr">
        <x:is>
          <x:t xml:space="preserve">KMS/HSM/brokered signing</x:t>
        </x:is>
      </x:c>
      <x:c r="E10" s="240" t="inlineStr">
        <x:is>
          <x:t xml:space="preserve">App Store review -&gt; release</x:t>
        </x:is>
      </x:c>
      <x:c r="F10" s="240" t="inlineStr">
        <x:is>
          <x:t xml:space="preserve">store-managed version strategy</x:t>
        </x:is>
      </x:c>
      <x:c r="G10" s="241" t="inlineStr">
        <x:is>
          <x:t xml:space="preserve">explicit</x:t>
        </x:is>
      </x:c>
    </x:row>
  </x:sheetData>
  <x:mergeCells>
    <x:mergeCell ref="A2:G2"/>
    <x:mergeCell ref="A1:G1"/>
  </x:mergeCells>
  <x:pageMargins left="0.7" right="0.7" top="0.75" bottom="0.75" header="0.3" footer="0.3"/>
</x:worksheet>
</file>

<file path=xl/worksheets/sheet55.xml><?xml version="1.0" encoding="utf-8"?>
<x:worksheet xmlns:x="http://schemas.openxmlformats.org/spreadsheetml/2006/main">
  <x:sheetFormatPr baseColWidth="8" defaultRowHeight="15"/>
  <x:cols>
    <x:col min="1" max="1" width="28" style="40" customWidth="1"/>
    <x:col min="2" max="2" width="17" style="40" customWidth="1"/>
    <x:col min="3" max="3" width="46" style="40" customWidth="1"/>
    <x:col min="4" max="4" width="43" style="40" customWidth="1"/>
    <x:col min="5" max="5" width="31" style="40" customWidth="1"/>
    <x:col min="6" max="6" width="15" style="40" customWidth="1"/>
  </x:cols>
  <x:sheetData>
    <x:row r="1" s="40" customFormat="1" ht="30" customHeight="1">
      <x:c r="A1" s="380" t="inlineStr">
        <x:is>
          <x:t xml:space="preserve">OmniStackAI V5 — Unit Economics</x:t>
        </x:is>
      </x:c>
      <x:c r="B1" s="375" t="n"/>
      <x:c r="C1" s="375" t="n"/>
      <x:c r="D1" s="375" t="n"/>
      <x:c r="E1" s="375" t="n"/>
      <x:c r="F1" s="375" t="n"/>
    </x:row>
    <x:row r="2" s="40" customFormat="1" ht="34" customHeight="1">
      <x:c r="A2" s="400" t="inlineStr">
        <x:is>
          <x:t xml:space="preserve">Measure the total cost of a verified accepted task. The architecture should systematically push work toward cheaper evidence sources and runtimes.</x:t>
        </x:is>
      </x:c>
      <x:c r="B2" s="375" t="n"/>
      <x:c r="C2" s="375" t="n"/>
      <x:c r="D2" s="375" t="n"/>
      <x:c r="E2" s="375" t="n"/>
      <x:c r="F2" s="375" t="n"/>
    </x:row>
    <x:row r="3"/>
    <x:row r="4" s="40" customFormat="1" ht="28" customHeight="1">
      <x:c r="A4" s="141" t="inlineStr">
        <x:is>
          <x:t xml:space="preserve">Cost Component</x:t>
        </x:is>
      </x:c>
      <x:c r="B4" s="142" t="inlineStr">
        <x:is>
          <x:t xml:space="preserve">Unit</x:t>
        </x:is>
      </x:c>
      <x:c r="C4" s="142" t="inlineStr">
        <x:is>
          <x:t xml:space="preserve">Avoid / Reduce By</x:t>
        </x:is>
      </x:c>
      <x:c r="D4" s="142" t="inlineStr">
        <x:is>
          <x:t xml:space="preserve">When It Is Worth Paying</x:t>
        </x:is>
      </x:c>
      <x:c r="E4" s="142" t="inlineStr">
        <x:is>
          <x:t xml:space="preserve">Tracked KPI</x:t>
        </x:is>
      </x:c>
      <x:c r="F4" s="143" t="inlineStr">
        <x:is>
          <x:t xml:space="preserve">Phase</x:t>
        </x:is>
      </x:c>
    </x:row>
    <x:row r="5">
      <x:c r="A5" s="144" t="inlineStr">
        <x:is>
          <x:t xml:space="preserve">LLM input</x:t>
        </x:is>
      </x:c>
      <x:c r="B5" s="145" t="inlineStr">
        <x:is>
          <x:t xml:space="preserve">tokens</x:t>
        </x:is>
      </x:c>
      <x:c r="C5" s="145" t="inlineStr">
        <x:is>
          <x:t xml:space="preserve">Context Pack, deterministic tools, cache, compact logs</x:t>
        </x:is>
      </x:c>
      <x:c r="D5" s="145" t="inlineStr">
        <x:is>
          <x:t xml:space="preserve">complex reasoning needs evidence</x:t>
        </x:is>
      </x:c>
      <x:c r="E5" s="145" t="inlineStr">
        <x:is>
          <x:t xml:space="preserve">input tokens / success</x:t>
        </x:is>
      </x:c>
      <x:c r="F5" s="146" t="inlineStr">
        <x:is>
          <x:t xml:space="preserve">MVP</x:t>
        </x:is>
      </x:c>
    </x:row>
    <x:row r="6">
      <x:c r="A6" s="223" t="inlineStr">
        <x:is>
          <x:t xml:space="preserve">LLM output</x:t>
        </x:is>
      </x:c>
      <x:c r="B6" s="284" t="inlineStr">
        <x:is>
          <x:t xml:space="preserve">tokens</x:t>
        </x:is>
      </x:c>
      <x:c r="C6" s="284" t="inlineStr">
        <x:is>
          <x:t xml:space="preserve">structured patches, concise tool plans</x:t>
        </x:is>
      </x:c>
      <x:c r="D6" s="284" t="inlineStr">
        <x:is>
          <x:t xml:space="preserve">implementation/review</x:t>
        </x:is>
      </x:c>
      <x:c r="E6" s="284" t="inlineStr">
        <x:is>
          <x:t xml:space="preserve">output tokens / success</x:t>
        </x:is>
      </x:c>
      <x:c r="F6" s="225" t="inlineStr">
        <x:is>
          <x:t xml:space="preserve">MVP</x:t>
        </x:is>
      </x:c>
    </x:row>
    <x:row r="7">
      <x:c r="A7" s="147" t="inlineStr">
        <x:is>
          <x:t xml:space="preserve">Embedding/index</x:t>
        </x:is>
      </x:c>
      <x:c r="B7" s="148" t="inlineStr">
        <x:is>
          <x:t xml:space="preserve">chunks</x:t>
        </x:is>
      </x:c>
      <x:c r="C7" s="148" t="inlineStr">
        <x:is>
          <x:t xml:space="preserve">incremental hash-based indexing</x:t>
        </x:is>
      </x:c>
      <x:c r="D7" s="148" t="inlineStr">
        <x:is>
          <x:t xml:space="preserve">new/changed code</x:t>
        </x:is>
      </x:c>
      <x:c r="E7" s="148" t="inlineStr">
        <x:is>
          <x:t xml:space="preserve">index cost / changed LOC</x:t>
        </x:is>
      </x:c>
      <x:c r="F7" s="149" t="inlineStr">
        <x:is>
          <x:t xml:space="preserve">MVP/MID</x:t>
        </x:is>
      </x:c>
    </x:row>
    <x:row r="8">
      <x:c r="A8" s="223" t="inlineStr">
        <x:is>
          <x:t xml:space="preserve">Linux runtime</x:t>
        </x:is>
      </x:c>
      <x:c r="B8" s="284" t="inlineStr">
        <x:is>
          <x:t xml:space="preserve">seconds</x:t>
        </x:is>
      </x:c>
      <x:c r="C8" s="284" t="inlineStr">
        <x:is>
          <x:t xml:space="preserve">browser runtime, fast teardown, cache</x:t>
        </x:is>
      </x:c>
      <x:c r="D8" s="284" t="inlineStr">
        <x:is>
          <x:t xml:space="preserve">real server/build/test required</x:t>
        </x:is>
      </x:c>
      <x:c r="E8" s="284" t="inlineStr">
        <x:is>
          <x:t xml:space="preserve">Linux min / success</x:t>
        </x:is>
      </x:c>
      <x:c r="F8" s="225" t="inlineStr">
        <x:is>
          <x:t xml:space="preserve">MVP</x:t>
        </x:is>
      </x:c>
    </x:row>
    <x:row r="9">
      <x:c r="A9" s="147" t="inlineStr">
        <x:is>
          <x:t xml:space="preserve">Android build</x:t>
        </x:is>
      </x:c>
      <x:c r="B9" s="148" t="inlineStr">
        <x:is>
          <x:t xml:space="preserve">seconds</x:t>
        </x:is>
      </x:c>
      <x:c r="C9" s="148" t="inlineStr">
        <x:is>
          <x:t xml:space="preserve">native fingerprint, Gradle cache, Expo hot update</x:t>
        </x:is>
      </x:c>
      <x:c r="D9" s="148" t="inlineStr">
        <x:is>
          <x:t xml:space="preserve">new native binary needed</x:t>
        </x:is>
      </x:c>
      <x:c r="E9" s="148" t="inlineStr">
        <x:is>
          <x:t xml:space="preserve">Android build min / success</x:t>
        </x:is>
      </x:c>
      <x:c r="F9" s="149" t="inlineStr">
        <x:is>
          <x:t xml:space="preserve">MVP</x:t>
        </x:is>
      </x:c>
    </x:row>
    <x:row r="10">
      <x:c r="A10" s="223" t="inlineStr">
        <x:is>
          <x:t xml:space="preserve">Android emulator</x:t>
        </x:is>
      </x:c>
      <x:c r="B10" s="284" t="inlineStr">
        <x:is>
          <x:t xml:space="preserve">seconds</x:t>
        </x:is>
      </x:c>
      <x:c r="C10" s="284" t="inlineStr">
        <x:is>
          <x:t xml:space="preserve">physical device QR</x:t>
        </x:is>
      </x:c>
      <x:c r="D10" s="284" t="inlineStr">
        <x:is>
          <x:t xml:space="preserve">OS/device-specific debug/QA</x:t>
        </x:is>
      </x:c>
      <x:c r="E10" s="284" t="inlineStr">
        <x:is>
          <x:t xml:space="preserve">emulator min / incident</x:t>
        </x:is>
      </x:c>
      <x:c r="F10" s="225" t="inlineStr">
        <x:is>
          <x:t xml:space="preserve">MID</x:t>
        </x:is>
      </x:c>
    </x:row>
    <x:row r="11">
      <x:c r="A11" s="147" t="inlineStr">
        <x:is>
          <x:t xml:space="preserve">macOS build</x:t>
        </x:is>
      </x:c>
      <x:c r="B11" s="148" t="inlineStr">
        <x:is>
          <x:t xml:space="preserve">seconds</x:t>
        </x:is>
      </x:c>
      <x:c r="C11" s="148" t="inlineStr">
        <x:is>
          <x:t xml:space="preserve">only iOS work, caches, Local Mac</x:t>
        </x:is>
      </x:c>
      <x:c r="D11" s="148" t="inlineStr">
        <x:is>
          <x:t xml:space="preserve">Xcode compile/sign required</x:t>
        </x:is>
      </x:c>
      <x:c r="E11" s="148" t="inlineStr">
        <x:is>
          <x:t xml:space="preserve">Mac min / iOS success</x:t>
        </x:is>
      </x:c>
      <x:c r="F11" s="149" t="inlineStr">
        <x:is>
          <x:t xml:space="preserve">MVP</x:t>
        </x:is>
      </x:c>
    </x:row>
    <x:row r="12">
      <x:c r="A12" s="223" t="inlineStr">
        <x:is>
          <x:t xml:space="preserve">iOS Simulator</x:t>
        </x:is>
      </x:c>
      <x:c r="B12" s="284" t="inlineStr">
        <x:is>
          <x:t xml:space="preserve">seconds</x:t>
        </x:is>
      </x:c>
      <x:c r="C12" s="284" t="inlineStr">
        <x:is>
          <x:t xml:space="preserve">physical iPhone/TestFlight, Local Mac</x:t>
        </x:is>
      </x:c>
      <x:c r="D12" s="284" t="inlineStr">
        <x:is>
          <x:t xml:space="preserve">iOS-specific debugging/automation</x:t>
        </x:is>
      </x:c>
      <x:c r="E12" s="284" t="inlineStr">
        <x:is>
          <x:t xml:space="preserve">simulator min / incident</x:t>
        </x:is>
      </x:c>
      <x:c r="F12" s="225" t="inlineStr">
        <x:is>
          <x:t xml:space="preserve">MID</x:t>
        </x:is>
      </x:c>
    </x:row>
    <x:row r="13">
      <x:c r="A13" s="147" t="inlineStr">
        <x:is>
          <x:t xml:space="preserve">Device cloud</x:t>
        </x:is>
      </x:c>
      <x:c r="B13" s="148" t="inlineStr">
        <x:is>
          <x:t xml:space="preserve">minutes</x:t>
        </x:is>
      </x:c>
      <x:c r="C13" s="148" t="inlineStr">
        <x:is>
          <x:t xml:space="preserve">customer physical device first</x:t>
        </x:is>
      </x:c>
      <x:c r="D13" s="148" t="inlineStr">
        <x:is>
          <x:t xml:space="preserve">coverage across device matrix</x:t>
        </x:is>
      </x:c>
      <x:c r="E13" s="148" t="inlineStr">
        <x:is>
          <x:t xml:space="preserve">device min / release</x:t>
        </x:is>
      </x:c>
      <x:c r="F13" s="149" t="inlineStr">
        <x:is>
          <x:t xml:space="preserve">ADV</x:t>
        </x:is>
      </x:c>
    </x:row>
    <x:row r="14">
      <x:c r="A14" s="223" t="inlineStr">
        <x:is>
          <x:t xml:space="preserve">Storage/bandwidth</x:t>
        </x:is>
      </x:c>
      <x:c r="B14" s="284" t="inlineStr">
        <x:is>
          <x:t xml:space="preserve">GB</x:t>
        </x:is>
      </x:c>
      <x:c r="C14" s="284" t="inlineStr">
        <x:is>
          <x:t xml:space="preserve">artifact expiry/dedupe/content addressing</x:t>
        </x:is>
      </x:c>
      <x:c r="D14" s="284" t="inlineStr">
        <x:is>
          <x:t xml:space="preserve">release provenance/log retention</x:t>
        </x:is>
      </x:c>
      <x:c r="E14" s="284" t="inlineStr">
        <x:is>
          <x:t xml:space="preserve">GB / active project</x:t>
        </x:is>
      </x:c>
      <x:c r="F14" s="225" t="inlineStr">
        <x:is>
          <x:t xml:space="preserve">MVP</x:t>
        </x:is>
      </x:c>
    </x:row>
    <x:row r="15">
      <x:c r="A15" s="147" t="inlineStr">
        <x:is>
          <x:t xml:space="preserve">Third-party tools</x:t>
        </x:is>
      </x:c>
      <x:c r="B15" s="148" t="inlineStr">
        <x:is>
          <x:t xml:space="preserve">API cost</x:t>
        </x:is>
      </x:c>
      <x:c r="C15" s="148" t="inlineStr">
        <x:is>
          <x:t xml:space="preserve">provider routing/rate limits</x:t>
        </x:is>
      </x:c>
      <x:c r="D15" s="148" t="inlineStr">
        <x:is>
          <x:t xml:space="preserve">validated integration value</x:t>
        </x:is>
      </x:c>
      <x:c r="E15" s="148" t="inlineStr">
        <x:is>
          <x:t xml:space="preserve">tool cost / success</x:t>
        </x:is>
      </x:c>
      <x:c r="F15" s="149" t="inlineStr">
        <x:is>
          <x:t xml:space="preserve">MVP/MID</x:t>
        </x:is>
      </x:c>
    </x:row>
    <x:row r="16">
      <x:c r="A16" s="239" t="inlineStr">
        <x:is>
          <x:t xml:space="preserve">Retry waste</x:t>
        </x:is>
      </x:c>
      <x:c r="B16" s="240" t="inlineStr">
        <x:is>
          <x:t xml:space="preserve">task cost</x:t>
        </x:is>
      </x:c>
      <x:c r="C16" s="240" t="inlineStr">
        <x:is>
          <x:t xml:space="preserve">Temporal resume/idempotency/bounded retries</x:t>
        </x:is>
      </x:c>
      <x:c r="D16" s="240" t="inlineStr">
        <x:is>
          <x:t xml:space="preserve">only retry transient failures</x:t>
        </x:is>
      </x:c>
      <x:c r="E16" s="240" t="inlineStr">
        <x:is>
          <x:t xml:space="preserve">waste %</x:t>
        </x:is>
      </x:c>
      <x:c r="F16" s="241" t="inlineStr">
        <x:is>
          <x:t xml:space="preserve">MVP</x:t>
        </x:is>
      </x:c>
    </x:row>
  </x:sheetData>
  <x:mergeCells>
    <x:mergeCell ref="A2:F2"/>
    <x:mergeCell ref="A1:F1"/>
  </x:mergeCells>
  <x:pageMargins left="0.7" right="0.7" top="0.75" bottom="0.75" header="0.3" footer="0.3"/>
</x:worksheet>
</file>

<file path=xl/worksheets/sheet56.xml><?xml version="1.0" encoding="utf-8"?>
<x:worksheet xmlns:x="http://schemas.openxmlformats.org/spreadsheetml/2006/main">
  <x:sheetFormatPr baseColWidth="8" defaultRowHeight="15"/>
  <x:cols>
    <x:col min="1" max="1" width="28" style="40" customWidth="1"/>
    <x:col min="2" max="2" width="41" style="40" customWidth="1"/>
    <x:col min="3" max="3" width="45" style="40" customWidth="1"/>
    <x:col min="4" max="4" width="45" style="40" customWidth="1"/>
    <x:col min="5" max="5" width="16" style="40" customWidth="1"/>
  </x:cols>
  <x:sheetData>
    <x:row r="1" s="40" customFormat="1" ht="30" customHeight="1">
      <x:c r="A1" s="380" t="inlineStr">
        <x:is>
          <x:t xml:space="preserve">OmniStackAI V5 — Provider Interfaces</x:t>
        </x:is>
      </x:c>
      <x:c r="B1" s="375" t="n"/>
      <x:c r="C1" s="375" t="n"/>
      <x:c r="D1" s="375" t="n"/>
      <x:c r="E1" s="375" t="n"/>
    </x:row>
    <x:row r="2" s="40" customFormat="1" ht="34" customHeight="1">
      <x:c r="A2" s="400" t="inlineStr">
        <x:is>
          <x:t xml:space="preserve">Vendor lock-in control. Domain agents/services call OmniStackAI contracts; providers expose capabilities and policy metadata.</x:t>
        </x:is>
      </x:c>
      <x:c r="B2" s="375" t="n"/>
      <x:c r="C2" s="375" t="n"/>
      <x:c r="D2" s="375" t="n"/>
      <x:c r="E2" s="375" t="n"/>
    </x:row>
    <x:row r="3"/>
    <x:row r="4" s="40" customFormat="1" ht="28" customHeight="1">
      <x:c r="A4" s="141" t="inlineStr">
        <x:is>
          <x:t xml:space="preserve">Interface</x:t>
        </x:is>
      </x:c>
      <x:c r="B4" s="142" t="inlineStr">
        <x:is>
          <x:t xml:space="preserve">Responsibilities</x:t>
        </x:is>
      </x:c>
      <x:c r="C4" s="142" t="inlineStr">
        <x:is>
          <x:t xml:space="preserve">Example Implementations</x:t>
        </x:is>
      </x:c>
      <x:c r="D4" s="142" t="inlineStr">
        <x:is>
          <x:t xml:space="preserve">Must Not Leak Into Domain</x:t>
        </x:is>
      </x:c>
      <x:c r="E4" s="143" t="inlineStr">
        <x:is>
          <x:t xml:space="preserve">Phase</x:t>
        </x:is>
      </x:c>
    </x:row>
    <x:row r="5">
      <x:c r="A5" s="144" t="inlineStr">
        <x:is>
          <x:t xml:space="preserve">ModelProvider</x:t>
        </x:is>
      </x:c>
      <x:c r="B5" s="145" t="inlineStr">
        <x:is>
          <x:t xml:space="preserve">generate/stream/tool-call/model metadata</x:t>
        </x:is>
      </x:c>
      <x:c r="C5" s="145" t="inlineStr">
        <x:is>
          <x:t xml:space="preserve">OpenAI/Anthropic/Gemini/private/BYOK</x:t>
        </x:is>
      </x:c>
      <x:c r="D5" s="145" t="inlineStr">
        <x:is>
          <x:t xml:space="preserve">provider SDK types/prompts outside gateway</x:t>
        </x:is>
      </x:c>
      <x:c r="E5" s="146" t="inlineStr">
        <x:is>
          <x:t xml:space="preserve">MVP</x:t>
        </x:is>
      </x:c>
    </x:row>
    <x:row r="6">
      <x:c r="A6" s="223" t="inlineStr">
        <x:is>
          <x:t xml:space="preserve">RuntimeProvider</x:t>
        </x:is>
      </x:c>
      <x:c r="B6" s="284" t="inlineStr">
        <x:is>
          <x:t xml:space="preserve">create/exec/files/ports/snapshot/destroy</x:t>
        </x:is>
      </x:c>
      <x:c r="C6" s="284" t="inlineStr">
        <x:is>
          <x:t xml:space="preserve">browser/E2B/Daytona/K8s/macOS/local/BYOC</x:t>
        </x:is>
      </x:c>
      <x:c r="D6" s="284" t="inlineStr">
        <x:is>
          <x:t xml:space="preserve">vendor sandbox handles in agents</x:t>
        </x:is>
      </x:c>
      <x:c r="E6" s="225" t="inlineStr">
        <x:is>
          <x:t xml:space="preserve">MVP</x:t>
        </x:is>
      </x:c>
    </x:row>
    <x:row r="7">
      <x:c r="A7" s="147" t="inlineStr">
        <x:is>
          <x:t xml:space="preserve">BuildProvider</x:t>
        </x:is>
      </x:c>
      <x:c r="B7" s="148" t="inlineStr">
        <x:is>
          <x:t xml:space="preserve">build/test/cache/artifact</x:t>
        </x:is>
      </x:c>
      <x:c r="C7" s="148" t="inlineStr">
        <x:is>
          <x:t xml:space="preserve">BuildKit/Gradle/Xcode/Flutter</x:t>
        </x:is>
      </x:c>
      <x:c r="D7" s="148" t="inlineStr">
        <x:is>
          <x:t xml:space="preserve">runner-specific state</x:t>
        </x:is>
      </x:c>
      <x:c r="E7" s="149" t="inlineStr">
        <x:is>
          <x:t xml:space="preserve">MVP</x:t>
        </x:is>
      </x:c>
    </x:row>
    <x:row r="8">
      <x:c r="A8" s="223" t="inlineStr">
        <x:is>
          <x:t xml:space="preserve">DeviceProvider</x:t>
        </x:is>
      </x:c>
      <x:c r="B8" s="284" t="inlineStr">
        <x:is>
          <x:t xml:space="preserve">real-device/cloud-device sessions</x:t>
        </x:is>
      </x:c>
      <x:c r="C8" s="284" t="inlineStr">
        <x:is>
          <x:t xml:space="preserve">Expo dev client/emulator/simulator/device cloud</x:t>
        </x:is>
      </x:c>
      <x:c r="D8" s="284" t="inlineStr">
        <x:is>
          <x:t xml:space="preserve">provider session IDs as domain identity</x:t>
        </x:is>
      </x:c>
      <x:c r="E8" s="225" t="inlineStr">
        <x:is>
          <x:t xml:space="preserve">MVP/MID</x:t>
        </x:is>
      </x:c>
    </x:row>
    <x:row r="9">
      <x:c r="A9" s="147" t="inlineStr">
        <x:is>
          <x:t xml:space="preserve">GitProvider</x:t>
        </x:is>
      </x:c>
      <x:c r="B9" s="148" t="inlineStr">
        <x:is>
          <x:t xml:space="preserve">repo/branch/worktree/PR/commit</x:t>
        </x:is>
      </x:c>
      <x:c r="C9" s="148" t="inlineStr">
        <x:is>
          <x:t xml:space="preserve">GitHub/GitLab/enterprise</x:t>
        </x:is>
      </x:c>
      <x:c r="D9" s="148" t="inlineStr">
        <x:is>
          <x:t xml:space="preserve">OAuth token values</x:t>
        </x:is>
      </x:c>
      <x:c r="E9" s="149" t="inlineStr">
        <x:is>
          <x:t xml:space="preserve">MVP</x:t>
        </x:is>
      </x:c>
    </x:row>
    <x:row r="10">
      <x:c r="A10" s="223" t="inlineStr">
        <x:is>
          <x:t xml:space="preserve">DatabaseProfileProvider</x:t>
        </x:is>
      </x:c>
      <x:c r="B10" s="284" t="inlineStr">
        <x:is>
          <x:t xml:space="preserve">recommend/scaffold/migrate/connect</x:t>
        </x:is>
      </x:c>
      <x:c r="C10" s="284" t="inlineStr">
        <x:is>
          <x:t xml:space="preserve">Postgres/Mongo/Supabase/Firebase/existing</x:t>
        </x:is>
      </x:c>
      <x:c r="D10" s="284" t="inlineStr">
        <x:is>
          <x:t xml:space="preserve">vendor-specific DB assumptions in IR</x:t>
        </x:is>
      </x:c>
      <x:c r="E10" s="225" t="inlineStr">
        <x:is>
          <x:t xml:space="preserve">MVP/MID</x:t>
        </x:is>
      </x:c>
    </x:row>
    <x:row r="11">
      <x:c r="A11" s="147" t="inlineStr">
        <x:is>
          <x:t xml:space="preserve">DeploymentProvider</x:t>
        </x:is>
      </x:c>
      <x:c r="B11" s="148" t="inlineStr">
        <x:is>
          <x:t xml:space="preserve">preview/staging/prod/promotion/rollback</x:t>
        </x:is>
      </x:c>
      <x:c r="C11" s="148" t="inlineStr">
        <x:is>
          <x:t xml:space="preserve">K8s/cloud/serverless adapters</x:t>
        </x:is>
      </x:c>
      <x:c r="D11" s="148" t="inlineStr">
        <x:is>
          <x:t xml:space="preserve">cloud-specific state model</x:t>
        </x:is>
      </x:c>
      <x:c r="E11" s="149" t="inlineStr">
        <x:is>
          <x:t xml:space="preserve">MVP</x:t>
        </x:is>
      </x:c>
    </x:row>
    <x:row r="12">
      <x:c r="A12" s="223" t="inlineStr">
        <x:is>
          <x:t xml:space="preserve">ArtifactProvider</x:t>
        </x:is>
      </x:c>
      <x:c r="B12" s="284" t="inlineStr">
        <x:is>
          <x:t xml:space="preserve">store/digest/expire/distribute</x:t>
        </x:is>
      </x:c>
      <x:c r="C12" s="284" t="inlineStr">
        <x:is>
          <x:t xml:space="preserve">S3/GCS/OCI registry</x:t>
        </x:is>
      </x:c>
      <x:c r="D12" s="284" t="inlineStr">
        <x:is>
          <x:t xml:space="preserve">public permanent test URLs</x:t>
        </x:is>
      </x:c>
      <x:c r="E12" s="225" t="inlineStr">
        <x:is>
          <x:t xml:space="preserve">MVP</x:t>
        </x:is>
      </x:c>
    </x:row>
    <x:row r="13">
      <x:c r="A13" s="147" t="inlineStr">
        <x:is>
          <x:t xml:space="preserve">SigningProvider</x:t>
        </x:is>
      </x:c>
      <x:c r="B13" s="148" t="inlineStr">
        <x:is>
          <x:t xml:space="preserve">sign approved digest/archive</x:t>
        </x:is>
      </x:c>
      <x:c r="C13" s="148" t="inlineStr">
        <x:is>
          <x:t xml:space="preserve">KMS/HSM/Apple/Android service</x:t>
        </x:is>
      </x:c>
      <x:c r="D13" s="148" t="inlineStr">
        <x:is>
          <x:t xml:space="preserve">raw private key material</x:t>
        </x:is>
      </x:c>
      <x:c r="E13" s="149" t="inlineStr">
        <x:is>
          <x:t xml:space="preserve">MVP/MID</x:t>
        </x:is>
      </x:c>
    </x:row>
    <x:row r="14">
      <x:c r="A14" s="223" t="inlineStr">
        <x:is>
          <x:t xml:space="preserve">SecretProvider</x:t>
        </x:is>
      </x:c>
      <x:c r="B14" s="284" t="inlineStr">
        <x:is>
          <x:t xml:space="preserve">broker scoped capabilities</x:t>
        </x:is>
      </x:c>
      <x:c r="C14" s="284" t="inlineStr">
        <x:is>
          <x:t xml:space="preserve">Vault/KMS/cloud secret manager</x:t>
        </x:is>
      </x:c>
      <x:c r="D14" s="284" t="inlineStr">
        <x:is>
          <x:t xml:space="preserve">secret values in prompts</x:t>
        </x:is>
      </x:c>
      <x:c r="E14" s="225" t="inlineStr">
        <x:is>
          <x:t xml:space="preserve">MVP</x:t>
        </x:is>
      </x:c>
    </x:row>
    <x:row r="15">
      <x:c r="A15" s="147" t="inlineStr">
        <x:is>
          <x:t xml:space="preserve">TelemetryProvider</x:t>
        </x:is>
      </x:c>
      <x:c r="B15" s="148" t="inlineStr">
        <x:is>
          <x:t xml:space="preserve">events/logs/traces/metrics</x:t>
        </x:is>
      </x:c>
      <x:c r="C15" s="148" t="inlineStr">
        <x:is>
          <x:t xml:space="preserve">OpenTelemetry/Prometheus/etc.</x:t>
        </x:is>
      </x:c>
      <x:c r="D15" s="148" t="inlineStr">
        <x:is>
          <x:t xml:space="preserve">vendor telemetry schema in core contracts</x:t>
        </x:is>
      </x:c>
      <x:c r="E15" s="149" t="inlineStr">
        <x:is>
          <x:t xml:space="preserve">MVP</x:t>
        </x:is>
      </x:c>
    </x:row>
    <x:row r="16">
      <x:c r="A16" s="239" t="inlineStr">
        <x:is>
          <x:t xml:space="preserve">MCPToolProvider</x:t>
        </x:is>
      </x:c>
      <x:c r="B16" s="240" t="inlineStr">
        <x:is>
          <x:t xml:space="preserve">governed external tools</x:t>
        </x:is>
      </x:c>
      <x:c r="C16" s="240" t="inlineStr">
        <x:is>
          <x:t xml:space="preserve">verified MCP servers/legacy adapters</x:t>
        </x:is>
      </x:c>
      <x:c r="D16" s="240" t="inlineStr">
        <x:is>
          <x:t xml:space="preserve">arbitrary unrestricted MCP connection</x:t>
        </x:is>
      </x:c>
      <x:c r="E16" s="241" t="inlineStr">
        <x:is>
          <x:t xml:space="preserve">MVP/MID</x:t>
        </x:is>
      </x:c>
    </x:row>
    <x:row r="18">
      <x:c r="A18" s="545" t="str">
        <x:v>V6 Extension</x:v>
      </x:c>
      <x:c r="B18" s="545" t="str">
        <x:v>Responsibilities</x:v>
      </x:c>
      <x:c r="C18" s="545" t="str">
        <x:v>Example Implementations</x:v>
      </x:c>
      <x:c r="D18" s="545" t="str">
        <x:v>Must Not Leak Into Domain</x:v>
      </x:c>
      <x:c r="E18" s="545" t="str">
        <x:v>Phase</x:v>
      </x:c>
    </x:row>
    <x:row r="19">
      <x:c r="A19" s="421" t="str">
        <x:v>LocalModelProvider</x:v>
      </x:c>
      <x:c r="B19" s="421" t="str">
        <x:v>local model discovery/health/inference/streaming/capability telemetry</x:v>
      </x:c>
      <x:c r="C19" s="421" t="str">
        <x:v>Ollama-compatible adapter; evaluated Qwen/Llama/Gemma/etc.</x:v>
      </x:c>
      <x:c r="D19" s="421" t="str">
        <x:v>local HTTP client/model tags/resource assumptions</x:v>
      </x:c>
      <x:c r="E19" s="421" t="str">
        <x:v>MVP</x:v>
      </x:c>
    </x:row>
    <x:row r="20">
      <x:c r="A20" s="421" t="str">
        <x:v>ModelCapabilityRegistry</x:v>
      </x:c>
      <x:c r="B20" s="421" t="str">
        <x:v>measured capability/context/quality/privacy/license metadata</x:v>
      </x:c>
      <x:c r="C20" s="421" t="str">
        <x:v>PostgreSQL registry + eval artifacts</x:v>
      </x:c>
      <x:c r="D20" s="421" t="str">
        <x:v>provider marketing claims as truth</x:v>
      </x:c>
      <x:c r="E20" s="421" t="str">
        <x:v>MVP</x:v>
      </x:c>
    </x:row>
  </x:sheetData>
  <x:mergeCells>
    <x:mergeCell ref="A2:E2"/>
    <x:mergeCell ref="A1:E1"/>
  </x:mergeCells>
  <x:pageMargins left="0.7" right="0.7" top="0.75" bottom="0.75" header="0.3" footer="0.3"/>
</x:worksheet>
</file>

<file path=xl/worksheets/sheet57.xml><?xml version="1.0" encoding="utf-8"?>
<x:worksheet xmlns:x="http://schemas.openxmlformats.org/spreadsheetml/2006/main">
  <x:sheetFormatPr baseColWidth="8" defaultRowHeight="15"/>
  <x:cols>
    <x:col min="1" max="1" width="29" style="40" customWidth="1"/>
    <x:col min="2" max="2" width="44" style="40" customWidth="1"/>
    <x:col min="3" max="3" width="31" style="40" customWidth="1"/>
    <x:col min="4" max="4" width="19" style="40" customWidth="1"/>
    <x:col min="5" max="5" width="17" style="40" customWidth="1"/>
  </x:cols>
  <x:sheetData>
    <x:row r="1" s="40" customFormat="1" ht="30" customHeight="1">
      <x:c r="A1" s="380" t="inlineStr">
        <x:is>
          <x:t xml:space="preserve">OmniStackAI V5 — Supply Chain</x:t>
        </x:is>
      </x:c>
      <x:c r="B1" s="375" t="n"/>
      <x:c r="C1" s="375" t="n"/>
      <x:c r="D1" s="375" t="n"/>
      <x:c r="E1" s="375" t="n"/>
    </x:row>
    <x:row r="2" s="40" customFormat="1" ht="34" customHeight="1">
      <x:c r="A2" s="400" t="inlineStr">
        <x:is>
          <x:t xml:space="preserve">Software supply-chain and signing controls for production-quality generated software.</x:t>
        </x:is>
      </x:c>
      <x:c r="B2" s="375" t="n"/>
      <x:c r="C2" s="375" t="n"/>
      <x:c r="D2" s="375" t="n"/>
      <x:c r="E2" s="375" t="n"/>
    </x:row>
    <x:row r="3"/>
    <x:row r="4" s="40" customFormat="1" ht="28" customHeight="1">
      <x:c r="A4" s="141" t="inlineStr">
        <x:is>
          <x:t xml:space="preserve">Control</x:t>
        </x:is>
      </x:c>
      <x:c r="B4" s="142" t="inlineStr">
        <x:is>
          <x:t xml:space="preserve">Required Evidence</x:t>
        </x:is>
      </x:c>
      <x:c r="C4" s="142" t="inlineStr">
        <x:is>
          <x:t xml:space="preserve">Owner / Service</x:t>
        </x:is>
      </x:c>
      <x:c r="D4" s="142" t="inlineStr">
        <x:is>
          <x:t xml:space="preserve">Blocking?</x:t>
        </x:is>
      </x:c>
      <x:c r="E4" s="143" t="inlineStr">
        <x:is>
          <x:t xml:space="preserve">Phase</x:t>
        </x:is>
      </x:c>
    </x:row>
    <x:row r="5">
      <x:c r="A5" s="144" t="inlineStr">
        <x:is>
          <x:t xml:space="preserve">Source provenance</x:t>
        </x:is>
      </x:c>
      <x:c r="B5" s="145" t="inlineStr">
        <x:is>
          <x:t xml:space="preserve">Git commit SHA + task/PR</x:t>
        </x:is>
      </x:c>
      <x:c r="C5" s="145" t="inlineStr">
        <x:is>
          <x:t xml:space="preserve">Git service</x:t>
        </x:is>
      </x:c>
      <x:c r="D5" s="145" t="inlineStr">
        <x:is>
          <x:t xml:space="preserve">Yes for release</x:t>
        </x:is>
      </x:c>
      <x:c r="E5" s="146" t="inlineStr">
        <x:is>
          <x:t xml:space="preserve">MVP</x:t>
        </x:is>
      </x:c>
    </x:row>
    <x:row r="6">
      <x:c r="A6" s="223" t="inlineStr">
        <x:is>
          <x:t xml:space="preserve">IR provenance</x:t>
        </x:is>
      </x:c>
      <x:c r="B6" s="284" t="inlineStr">
        <x:is>
          <x:t xml:space="preserve">IR hash/version</x:t>
        </x:is>
      </x:c>
      <x:c r="C6" s="284" t="inlineStr">
        <x:is>
          <x:t xml:space="preserve">IR service</x:t>
        </x:is>
      </x:c>
      <x:c r="D6" s="284" t="inlineStr">
        <x:is>
          <x:t xml:space="preserve">Yes</x:t>
        </x:is>
      </x:c>
      <x:c r="E6" s="225" t="inlineStr">
        <x:is>
          <x:t xml:space="preserve">MVP</x:t>
        </x:is>
      </x:c>
    </x:row>
    <x:row r="7">
      <x:c r="A7" s="147" t="inlineStr">
        <x:is>
          <x:t xml:space="preserve">Template/toolchain</x:t>
        </x:is>
      </x:c>
      <x:c r="B7" s="148" t="inlineStr">
        <x:is>
          <x:t xml:space="preserve">template + builder image + SDK versions</x:t>
        </x:is>
      </x:c>
      <x:c r="C7" s="148" t="inlineStr">
        <x:is>
          <x:t xml:space="preserve">Template/Build service</x:t>
        </x:is>
      </x:c>
      <x:c r="D7" s="148" t="inlineStr">
        <x:is>
          <x:t xml:space="preserve">Yes</x:t>
        </x:is>
      </x:c>
      <x:c r="E7" s="149" t="inlineStr">
        <x:is>
          <x:t xml:space="preserve">MVP</x:t>
        </x:is>
      </x:c>
    </x:row>
    <x:row r="8">
      <x:c r="A8" s="223" t="inlineStr">
        <x:is>
          <x:t xml:space="preserve">Dependency lockfiles</x:t>
        </x:is>
      </x:c>
      <x:c r="B8" s="284" t="inlineStr">
        <x:is>
          <x:t xml:space="preserve">committed lockfiles</x:t>
        </x:is>
      </x:c>
      <x:c r="C8" s="284" t="inlineStr">
        <x:is>
          <x:t xml:space="preserve">Generated project</x:t>
        </x:is>
      </x:c>
      <x:c r="D8" s="284" t="inlineStr">
        <x:is>
          <x:t xml:space="preserve">Yes</x:t>
        </x:is>
      </x:c>
      <x:c r="E8" s="225" t="inlineStr">
        <x:is>
          <x:t xml:space="preserve">MVP</x:t>
        </x:is>
      </x:c>
    </x:row>
    <x:row r="9">
      <x:c r="A9" s="147" t="inlineStr">
        <x:is>
          <x:t xml:space="preserve">Tests/security</x:t>
        </x:is>
      </x:c>
      <x:c r="B9" s="148" t="inlineStr">
        <x:is>
          <x:t xml:space="preserve">test + SAST/dependency results</x:t>
        </x:is>
      </x:c>
      <x:c r="C9" s="148" t="inlineStr">
        <x:is>
          <x:t xml:space="preserve">QA/Security</x:t>
        </x:is>
      </x:c>
      <x:c r="D9" s="148" t="inlineStr">
        <x:is>
          <x:t xml:space="preserve">Yes</x:t>
        </x:is>
      </x:c>
      <x:c r="E9" s="149" t="inlineStr">
        <x:is>
          <x:t xml:space="preserve">MVP</x:t>
        </x:is>
      </x:c>
    </x:row>
    <x:row r="10">
      <x:c r="A10" s="223" t="inlineStr">
        <x:is>
          <x:t xml:space="preserve">SBOM</x:t>
        </x:is>
      </x:c>
      <x:c r="B10" s="284" t="inlineStr">
        <x:is>
          <x:t xml:space="preserve">package/component inventory</x:t>
        </x:is>
      </x:c>
      <x:c r="C10" s="284" t="inlineStr">
        <x:is>
          <x:t xml:space="preserve">Security/Release</x:t>
        </x:is>
      </x:c>
      <x:c r="D10" s="284" t="inlineStr">
        <x:is>
          <x:t xml:space="preserve">Yes at MID/enterprise</x:t>
        </x:is>
      </x:c>
      <x:c r="E10" s="225" t="inlineStr">
        <x:is>
          <x:t xml:space="preserve">MVP/MID</x:t>
        </x:is>
      </x:c>
    </x:row>
    <x:row r="11">
      <x:c r="A11" s="147" t="inlineStr">
        <x:is>
          <x:t xml:space="preserve">Artifact digest</x:t>
        </x:is>
      </x:c>
      <x:c r="B11" s="148" t="inlineStr">
        <x:is>
          <x:t xml:space="preserve">SHA/digest</x:t>
        </x:is>
      </x:c>
      <x:c r="C11" s="148" t="inlineStr">
        <x:is>
          <x:t xml:space="preserve">Artifact service</x:t>
        </x:is>
      </x:c>
      <x:c r="D11" s="148" t="inlineStr">
        <x:is>
          <x:t xml:space="preserve">Yes</x:t>
        </x:is>
      </x:c>
      <x:c r="E11" s="149" t="inlineStr">
        <x:is>
          <x:t xml:space="preserve">MVP</x:t>
        </x:is>
      </x:c>
    </x:row>
    <x:row r="12">
      <x:c r="A12" s="223" t="inlineStr">
        <x:is>
          <x:t xml:space="preserve">Artifact signature</x:t>
        </x:is>
      </x:c>
      <x:c r="B12" s="284" t="inlineStr">
        <x:is>
          <x:t xml:space="preserve">signed digest/OCI/mobile artifact</x:t>
        </x:is>
      </x:c>
      <x:c r="C12" s="284" t="inlineStr">
        <x:is>
          <x:t xml:space="preserve">Signing service</x:t>
        </x:is>
      </x:c>
      <x:c r="D12" s="284" t="inlineStr">
        <x:is>
          <x:t xml:space="preserve">Yes for prod</x:t>
        </x:is>
      </x:c>
      <x:c r="E12" s="225" t="inlineStr">
        <x:is>
          <x:t xml:space="preserve">MVP/MID</x:t>
        </x:is>
      </x:c>
    </x:row>
    <x:row r="13">
      <x:c r="A13" s="147" t="inlineStr">
        <x:is>
          <x:t xml:space="preserve">Signer identity/key version</x:t>
        </x:is>
      </x:c>
      <x:c r="B13" s="148" t="inlineStr">
        <x:is>
          <x:t xml:space="preserve">audit record</x:t>
        </x:is>
      </x:c>
      <x:c r="C13" s="148" t="inlineStr">
        <x:is>
          <x:t xml:space="preserve">Signing/KMS</x:t>
        </x:is>
      </x:c>
      <x:c r="D13" s="148" t="inlineStr">
        <x:is>
          <x:t xml:space="preserve">Yes</x:t>
        </x:is>
      </x:c>
      <x:c r="E13" s="149" t="inlineStr">
        <x:is>
          <x:t xml:space="preserve">MVP/MID</x:t>
        </x:is>
      </x:c>
    </x:row>
    <x:row r="14">
      <x:c r="A14" s="223" t="inlineStr">
        <x:is>
          <x:t xml:space="preserve">Deployment/store ID</x:t>
        </x:is>
      </x:c>
      <x:c r="B14" s="284" t="inlineStr">
        <x:is>
          <x:t xml:space="preserve">immutable release reference</x:t>
        </x:is>
      </x:c>
      <x:c r="C14" s="284" t="inlineStr">
        <x:is>
          <x:t xml:space="preserve">Deployment/Store</x:t>
        </x:is>
      </x:c>
      <x:c r="D14" s="284" t="inlineStr">
        <x:is>
          <x:t xml:space="preserve">Yes</x:t>
        </x:is>
      </x:c>
      <x:c r="E14" s="225" t="inlineStr">
        <x:is>
          <x:t xml:space="preserve">MVP/MID</x:t>
        </x:is>
      </x:c>
    </x:row>
    <x:row r="15">
      <x:c r="A15" s="156" t="inlineStr">
        <x:is>
          <x:t xml:space="preserve">Retention/rollback</x:t>
        </x:is>
      </x:c>
      <x:c r="B15" s="157" t="inlineStr">
        <x:is>
          <x:t xml:space="preserve">known-good prior run</x:t>
        </x:is>
      </x:c>
      <x:c r="C15" s="157" t="inlineStr">
        <x:is>
          <x:t xml:space="preserve">Deployment</x:t>
        </x:is>
      </x:c>
      <x:c r="D15" s="157" t="inlineStr">
        <x:is>
          <x:t xml:space="preserve">Yes</x:t>
        </x:is>
      </x:c>
      <x:c r="E15" s="158" t="inlineStr">
        <x:is>
          <x:t xml:space="preserve">MVP</x:t>
        </x:is>
      </x:c>
    </x:row>
  </x:sheetData>
  <x:mergeCells>
    <x:mergeCell ref="A2:E2"/>
    <x:mergeCell ref="A1:E1"/>
  </x:mergeCells>
  <x:pageMargins left="0.7" right="0.7" top="0.75" bottom="0.75" header="0.3" footer="0.3"/>
</x:worksheet>
</file>

<file path=xl/worksheets/sheet58.xml><?xml version="1.0" encoding="utf-8"?>
<x:worksheet xmlns:x="http://schemas.openxmlformats.org/spreadsheetml/2006/main">
  <x:sheetFormatPr defaultRowHeight="15"/>
  <x:cols>
    <x:col min="1" max="1" width="10" hidden="0" customWidth="1"/>
    <x:col min="2" max="2" width="24" hidden="0" customWidth="1"/>
    <x:col min="3" max="3" width="24" hidden="0" customWidth="1"/>
    <x:col min="4" max="4" width="34" hidden="0" customWidth="1"/>
    <x:col min="5" max="5" width="38" hidden="0" customWidth="1"/>
    <x:col min="6" max="6" width="10" hidden="0" customWidth="1"/>
    <x:col min="7" max="7" width="36" hidden="0" customWidth="1"/>
  </x:cols>
  <x:sheetData>
    <x:row r="1">
      <x:c r="A1" s="540" t="str">
        <x:v>OmniStackAI V6 — R&amp;D Gap Audit</x:v>
      </x:c>
      <x:c r="B1" s="540"/>
      <x:c r="C1" s="540"/>
      <x:c r="D1" s="540"/>
      <x:c r="E1" s="540"/>
      <x:c r="F1" s="540"/>
      <x:c r="G1" s="540"/>
    </x:row>
    <x:row r="2">
      <x:c r="A2" s="421" t="str">
        <x:v>Verdict: V5 is architecturally strong. V6 focuses on direct executability by external coding agents, local/cloud model portability, deterministic handoff, and stronger production evidence.</x:v>
      </x:c>
      <x:c r="B2" s="421"/>
      <x:c r="C2" s="421"/>
      <x:c r="D2" s="421"/>
      <x:c r="E2" s="421"/>
      <x:c r="F2" s="421"/>
      <x:c r="G2" s="421"/>
    </x:row>
    <x:row r="4">
      <x:c r="A4" s="544" t="str">
        <x:v>ID</x:v>
      </x:c>
      <x:c r="B4" s="544" t="str">
        <x:v>Area</x:v>
      </x:c>
      <x:c r="C4" s="544" t="str">
        <x:v>V5 State</x:v>
      </x:c>
      <x:c r="D4" s="544" t="str">
        <x:v>Gap / Risk</x:v>
      </x:c>
      <x:c r="E4" s="544" t="str">
        <x:v>V6 Decision</x:v>
      </x:c>
      <x:c r="F4" s="544" t="str">
        <x:v>Priority</x:v>
      </x:c>
      <x:c r="G4" s="544" t="str">
        <x:v>Evidence / Exit Gate</x:v>
      </x:c>
    </x:row>
    <x:row r="5">
      <x:c r="A5" s="421" t="str">
        <x:v>G-01</x:v>
      </x:c>
      <x:c r="B5" s="421" t="str">
        <x:v>AI tool interoperability</x:v>
      </x:c>
      <x:c r="C5" s="421" t="str">
        <x:v>Partial</x:v>
      </x:c>
      <x:c r="D5" s="421" t="str">
        <x:v>No single portable start contract for Codex/Claude/Cursor</x:v>
      </x:c>
      <x:c r="E5" s="421" t="str">
        <x:v>Add AGENTS.md + thin tool adapters + START_HERE</x:v>
      </x:c>
      <x:c r="F5" s="421" t="str">
        <x:v>P0</x:v>
      </x:c>
      <x:c r="G5" s="421" t="str">
        <x:v>Fresh agent reports correct phase/task without chat</x:v>
      </x:c>
    </x:row>
    <x:row r="6">
      <x:c r="A6" s="421" t="str">
        <x:v>G-02</x:v>
      </x:c>
      <x:c r="B6" s="421" t="str">
        <x:v>Work resume / interruption</x:v>
      </x:c>
      <x:c r="C6" s="421" t="str">
        <x:v>Strong platform runtime; weak repo handoff</x:v>
      </x:c>
      <x:c r="D6" s="421" t="str">
        <x:v>External coding session can lose exact next step</x:v>
      </x:c>
      <x:c r="E6" s="421" t="str">
        <x:v>PROJECT_STATE + CURRENT_TASK + HANDOFF + WORK_LOG</x:v>
      </x:c>
      <x:c r="F6" s="421" t="str">
        <x:v>P0</x:v>
      </x:c>
      <x:c r="G6" s="421" t="str">
        <x:v>Resume from recorded SHA and re-run last proof</x:v>
      </x:c>
    </x:row>
    <x:row r="7">
      <x:c r="A7" s="421" t="str">
        <x:v>G-03</x:v>
      </x:c>
      <x:c r="B7" s="421" t="str">
        <x:v>Local models</x:v>
      </x:c>
      <x:c r="C7" s="421" t="str">
        <x:v>Private/self-hosted planned</x:v>
      </x:c>
      <x:c r="D7" s="421" t="str">
        <x:v>No explicit Ollama/Qwen MVP profile</x:v>
      </x:c>
      <x:c r="E7" s="421" t="str">
        <x:v>First-class Ollama-compatible ModelProvider</x:v>
      </x:c>
      <x:c r="F7" s="421" t="str">
        <x:v>P0</x:v>
      </x:c>
      <x:c r="G7" s="421" t="str">
        <x:v>Conformance + task-class quality eval passes</x:v>
      </x:c>
    </x:row>
    <x:row r="8">
      <x:c r="A8" s="421" t="str">
        <x:v>G-04</x:v>
      </x:c>
      <x:c r="B8" s="421" t="str">
        <x:v>Context windows / tokens</x:v>
      </x:c>
      <x:c r="C8" s="421" t="str">
        <x:v>Progressive context exists</x:v>
      </x:c>
      <x:c r="D8" s="421" t="str">
        <x:v>No per-model safe context registry/overflow policy</x:v>
      </x:c>
      <x:c r="E8" s="421" t="str">
        <x:v>Capability registry + safe token budget + critical-context protection</x:v>
      </x:c>
      <x:c r="F8" s="421" t="str">
        <x:v>P0</x:v>
      </x:c>
      <x:c r="G8" s="421" t="str">
        <x:v>No silent truncation of task/security/contracts</x:v>
      </x:c>
    </x:row>
    <x:row r="9">
      <x:c r="A9" s="421" t="str">
        <x:v>G-05</x:v>
      </x:c>
      <x:c r="B9" s="421" t="str">
        <x:v>Model routing</x:v>
      </x:c>
      <x:c r="C9" s="421" t="str">
        <x:v>Good cost ladder</x:v>
      </x:c>
      <x:c r="D9" s="421" t="str">
        <x:v>Routing needs measured capability/version evidence</x:v>
      </x:c>
      <x:c r="E9" s="421" t="str">
        <x:v>Route by task, policy, eval, latency, context and cost</x:v>
      </x:c>
      <x:c r="F9" s="421" t="str">
        <x:v>P0</x:v>
      </x:c>
      <x:c r="G9" s="421" t="str">
        <x:v>Routing benchmark + fallback tests</x:v>
      </x:c>
    </x:row>
    <x:row r="10">
      <x:c r="A10" s="421" t="str">
        <x:v>G-06</x:v>
      </x:c>
      <x:c r="B10" s="421" t="str">
        <x:v>Developer bootstrap</x:v>
      </x:c>
      <x:c r="C10" s="421" t="str">
        <x:v>Taskfile concept exists</x:v>
      </x:c>
      <x:c r="D10" s="421" t="str">
        <x:v>No normative doctor/bootstrap/status/handoff contract</x:v>
      </x:c>
      <x:c r="E10" s="421" t="str">
        <x:v>Phase 0 deterministic commands</x:v>
      </x:c>
      <x:c r="F10" s="421" t="str">
        <x:v>P0</x:v>
      </x:c>
      <x:c r="G10" s="421" t="str">
        <x:v>Clean clone passes doctor/bootstrap/verify</x:v>
      </x:c>
    </x:row>
    <x:row r="11">
      <x:c r="A11" s="421" t="str">
        <x:v>G-07</x:v>
      </x:c>
      <x:c r="B11" s="421" t="str">
        <x:v>Environments</x:v>
      </x:c>
      <x:c r="C11" s="421" t="str">
        <x:v>Environment concept exists</x:v>
      </x:c>
      <x:c r="D11" s="421" t="str">
        <x:v>Config/secrets parity needs stronger executable contract</x:v>
      </x:c>
      <x:c r="E11" s="421" t="str">
        <x:v>local→test→preview→staging→prod + typed config</x:v>
      </x:c>
      <x:c r="F11" s="421" t="str">
        <x:v>P0</x:v>
      </x:c>
      <x:c r="G11" s="421" t="str">
        <x:v>env:check + no secret in AI context</x:v>
      </x:c>
    </x:row>
    <x:row r="12">
      <x:c r="A12" s="421" t="str">
        <x:v>G-08</x:v>
      </x:c>
      <x:c r="B12" s="421" t="str">
        <x:v>Database releases</x:v>
      </x:c>
      <x:c r="C12" s="421" t="str">
        <x:v>Migration safety exists</x:v>
      </x:c>
      <x:c r="D12" s="421" t="str">
        <x:v>Progressive stateful deployment not explicit enough</x:v>
      </x:c>
      <x:c r="E12" s="421" t="str">
        <x:v>expand/migrate/contract + resumable backfill</x:v>
      </x:c>
      <x:c r="F12" s="421" t="str">
        <x:v>P0</x:v>
      </x:c>
      <x:c r="G12" s="421" t="str">
        <x:v>compatibility + rollback/roll-forward rehearsal</x:v>
      </x:c>
    </x:row>
    <x:row r="13">
      <x:c r="A13" s="421" t="str">
        <x:v>G-09</x:v>
      </x:c>
      <x:c r="B13" s="421" t="str">
        <x:v>Agentic security</x:v>
      </x:c>
      <x:c r="C13" s="421" t="str">
        <x:v>Strong baseline</x:v>
      </x:c>
      <x:c r="D13" s="421" t="str">
        <x:v>Need dedicated poisoning/provider/local-endpoint threat cases</x:v>
      </x:c>
      <x:c r="E13" s="421" t="str">
        <x:v>Agentic threat model + red-team/eval corpus</x:v>
      </x:c>
      <x:c r="F13" s="421" t="str">
        <x:v>P0</x:v>
      </x:c>
      <x:c r="G13" s="421" t="str">
        <x:v>release-blocking security scenarios pass</x:v>
      </x:c>
    </x:row>
    <x:row r="14">
      <x:c r="A14" s="421" t="str">
        <x:v>G-10</x:v>
      </x:c>
      <x:c r="B14" s="421" t="str">
        <x:v>Production proof</x:v>
      </x:c>
      <x:c r="C14" s="421" t="str">
        <x:v>16 blocking gates</x:v>
      </x:c>
      <x:c r="D14" s="421" t="str">
        <x:v>Need local-model/provider/handoff evidence added</x:v>
      </x:c>
      <x:c r="E14" s="421" t="str">
        <x:v>Extend production evidence set</x:v>
      </x:c>
      <x:c r="F14" s="421" t="str">
        <x:v>P0</x:v>
      </x:c>
      <x:c r="G14" s="421" t="str">
        <x:v>provider conformance/failover + resume + endpoint security</x:v>
      </x:c>
    </x:row>
    <x:row r="15">
      <x:c r="A15" s="421" t="str">
        <x:v>G-11</x:v>
      </x:c>
      <x:c r="B15" s="421" t="str">
        <x:v>Supply chain</x:v>
      </x:c>
      <x:c r="C15" s="421" t="str">
        <x:v>Strong</x:v>
      </x:c>
      <x:c r="D15" s="421" t="str">
        <x:v>Need consistent pinning/patch SLA enforcement</x:v>
      </x:c>
      <x:c r="E15" s="421" t="str">
        <x:v>Pinned lockfiles/images + SBOM/provenance + patch policy</x:v>
      </x:c>
      <x:c r="F15" s="421" t="str">
        <x:v>P1</x:v>
      </x:c>
      <x:c r="G15" s="421" t="str">
        <x:v>CI rejects drift/unapproved dependency</x:v>
      </x:c>
    </x:row>
    <x:row r="16">
      <x:c r="A16" s="421" t="str">
        <x:v>G-12</x:v>
      </x:c>
      <x:c r="B16" s="421" t="str">
        <x:v>Feature flags / progressive delivery</x:v>
      </x:c>
      <x:c r="C16" s="421" t="str">
        <x:v>Partial</x:v>
      </x:c>
      <x:c r="D16" s="421" t="str">
        <x:v>Operational ownership/expiry not explicit</x:v>
      </x:c>
      <x:c r="E16" s="421" t="str">
        <x:v>Feature flags with owner/expiry + canary/blue-green</x:v>
      </x:c>
      <x:c r="F16" s="421" t="str">
        <x:v>P1</x:v>
      </x:c>
      <x:c r="G16" s="421" t="str">
        <x:v>same digest promoted with measured SLOs</x:v>
      </x:c>
    </x:row>
  </x:sheetData>
  <x:mergeCells>
    <x:mergeCell ref="A1:G1"/>
    <x:mergeCell ref="A2:G2"/>
  </x:mergeCells>
  <x:pageMargins left="0.7" right="0.7" top="0.75" bottom="0.75" header="0.3" footer="0.3"/>
</x:worksheet>
</file>

<file path=xl/worksheets/sheet59.xml><?xml version="1.0" encoding="utf-8"?>
<x:worksheet xmlns:x="http://schemas.openxmlformats.org/spreadsheetml/2006/main">
  <x:sheetFormatPr defaultRowHeight="15"/>
  <x:cols>
    <x:col min="1" max="1" width="24" hidden="0" customWidth="1"/>
    <x:col min="2" max="2" width="32" hidden="0" customWidth="1"/>
    <x:col min="3" max="3" width="30" hidden="0" customWidth="1"/>
    <x:col min="4" max="4" width="45" hidden="0" customWidth="1"/>
    <x:col min="5" max="5" width="34" hidden="0" customWidth="1"/>
    <x:col min="6" max="6" width="40" hidden="0" customWidth="1"/>
    <x:col min="7" max="7" width="44" hidden="0" customWidth="1"/>
    <x:col min="8" max="8" width="14" hidden="0" customWidth="1"/>
  </x:cols>
  <x:sheetData>
    <x:row r="1">
      <x:c r="A1" s="540" t="str">
        <x:v>OmniStackAI V6 — Local &amp; API Model Provider Contract</x:v>
      </x:c>
      <x:c r="B1" s="540"/>
      <x:c r="C1" s="540"/>
      <x:c r="D1" s="540"/>
      <x:c r="E1" s="540"/>
      <x:c r="F1" s="540"/>
      <x:c r="G1" s="540"/>
      <x:c r="H1" s="540"/>
    </x:row>
    <x:row r="2">
      <x:c r="A2" s="421" t="str">
        <x:v>Every exact provider/model/version/configuration is evaluated. A model family is never trusted solely by brand name.</x:v>
      </x:c>
      <x:c r="B2" s="421"/>
      <x:c r="C2" s="421"/>
      <x:c r="D2" s="421"/>
      <x:c r="E2" s="421"/>
      <x:c r="F2" s="421"/>
      <x:c r="G2" s="421"/>
      <x:c r="H2" s="421"/>
    </x:row>
    <x:row r="4">
      <x:c r="A4" s="544" t="str">
        <x:v>Profile</x:v>
      </x:c>
      <x:c r="B4" s="544" t="str">
        <x:v>Endpoint</x:v>
      </x:c>
      <x:c r="C4" s="544" t="str">
        <x:v>Auth / Secret</x:v>
      </x:c>
      <x:c r="D4" s="544" t="str">
        <x:v>Required Capabilities</x:v>
      </x:c>
      <x:c r="E4" s="544" t="str">
        <x:v>Context Policy</x:v>
      </x:c>
      <x:c r="F4" s="544" t="str">
        <x:v>Routing Use</x:v>
      </x:c>
      <x:c r="G4" s="544" t="str">
        <x:v>Blocking Gates</x:v>
      </x:c>
      <x:c r="H4" s="544" t="str">
        <x:v>Phase</x:v>
      </x:c>
    </x:row>
    <x:row r="5">
      <x:c r="A5" s="421" t="str">
        <x:v>ollama-local</x:v>
      </x:c>
      <x:c r="B5" s="421" t="str">
        <x:v>Loopback/local Ollama-compatible endpoint</x:v>
      </x:c>
      <x:c r="C5" s="421" t="str">
        <x:v>None/local OS policy; auth if exposed beyond loopback</x:v>
      </x:c>
      <x:c r="D5" s="421" t="str">
        <x:v>health, model discovery, stream; tools/JSON/embeddings only when validated</x:v>
      </x:c>
      <x:c r="E5" s="421" t="str">
        <x:v>configured + measured safe input/output reserve</x:v>
      </x:c>
      <x:c r="F5" s="421" t="str">
        <x:v>privacy, low-cost coding, summaries, selected implementation tasks</x:v>
      </x:c>
      <x:c r="G5" s="421" t="str">
        <x:v>license + endpoint security + conformance + task-class eval</x:v>
      </x:c>
      <x:c r="H5" s="421" t="str">
        <x:v>MVP</x:v>
      </x:c>
    </x:row>
    <x:row r="6">
      <x:c r="A6" s="421" t="str">
        <x:v>openai-byok</x:v>
      </x:c>
      <x:c r="B6" s="421" t="str">
        <x:v>Official cloud API</x:v>
      </x:c>
      <x:c r="C6" s="421" t="str">
        <x:v>SecretProvider reference</x:v>
      </x:c>
      <x:c r="D6" s="421" t="str">
        <x:v>stream, tools/structured output as selected model supports</x:v>
      </x:c>
      <x:c r="E6" s="421" t="str">
        <x:v>provider/model registry + tokenizer/cost accounting</x:v>
      </x:c>
      <x:c r="F6" s="421" t="str">
        <x:v>complex reasoning/coding/review according to policy</x:v>
      </x:c>
      <x:c r="G6" s="421" t="str">
        <x:v>budget + data policy + provider health/fallback</x:v>
      </x:c>
      <x:c r="H6" s="421" t="str">
        <x:v>MVP</x:v>
      </x:c>
    </x:row>
    <x:row r="7">
      <x:c r="A7" s="421" t="str">
        <x:v>anthropic-byok</x:v>
      </x:c>
      <x:c r="B7" s="421" t="str">
        <x:v>Official cloud API</x:v>
      </x:c>
      <x:c r="C7" s="421" t="str">
        <x:v>SecretProvider reference</x:v>
      </x:c>
      <x:c r="D7" s="421" t="str">
        <x:v>stream/tools according to selected model</x:v>
      </x:c>
      <x:c r="E7" s="421" t="str">
        <x:v>provider/model registry + context budget</x:v>
      </x:c>
      <x:c r="F7" s="421" t="str">
        <x:v>complex coding/review according to policy</x:v>
      </x:c>
      <x:c r="G7" s="421" t="str">
        <x:v>budget + data policy + provider health/fallback</x:v>
      </x:c>
      <x:c r="H7" s="421" t="str">
        <x:v>MVP/MID</x:v>
      </x:c>
    </x:row>
    <x:row r="8">
      <x:c r="A8" s="421" t="str">
        <x:v>private-openai-compatible</x:v>
      </x:c>
      <x:c r="B8" s="421" t="str">
        <x:v>Customer/private endpoint</x:v>
      </x:c>
      <x:c r="C8" s="421" t="str">
        <x:v>Workload identity / brokered token</x:v>
      </x:c>
      <x:c r="D8" s="421" t="str">
        <x:v>declared + conformance-tested</x:v>
      </x:c>
      <x:c r="E8" s="421" t="str">
        <x:v>measured; never assume compatibility implies equal limits</x:v>
      </x:c>
      <x:c r="F8" s="421" t="str">
        <x:v>enterprise private/BYOC</x:v>
      </x:c>
      <x:c r="G8" s="421" t="str">
        <x:v>network/tenant/security + conformance</x:v>
      </x:c>
      <x:c r="H8" s="421" t="str">
        <x:v>ADVANCED</x:v>
      </x:c>
    </x:row>
    <x:row r="9">
      <x:c r="A9" s="421" t="str">
        <x:v>future-provider</x:v>
      </x:c>
      <x:c r="B9" s="421" t="str">
        <x:v>Adapter only</x:v>
      </x:c>
      <x:c r="C9" s="421" t="str">
        <x:v>SecretProvider reference</x:v>
      </x:c>
      <x:c r="D9" s="421" t="str">
        <x:v>capability registry required</x:v>
      </x:c>
      <x:c r="E9" s="421" t="str">
        <x:v>same budget contract</x:v>
      </x:c>
      <x:c r="F9" s="421" t="str">
        <x:v>only after benchmark/ADR</x:v>
      </x:c>
      <x:c r="G9" s="421" t="str">
        <x:v>conformance + quality + cost + exit path</x:v>
      </x:c>
      <x:c r="H9" s="421" t="str">
        <x:v>As justified</x:v>
      </x:c>
    </x:row>
  </x:sheetData>
  <x:mergeCells>
    <x:mergeCell ref="A1:H1"/>
    <x:mergeCell ref="A2:H2"/>
  </x:mergeCells>
  <x:pageMargins left="0.7" right="0.7" top="0.75" bottom="0.75" header="0.3" footer="0.3"/>
</x:worksheet>
</file>

<file path=xl/worksheets/sheet60.xml><?xml version="1.0" encoding="utf-8"?>
<x:worksheet xmlns:x="http://schemas.openxmlformats.org/spreadsheetml/2006/main">
  <x:sheetFormatPr defaultRowHeight="15"/>
  <x:cols>
    <x:col min="1" max="1" width="14" hidden="0" customWidth="1"/>
    <x:col min="2" max="2" width="34" hidden="0" customWidth="1"/>
    <x:col min="3" max="3" width="34" hidden="0" customWidth="1"/>
    <x:col min="4" max="4" width="38" hidden="0" customWidth="1"/>
    <x:col min="5" max="5" width="40" hidden="0" customWidth="1"/>
    <x:col min="6" max="6" width="18" hidden="0" customWidth="1"/>
  </x:cols>
  <x:sheetData>
    <x:row r="1">
      <x:c r="A1" s="540" t="str">
        <x:v>OmniStackAI V6 — AI / Developer Start, Stop &amp; Resume Contract</x:v>
      </x:c>
      <x:c r="B1" s="540"/>
      <x:c r="C1" s="540"/>
      <x:c r="D1" s="540"/>
      <x:c r="E1" s="540"/>
      <x:c r="F1" s="540"/>
    </x:row>
    <x:row r="2">
      <x:c r="A2" s="421" t="str">
        <x:v>Chat is never required for continuation. Git + durable state + evidence are sufficient.</x:v>
      </x:c>
      <x:c r="B2" s="421"/>
      <x:c r="C2" s="421"/>
      <x:c r="D2" s="421"/>
      <x:c r="E2" s="421"/>
      <x:c r="F2" s="421"/>
    </x:row>
    <x:row r="4">
      <x:c r="A4" s="544" t="str">
        <x:v>Stage</x:v>
      </x:c>
      <x:c r="B4" s="544" t="str">
        <x:v>Required Action</x:v>
      </x:c>
      <x:c r="C4" s="544" t="str">
        <x:v>Artifact / Command</x:v>
      </x:c>
      <x:c r="D4" s="544" t="str">
        <x:v>Must Record</x:v>
      </x:c>
      <x:c r="E4" s="544" t="str">
        <x:v>Failure Rule</x:v>
      </x:c>
      <x:c r="F4" s="544" t="str">
        <x:v>Owner</x:v>
      </x:c>
    </x:row>
    <x:row r="5">
      <x:c r="A5" s="421" t="str">
        <x:v>Start</x:v>
      </x:c>
      <x:c r="B5" s="421" t="str">
        <x:v>Read portable rules and durable state</x:v>
      </x:c>
      <x:c r="C5" s="421" t="str">
        <x:v>AGENTS.md → START_HERE → PROJECT_STATE → CURRENT_TASK</x:v>
      </x:c>
      <x:c r="D5" s="421" t="str">
        <x:v>phase, task ID, acceptance criteria, allowed paths</x:v>
      </x:c>
      <x:c r="E5" s="421" t="str">
        <x:v>Do not edit until task is unambiguous</x:v>
      </x:c>
      <x:c r="F5" s="421" t="str">
        <x:v>AI / Developer</x:v>
      </x:c>
    </x:row>
    <x:row r="6">
      <x:c r="A6" s="421" t="str">
        <x:v>Start</x:v>
      </x:c>
      <x:c r="B6" s="421" t="str">
        <x:v>Verify repository reality</x:v>
      </x:c>
      <x:c r="C6" s="421" t="str">
        <x:v>git status + branch + HEAD</x:v>
      </x:c>
      <x:c r="D6" s="421" t="str">
        <x:v>uncommitted diff, current SHA</x:v>
      </x:c>
      <x:c r="E6" s="421" t="str">
        <x:v>Git wins over stale state</x:v>
      </x:c>
      <x:c r="F6" s="421" t="str">
        <x:v>AI / Developer</x:v>
      </x:c>
    </x:row>
    <x:row r="7">
      <x:c r="A7" s="421" t="str">
        <x:v>Start</x:v>
      </x:c>
      <x:c r="B7" s="421" t="str">
        <x:v>Validate local environment</x:v>
      </x:c>
      <x:c r="C7" s="421" t="str">
        <x:v>task doctor; bootstrap only if needed</x:v>
      </x:c>
      <x:c r="D7" s="421" t="str">
        <x:v>toolchain/config failures</x:v>
      </x:c>
      <x:c r="E7" s="421" t="str">
        <x:v>Stop on missing required prerequisite</x:v>
      </x:c>
      <x:c r="F7" s="421" t="str">
        <x:v>AI / Developer</x:v>
      </x:c>
    </x:row>
    <x:row r="8">
      <x:c r="A8" s="421" t="str">
        <x:v>Baseline</x:v>
      </x:c>
      <x:c r="B8" s="421" t="str">
        <x:v>Run smallest relevant proof</x:v>
      </x:c>
      <x:c r="C8" s="421" t="str">
        <x:v>task verify or scoped target test</x:v>
      </x:c>
      <x:c r="D8" s="421" t="str">
        <x:v>command + pass/fail + SHA</x:v>
      </x:c>
      <x:c r="E8" s="421" t="str">
        <x:v>No claim of regression without baseline evidence</x:v>
      </x:c>
      <x:c r="F8" s="421" t="str">
        <x:v>AI / Developer</x:v>
      </x:c>
    </x:row>
    <x:row r="9">
      <x:c r="A9" s="421" t="str">
        <x:v>Implement</x:v>
      </x:c>
      <x:c r="B9" s="421" t="str">
        <x:v>Work one task / scoped blast radius</x:v>
      </x:c>
      <x:c r="C9" s="421" t="str">
        <x:v>task branch/worktree</x:v>
      </x:c>
      <x:c r="D9" s="421" t="str">
        <x:v>files changed, architecture impact</x:v>
      </x:c>
      <x:c r="E9" s="421" t="str">
        <x:v>Unexpected blast radius requires re-plan/approval</x:v>
      </x:c>
      <x:c r="F9" s="421" t="str">
        <x:v>AI / Developer</x:v>
      </x:c>
    </x:row>
    <x:row r="10">
      <x:c r="A10" s="421" t="str">
        <x:v>Stop</x:v>
      </x:c>
      <x:c r="B10" s="421" t="str">
        <x:v>Persist exact state</x:v>
      </x:c>
      <x:c r="C10" s="421" t="str">
        <x:v>.ai/CURRENT_TASK.yaml + WORK_LOG.md</x:v>
      </x:c>
      <x:c r="D10" s="421" t="str">
        <x:v>completed, blockers, next_action</x:v>
      </x:c>
      <x:c r="E10" s="421" t="str">
        <x:v>Never mark done without evidence</x:v>
      </x:c>
      <x:c r="F10" s="421" t="str">
        <x:v>AI / Developer</x:v>
      </x:c>
    </x:row>
    <x:row r="11">
      <x:c r="A11" s="421" t="str">
        <x:v>Stop</x:v>
      </x:c>
      <x:c r="B11" s="421" t="str">
        <x:v>Create handoff</x:v>
      </x:c>
      <x:c r="C11" s="421" t="str">
        <x:v>.ai/HANDOFF.md / task ai:handoff</x:v>
      </x:c>
      <x:c r="D11" s="421" t="str">
        <x:v>branch, SHA, last verified SHA, tests, next command</x:v>
      </x:c>
      <x:c r="E11" s="421" t="str">
        <x:v>No secrets/raw credentials</x:v>
      </x:c>
      <x:c r="F11" s="421" t="str">
        <x:v>AI / Developer</x:v>
      </x:c>
    </x:row>
    <x:row r="12">
      <x:c r="A12" s="421" t="str">
        <x:v>Resume</x:v>
      </x:c>
      <x:c r="B12" s="421" t="str">
        <x:v>Reconstruct from durable state</x:v>
      </x:c>
      <x:c r="C12" s="421" t="str">
        <x:v>task ai:status</x:v>
      </x:c>
      <x:c r="D12" s="421" t="str">
        <x:v>state vs Git differences</x:v>
      </x:c>
      <x:c r="E12" s="421" t="str">
        <x:v>Repair state before coding when inconsistent</x:v>
      </x:c>
      <x:c r="F12" s="421" t="str">
        <x:v>AI / Developer</x:v>
      </x:c>
    </x:row>
    <x:row r="13">
      <x:c r="A13" s="421" t="str">
        <x:v>Resume</x:v>
      </x:c>
      <x:c r="B13" s="421" t="str">
        <x:v>Re-prove last stable point</x:v>
      </x:c>
      <x:c r="C13" s="421" t="str">
        <x:v>last handoff verification command</x:v>
      </x:c>
      <x:c r="D13" s="421" t="str">
        <x:v>proof result at current SHA</x:v>
      </x:c>
      <x:c r="E13" s="421" t="str">
        <x:v>Do not restart completed work</x:v>
      </x:c>
      <x:c r="F13" s="421" t="str">
        <x:v>AI / Developer</x:v>
      </x:c>
    </x:row>
  </x:sheetData>
  <x:mergeCells>
    <x:mergeCell ref="A1:F1"/>
    <x:mergeCell ref="A2:F2"/>
  </x:mergeCells>
  <x:pageMargins left="0.7" right="0.7" top="0.75" bottom="0.75" header="0.3" footer="0.3"/>
</x:worksheet>
</file>

<file path=xl/worksheets/sheet61.xml><?xml version="1.0" encoding="utf-8"?>
<x:worksheet xmlns:x="http://schemas.openxmlformats.org/spreadsheetml/2006/main">
  <x:sheetFormatPr defaultRowHeight="15"/>
  <x:cols>
    <x:col min="1" max="1" width="15" hidden="0" customWidth="1"/>
    <x:col min="2" max="2" width="28" hidden="0" customWidth="1"/>
    <x:col min="3" max="3" width="24" hidden="0" customWidth="1"/>
    <x:col min="4" max="4" width="35" hidden="0" customWidth="1"/>
    <x:col min="5" max="5" width="42" hidden="0" customWidth="1"/>
    <x:col min="6" max="6" width="40" hidden="0" customWidth="1"/>
    <x:col min="7" max="7" width="44" hidden="0" customWidth="1"/>
  </x:cols>
  <x:sheetData>
    <x:row r="1">
      <x:c r="A1" s="540" t="str">
        <x:v>OmniStackAI V6 — Environment &amp; Deployment Contract</x:v>
      </x:c>
      <x:c r="B1" s="540"/>
      <x:c r="C1" s="540"/>
      <x:c r="D1" s="540"/>
      <x:c r="E1" s="540"/>
      <x:c r="F1" s="540"/>
      <x:c r="G1" s="540"/>
    </x:row>
    <x:row r="2">
      <x:c r="A2" s="421" t="str">
        <x:v>Promote immutable artifacts. Configuration changes are typed and reviewed separately from source. Production secrets are never model-readable strings.</x:v>
      </x:c>
      <x:c r="B2" s="421"/>
      <x:c r="C2" s="421"/>
      <x:c r="D2" s="421"/>
      <x:c r="E2" s="421"/>
      <x:c r="F2" s="421"/>
      <x:c r="G2" s="421"/>
    </x:row>
    <x:row r="4">
      <x:c r="A4" s="544" t="str">
        <x:v>Environment</x:v>
      </x:c>
      <x:c r="B4" s="544" t="str">
        <x:v>Purpose</x:v>
      </x:c>
      <x:c r="C4" s="544" t="str">
        <x:v>Data</x:v>
      </x:c>
      <x:c r="D4" s="544" t="str">
        <x:v>Secrets</x:v>
      </x:c>
      <x:c r="E4" s="544" t="str">
        <x:v>Deployment</x:v>
      </x:c>
      <x:c r="F4" s="544" t="str">
        <x:v>AI / Agent Permissions</x:v>
      </x:c>
      <x:c r="G4" s="544" t="str">
        <x:v>Verification / Promotion Gate</x:v>
      </x:c>
    </x:row>
    <x:row r="5">
      <x:c r="A5" s="421" t="str">
        <x:v>local</x:v>
      </x:c>
      <x:c r="B5" s="421" t="str">
        <x:v>developer/AI iteration</x:v>
      </x:c>
      <x:c r="C5" s="421" t="str">
        <x:v>synthetic/local only</x:v>
      </x:c>
      <x:c r="D5" s="421" t="str">
        <x:v>local refs; .env excluded from model context</x:v>
      </x:c>
      <x:c r="E5" s="421" t="str">
        <x:v>Docker Compose/local runtime</x:v>
      </x:c>
      <x:c r="F5" s="421" t="str">
        <x:v>normal dev tools; no prod capability</x:v>
      </x:c>
      <x:c r="G5" s="421" t="str">
        <x:v>doctor + bootstrap + scoped tests</x:v>
      </x:c>
    </x:row>
    <x:row r="6">
      <x:c r="A6" s="421" t="str">
        <x:v>test</x:v>
      </x:c>
      <x:c r="B6" s="421" t="str">
        <x:v>automated integration</x:v>
      </x:c>
      <x:c r="C6" s="421" t="str">
        <x:v>ephemeral/synthetic</x:v>
      </x:c>
      <x:c r="D6" s="421" t="str">
        <x:v>CI workload identity</x:v>
      </x:c>
      <x:c r="E6" s="421" t="str">
        <x:v>ephemeral CI deployment</x:v>
      </x:c>
      <x:c r="F6" s="421" t="str">
        <x:v>CI-scoped only</x:v>
      </x:c>
      <x:c r="G6" s="421" t="str">
        <x:v>unit/integration/contract/security</x:v>
      </x:c>
    </x:row>
    <x:row r="7">
      <x:c r="A7" s="421" t="str">
        <x:v>preview</x:v>
      </x:c>
      <x:c r="B7" s="421" t="str">
        <x:v>per-PR/client verification</x:v>
      </x:c>
      <x:c r="C7" s="421" t="str">
        <x:v>isolated test dataset</x:v>
      </x:c>
      <x:c r="D7" s="421" t="str">
        <x:v>short-lived preview scope</x:v>
      </x:c>
      <x:c r="E7" s="421" t="str">
        <x:v>immutable PR artifact</x:v>
      </x:c>
      <x:c r="F7" s="421" t="str">
        <x:v>no production writes</x:v>
      </x:c>
      <x:c r="G7" s="421" t="str">
        <x:v>E2E + preview acceptance</x:v>
      </x:c>
    </x:row>
    <x:row r="8">
      <x:c r="A8" s="421" t="str">
        <x:v>staging</x:v>
      </x:c>
      <x:c r="B8" s="421" t="str">
        <x:v>production-like rehearsal</x:v>
      </x:c>
      <x:c r="C8" s="421" t="str">
        <x:v>sanitized/non-prod</x:v>
      </x:c>
      <x:c r="D8" s="421" t="str">
        <x:v>staging-only brokered secrets</x:v>
      </x:c>
      <x:c r="E8" s="421" t="str">
        <x:v>same digest intended for prod</x:v>
      </x:c>
      <x:c r="F8" s="421" t="str">
        <x:v>controlled integration actions</x:v>
      </x:c>
      <x:c r="G8" s="421" t="str">
        <x:v>full release qualification + migration rehearsal</x:v>
      </x:c>
    </x:row>
    <x:row r="9">
      <x:c r="A9" s="421" t="str">
        <x:v>production</x:v>
      </x:c>
      <x:c r="B9" s="421" t="str">
        <x:v>client workload</x:v>
      </x:c>
      <x:c r="C9" s="421" t="str">
        <x:v>production</x:v>
      </x:c>
      <x:c r="D9" s="421" t="str">
        <x:v>KMS/Vault/HSM capabilities</x:v>
      </x:c>
      <x:c r="E9" s="421" t="str">
        <x:v>promote same immutable digest; canary/blue-green</x:v>
      </x:c>
      <x:c r="F9" s="421" t="str">
        <x:v>explicit risk-based production approval</x:v>
      </x:c>
      <x:c r="G9" s="421" t="str">
        <x:v>SLOs + health + rollback/roll-forward + audit</x:v>
      </x:c>
    </x:row>
  </x:sheetData>
  <x:mergeCells>
    <x:mergeCell ref="A1:G1"/>
    <x:mergeCell ref="A2:G2"/>
  </x:mergeCells>
  <x:pageMargins left="0.7" right="0.7" top="0.75" bottom="0.75" header="0.3" footer="0.3"/>
</x:worksheet>
</file>

<file path=xl/worksheets/sheet62.xml><?xml version="1.0" encoding="utf-8"?>
<x:worksheet xmlns:x="http://schemas.openxmlformats.org/spreadsheetml/2006/main">
  <x:sheetFormatPr defaultRowHeight="15"/>
  <x:cols>
    <x:col min="1" max="1" width="24" hidden="0" customWidth="1"/>
    <x:col min="2" max="2" width="38" hidden="0" customWidth="1"/>
    <x:col min="3" max="3" width="42" hidden="0" customWidth="1"/>
    <x:col min="4" max="4" width="14" hidden="0" customWidth="1"/>
    <x:col min="5" max="5" width="34" hidden="0" customWidth="1"/>
  </x:cols>
  <x:sheetData>
    <x:row r="1">
      <x:c r="A1" s="540" t="str">
        <x:v>OmniStackAI V6 — Model Capability &amp; Context Registry</x:v>
      </x:c>
      <x:c r="B1" s="540"/>
      <x:c r="C1" s="540"/>
      <x:c r="D1" s="540"/>
      <x:c r="E1" s="540"/>
    </x:row>
    <x:row r="2">
      <x:c r="A2" s="421" t="str">
        <x:v>Populate from measured provider/model configuration. Context and capability values are not hard-coded by model family name.</x:v>
      </x:c>
      <x:c r="B2" s="421"/>
      <x:c r="C2" s="421"/>
      <x:c r="D2" s="421"/>
      <x:c r="E2" s="421"/>
    </x:row>
    <x:row r="4">
      <x:c r="A4" s="544" t="str">
        <x:v>Field</x:v>
      </x:c>
      <x:c r="B4" s="544" t="str">
        <x:v>Meaning</x:v>
      </x:c>
      <x:c r="C4" s="544" t="str">
        <x:v>Example / Rule</x:v>
      </x:c>
      <x:c r="D4" s="544" t="str">
        <x:v>Required</x:v>
      </x:c>
      <x:c r="E4" s="544" t="str">
        <x:v>Metric / Enforcement</x:v>
      </x:c>
    </x:row>
    <x:row r="5">
      <x:c r="A5" s="421" t="str">
        <x:v>provider_id</x:v>
      </x:c>
      <x:c r="B5" s="421" t="str">
        <x:v>adapter/provider identity</x:v>
      </x:c>
      <x:c r="C5" s="421" t="str">
        <x:v>ollama-local / openai-byok</x:v>
      </x:c>
      <x:c r="D5" s="421" t="str">
        <x:v>Yes</x:v>
      </x:c>
      <x:c r="E5" s="421" t="str">
        <x:v>stable registry ID</x:v>
      </x:c>
    </x:row>
    <x:row r="6">
      <x:c r="A6" s="421" t="str">
        <x:v>model_id</x:v>
      </x:c>
      <x:c r="B6" s="421" t="str">
        <x:v>exact model/version/tag</x:v>
      </x:c>
      <x:c r="C6" s="421" t="str">
        <x:v>pin exact model/configuration</x:v>
      </x:c>
      <x:c r="D6" s="421" t="str">
        <x:v>Yes</x:v>
      </x:c>
      <x:c r="E6" s="421" t="str">
        <x:v>no floating production alias unless policy allows</x:v>
      </x:c>
    </x:row>
    <x:row r="7">
      <x:c r="A7" s="421" t="str">
        <x:v>endpoint_class</x:v>
      </x:c>
      <x:c r="B7" s="421" t="str">
        <x:v>local/cloud/private</x:v>
      </x:c>
      <x:c r="C7" s="421" t="str">
        <x:v>local</x:v>
      </x:c>
      <x:c r="D7" s="421" t="str">
        <x:v>Yes</x:v>
      </x:c>
      <x:c r="E7" s="421" t="str">
        <x:v>data-routing policy</x:v>
      </x:c>
    </x:row>
    <x:row r="8">
      <x:c r="A8" s="421" t="str">
        <x:v>tools</x:v>
      </x:c>
      <x:c r="B8" s="421" t="str">
        <x:v>tool/function-call capability</x:v>
      </x:c>
      <x:c r="C8" s="421" t="str">
        <x:v>evaluated: pass/fail</x:v>
      </x:c>
      <x:c r="D8" s="421" t="str">
        <x:v>Yes</x:v>
      </x:c>
      <x:c r="E8" s="421" t="str">
        <x:v>conformance test</x:v>
      </x:c>
    </x:row>
    <x:row r="9">
      <x:c r="A9" s="421" t="str">
        <x:v>structured_output</x:v>
      </x:c>
      <x:c r="B9" s="421" t="str">
        <x:v>schema/JSON reliability</x:v>
      </x:c>
      <x:c r="C9" s="421" t="str">
        <x:v>evaluated</x:v>
      </x:c>
      <x:c r="D9" s="421" t="str">
        <x:v>Yes</x:v>
      </x:c>
      <x:c r="E9" s="421" t="str">
        <x:v>schema adherence rate</x:v>
      </x:c>
    </x:row>
    <x:row r="10">
      <x:c r="A10" s="421" t="str">
        <x:v>embeddings</x:v>
      </x:c>
      <x:c r="B10" s="421" t="str">
        <x:v>embedding support</x:v>
      </x:c>
      <x:c r="C10" s="421" t="str">
        <x:v>separate embedding model permitted</x:v>
      </x:c>
      <x:c r="D10" s="421" t="str">
        <x:v>When used</x:v>
      </x:c>
      <x:c r="E10" s="421" t="str">
        <x:v>retrieval eval</x:v>
      </x:c>
    </x:row>
    <x:row r="11">
      <x:c r="A11" s="421" t="str">
        <x:v>advertised_context</x:v>
      </x:c>
      <x:c r="B11" s="421" t="str">
        <x:v>declared/configured tokens</x:v>
      </x:c>
      <x:c r="C11" s="421" t="str">
        <x:v>provider/model specific</x:v>
      </x:c>
      <x:c r="D11" s="421" t="str">
        <x:v>Yes</x:v>
      </x:c>
      <x:c r="E11" s="421" t="str">
        <x:v>metadata only; not safe budget</x:v>
      </x:c>
    </x:row>
    <x:row r="12">
      <x:c r="A12" s="421" t="str">
        <x:v>safe_input_budget</x:v>
      </x:c>
      <x:c r="B12" s="421" t="str">
        <x:v>measured maximum task input</x:v>
      </x:c>
      <x:c r="C12" s="421" t="str">
        <x:v>advertised minus system/tools/output/safety</x:v>
      </x:c>
      <x:c r="D12" s="421" t="str">
        <x:v>Yes</x:v>
      </x:c>
      <x:c r="E12" s="421" t="str">
        <x:v>context guard</x:v>
      </x:c>
    </x:row>
    <x:row r="13">
      <x:c r="A13" s="421" t="str">
        <x:v>reserved_output</x:v>
      </x:c>
      <x:c r="B13" s="421" t="str">
        <x:v>protected output allowance</x:v>
      </x:c>
      <x:c r="C13" s="421" t="str">
        <x:v>task-class specific</x:v>
      </x:c>
      <x:c r="D13" s="421" t="str">
        <x:v>Yes</x:v>
      </x:c>
      <x:c r="E13" s="421" t="str">
        <x:v>context guard</x:v>
      </x:c>
    </x:row>
    <x:row r="14">
      <x:c r="A14" s="421" t="str">
        <x:v>tool_call_success</x:v>
      </x:c>
      <x:c r="B14" s="421" t="str">
        <x:v>correct tool/schema rate</x:v>
      </x:c>
      <x:c r="C14" s="421" t="str">
        <x:v>measured benchmark</x:v>
      </x:c>
      <x:c r="D14" s="421" t="str">
        <x:v>Yes for agent tasks</x:v>
      </x:c>
      <x:c r="E14" s="421" t="str">
        <x:v>routing threshold</x:v>
      </x:c>
    </x:row>
    <x:row r="15">
      <x:c r="A15" s="421" t="str">
        <x:v>patch_acceptance</x:v>
      </x:c>
      <x:c r="B15" s="421" t="str">
        <x:v>verified patch acceptance rate</x:v>
      </x:c>
      <x:c r="C15" s="421" t="str">
        <x:v>measured by task class</x:v>
      </x:c>
      <x:c r="D15" s="421" t="str">
        <x:v>Yes for coding</x:v>
      </x:c>
      <x:c r="E15" s="421" t="str">
        <x:v>routing threshold</x:v>
      </x:c>
    </x:row>
    <x:row r="16">
      <x:c r="A16" s="421" t="str">
        <x:v>p50/p95 latency</x:v>
      </x:c>
      <x:c r="B16" s="421" t="str">
        <x:v>operational latency</x:v>
      </x:c>
      <x:c r="C16" s="421" t="str">
        <x:v>measured</x:v>
      </x:c>
      <x:c r="D16" s="421" t="str">
        <x:v>Yes</x:v>
      </x:c>
      <x:c r="E16" s="421" t="str">
        <x:v>routing/capacity</x:v>
      </x:c>
    </x:row>
    <x:row r="17">
      <x:c r="A17" s="421" t="str">
        <x:v>max_concurrency</x:v>
      </x:c>
      <x:c r="B17" s="421" t="str">
        <x:v>safe parallel requests</x:v>
      </x:c>
      <x:c r="C17" s="421" t="str">
        <x:v>measured/configured</x:v>
      </x:c>
      <x:c r="D17" s="421" t="str">
        <x:v>Yes</x:v>
      </x:c>
      <x:c r="E17" s="421" t="str">
        <x:v>back-pressure</x:v>
      </x:c>
    </x:row>
    <x:row r="18">
      <x:c r="A18" s="421" t="str">
        <x:v>privacy_class</x:v>
      </x:c>
      <x:c r="B18" s="421" t="str">
        <x:v>data allowed</x:v>
      </x:c>
      <x:c r="C18" s="421" t="str">
        <x:v>public/internal/restricted</x:v>
      </x:c>
      <x:c r="D18" s="421" t="str">
        <x:v>Yes</x:v>
      </x:c>
      <x:c r="E18" s="421" t="str">
        <x:v>policy engine</x:v>
      </x:c>
    </x:row>
    <x:row r="19">
      <x:c r="A19" s="421" t="str">
        <x:v>license_review</x:v>
      </x:c>
      <x:c r="B19" s="421" t="str">
        <x:v>local model license status</x:v>
      </x:c>
      <x:c r="C19" s="421" t="str">
        <x:v>approved/restricted/rejected</x:v>
      </x:c>
      <x:c r="D19" s="421" t="str">
        <x:v>Yes for local/private</x:v>
      </x:c>
      <x:c r="E19" s="421" t="str">
        <x:v>release gate</x:v>
      </x:c>
    </x:row>
  </x:sheetData>
  <x:mergeCells>
    <x:mergeCell ref="A1:E1"/>
    <x:mergeCell ref="A2:E2"/>
  </x:mergeCells>
  <x:pageMargins left="0.7" right="0.7" top="0.75" bottom="0.75" header="0.3" footer="0.3"/>
</x:worksheet>
</file>