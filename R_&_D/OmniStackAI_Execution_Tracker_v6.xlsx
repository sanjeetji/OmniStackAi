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COUNTIF(Phase_Roadmap!:,"MVP")</f>
        <v/>
      </c>
      <c r="C5" s="419">
        <f>COUNTIFS(Phase_Roadmap!:,"MVP",Phase_Roadmap!:,"Done")</f>
        <v/>
      </c>
      <c r="D5" s="420">
        <f>IF(B5=0,0,C5/B5)</f>
        <v/>
      </c>
      <c r="F5" s="419" t="inlineStr">
        <is>
          <t>Not Started</t>
        </is>
      </c>
      <c r="G5" s="419">
        <f>COUNTIF(Phase_Roadmap!:,F5)</f>
        <v/>
      </c>
    </row>
    <row r="6">
      <c r="A6" s="419" t="inlineStr">
        <is>
          <t>MID</t>
        </is>
      </c>
      <c r="B6" s="419">
        <f>COUNTIF(Phase_Roadmap!:,"MID")</f>
        <v/>
      </c>
      <c r="C6" s="419">
        <f>COUNTIFS(Phase_Roadmap!:,"MID",Phase_Roadmap!:,"Done")</f>
        <v/>
      </c>
      <c r="D6" s="420">
        <f>IF(B6=0,0,C6/B6)</f>
        <v/>
      </c>
      <c r="F6" s="419" t="inlineStr">
        <is>
          <t>In Progress</t>
        </is>
      </c>
      <c r="G6" s="419">
        <f>COUNTIF(Phase_Roadmap!:,F6)</f>
        <v/>
      </c>
    </row>
    <row r="7">
      <c r="A7" s="419" t="inlineStr">
        <is>
          <t>ADVANCED</t>
        </is>
      </c>
      <c r="B7" s="419">
        <f>COUNTIF(Phase_Roadmap!:,"ADVANCED")</f>
        <v/>
      </c>
      <c r="C7" s="419">
        <f>COUNTIFS(Phase_Roadmap!:,"ADVANCED",Phase_Roadmap!:,"Done")</f>
        <v/>
      </c>
      <c r="D7" s="420">
        <f>IF(B7=0,0,C7/B7)</f>
        <v/>
      </c>
      <c r="F7" s="419" t="inlineStr">
        <is>
          <t>Blocked</t>
        </is>
      </c>
      <c r="G7" s="419">
        <f>COUNTIF(Phase_Roadmap!:,F7)</f>
        <v/>
      </c>
    </row>
    <row r="8">
      <c r="A8" s="419" t="inlineStr">
        <is>
          <t>PRODUCTION</t>
        </is>
      </c>
      <c r="B8" s="419">
        <f>COUNTIF(Phase_Roadmap!:,"PRODUCTION")</f>
        <v/>
      </c>
      <c r="C8" s="419">
        <f>COUNTIFS(Phase_Roadmap!:,"PRODUCTION",Phase_Roadmap!:,"Done")</f>
        <v/>
      </c>
      <c r="D8" s="420">
        <f>IF(B8=0,0,C8/B8)</f>
        <v/>
      </c>
      <c r="F8" s="419" t="inlineStr">
        <is>
          <t>Done</t>
        </is>
      </c>
      <c r="G8" s="419">
        <f>COUNTIF(Phase_Roadmap!:,F8)</f>
        <v/>
      </c>
    </row>
    <row r="9">
      <c r="F9" s="419" t="inlineStr">
        <is>
          <t>Deferred</t>
        </is>
      </c>
      <c r="G9" s="419">
        <f>COUNTIF(Phase_Roadmap!:,F9)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57"/>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R-449</t>
        </is>
      </c>
      <c r="B9" t="inlineStr">
        <is>
          <t>MVP</t>
        </is>
      </c>
      <c r="C9" t="inlineStr">
        <is>
          <t>Solution Packs</t>
        </is>
      </c>
      <c r="D9" t="inlineStr">
        <is>
          <t>Solution Pack Ecosystem Cross-Surface Telemetry, Audit Trails, and Distributed Tracing</t>
        </is>
      </c>
      <c r="E9"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9" t="inlineStr">
        <is>
          <t>P1</t>
        </is>
      </c>
      <c r="G9" t="inlineStr">
        <is>
          <t>sanjeetji</t>
        </is>
      </c>
      <c r="H9" t="inlineStr">
        <is>
          <t>Done</t>
        </is>
      </c>
      <c r="I9" t="n">
        <v>1</v>
      </c>
      <c r="J9" t="inlineStr">
        <is>
          <t>R-448</t>
        </is>
      </c>
      <c r="K9" t="inlineStr">
        <is>
          <t>Founder Stage 0</t>
        </is>
      </c>
      <c r="L9" t="inlineStr">
        <is>
          <t>task verify passed offline (3,131 tests passed); test_ecosystem_telemetry.py passed (33 tests); lint/security/env pass; 0 model calls.</t>
        </is>
      </c>
      <c r="M9" t="inlineStr">
        <is>
          <t>Completed on 2026-09-14: 20th brick of differentiating spine; verified 100% offline.</t>
        </is>
      </c>
    </row>
    <row r="10" ht="34" customHeight="1" s="401">
      <c r="A10" t="inlineStr">
        <is>
          <t>R-448</t>
        </is>
      </c>
      <c r="B10" t="inlineStr">
        <is>
          <t>MVP</t>
        </is>
      </c>
      <c r="C10" t="inlineStr">
        <is>
          <t>Solution Packs</t>
        </is>
      </c>
      <c r="D10" t="inlineStr">
        <is>
          <t>Solution Pack Ecosystem Cross-Surface Webhook and Event Bridge</t>
        </is>
      </c>
      <c r="E10"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10" t="inlineStr">
        <is>
          <t>P1</t>
        </is>
      </c>
      <c r="G10" t="inlineStr">
        <is>
          <t>sanjeetji</t>
        </is>
      </c>
      <c r="H10" t="inlineStr">
        <is>
          <t>Done</t>
        </is>
      </c>
      <c r="I10" t="n">
        <v>1</v>
      </c>
      <c r="J10" t="inlineStr">
        <is>
          <t>R-447</t>
        </is>
      </c>
      <c r="K10" t="inlineStr">
        <is>
          <t>Founder Stage 0</t>
        </is>
      </c>
      <c r="L10" t="inlineStr">
        <is>
          <t>task verify passed offline; lint/security/env pass; 0 model calls.</t>
        </is>
      </c>
      <c r="M10" t="inlineStr">
        <is>
          <t>Added on 2026-09-14 during task compilation audit: completed in founder build sequence as part of UI component suites and differentiating spine (R-359..R-448); verified 100% offline (task verify 3,098 tests passed).</t>
        </is>
      </c>
    </row>
    <row r="11" ht="34" customHeight="1" s="401">
      <c r="A11" t="inlineStr">
        <is>
          <t>R-447</t>
        </is>
      </c>
      <c r="B11" t="inlineStr">
        <is>
          <t>MVP</t>
        </is>
      </c>
      <c r="C11" t="inlineStr">
        <is>
          <t>Solution Packs</t>
        </is>
      </c>
      <c r="D11" t="inlineStr">
        <is>
          <t>Solution Pack Ecosystem Multi-Surface Cross-App Auth and Unified State Binding</t>
        </is>
      </c>
      <c r="E11"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11" t="inlineStr">
        <is>
          <t>P1</t>
        </is>
      </c>
      <c r="G11" t="inlineStr">
        <is>
          <t>sanjeetji</t>
        </is>
      </c>
      <c r="H11" t="inlineStr">
        <is>
          <t>Done</t>
        </is>
      </c>
      <c r="I11" t="n">
        <v>1</v>
      </c>
      <c r="J11" t="inlineStr">
        <is>
          <t>R-446</t>
        </is>
      </c>
      <c r="K11" t="inlineStr">
        <is>
          <t>Founder Stage 0</t>
        </is>
      </c>
      <c r="L11" t="inlineStr">
        <is>
          <t>task verify passed offline; lint/security/env pass; 0 model calls.</t>
        </is>
      </c>
      <c r="M11" t="inlineStr">
        <is>
          <t>Added on 2026-09-14 during task compilation audit: completed in founder build sequence as part of UI component suites and differentiating spine (R-359..R-448); verified 100% offline (task verify 3,098 tests passed).</t>
        </is>
      </c>
    </row>
    <row r="12" ht="34" customHeight="1" s="401">
      <c r="A12" t="inlineStr">
        <is>
          <t>R-446</t>
        </is>
      </c>
      <c r="B12" t="inlineStr">
        <is>
          <t>MVP</t>
        </is>
      </c>
      <c r="C12" t="inlineStr">
        <is>
          <t>Solution Packs</t>
        </is>
      </c>
      <c r="D12" t="inlineStr">
        <is>
          <t>Solution Pack Ecosystem Studio Live Multi-Surface Preview and Process Orchestration</t>
        </is>
      </c>
      <c r="E12"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12" t="inlineStr">
        <is>
          <t>P1</t>
        </is>
      </c>
      <c r="G12" t="inlineStr">
        <is>
          <t>sanjeetji</t>
        </is>
      </c>
      <c r="H12" t="inlineStr">
        <is>
          <t>Done</t>
        </is>
      </c>
      <c r="I12" t="n">
        <v>1</v>
      </c>
      <c r="J12" t="inlineStr">
        <is>
          <t>R-445</t>
        </is>
      </c>
      <c r="K12" t="inlineStr">
        <is>
          <t>Founder Stage 0</t>
        </is>
      </c>
      <c r="L12" t="inlineStr">
        <is>
          <t>task verify passed offline; lint/security/env pass; 0 model calls.</t>
        </is>
      </c>
      <c r="M12" t="inlineStr">
        <is>
          <t>Added on 2026-09-14 during task compilation audit: completed in founder build sequence as part of UI component suites and differentiating spine (R-359..R-448); verified 100% offline (task verify 3,098 tests passed).</t>
        </is>
      </c>
    </row>
    <row r="13" ht="34" customHeight="1" s="401">
      <c r="A13" t="inlineStr">
        <is>
          <t>R-445</t>
        </is>
      </c>
      <c r="B13" t="inlineStr">
        <is>
          <t>MVP</t>
        </is>
      </c>
      <c r="C13" t="inlineStr">
        <is>
          <t>Solution Packs</t>
        </is>
      </c>
      <c r="D13" t="inlineStr">
        <is>
          <t>Solution Pack Ecosystem Pack Registry Integration, Catalog Discovery, and Studio Multi-Surface Selection</t>
        </is>
      </c>
      <c r="E13"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13" t="inlineStr">
        <is>
          <t>P1</t>
        </is>
      </c>
      <c r="G13" t="inlineStr">
        <is>
          <t>sanjeetji</t>
        </is>
      </c>
      <c r="H13" t="inlineStr">
        <is>
          <t>Done</t>
        </is>
      </c>
      <c r="I13" t="n">
        <v>1</v>
      </c>
      <c r="J13" t="inlineStr">
        <is>
          <t>R-444</t>
        </is>
      </c>
      <c r="K13" t="inlineStr">
        <is>
          <t>Founder Stage 0</t>
        </is>
      </c>
      <c r="L13" t="inlineStr">
        <is>
          <t>task verify passed offline; lint/security/env pass; 0 model calls.</t>
        </is>
      </c>
      <c r="M13" t="inlineStr">
        <is>
          <t>Added on 2026-09-14 during task compilation audit: completed in founder build sequence as part of UI component suites and differentiating spine (R-359..R-448); verified 100% offline (task verify 3,098 tests passed).</t>
        </is>
      </c>
    </row>
    <row r="14" ht="34" customHeight="1" s="401">
      <c r="A14" t="inlineStr">
        <is>
          <t>R-444</t>
        </is>
      </c>
      <c r="B14" t="inlineStr">
        <is>
          <t>MVP</t>
        </is>
      </c>
      <c r="C14" t="inlineStr">
        <is>
          <t>Solution Packs</t>
        </is>
      </c>
      <c r="D14" t="inlineStr">
        <is>
          <t>Task Contract: R-444 — Solution Pack Multi-Surface Ecosystem Pack Synthesis</t>
        </is>
      </c>
      <c r="E14"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14" t="inlineStr">
        <is>
          <t>P1</t>
        </is>
      </c>
      <c r="G14" t="inlineStr">
        <is>
          <t>sanjeetji</t>
        </is>
      </c>
      <c r="H14" t="inlineStr">
        <is>
          <t>Done</t>
        </is>
      </c>
      <c r="I14" t="n">
        <v>1</v>
      </c>
      <c r="J14" t="inlineStr">
        <is>
          <t>R-443</t>
        </is>
      </c>
      <c r="K14" t="inlineStr">
        <is>
          <t>Founder Stage 0</t>
        </is>
      </c>
      <c r="L14" t="inlineStr">
        <is>
          <t>task verify passed offline; lint/security/env pass; 0 model calls.</t>
        </is>
      </c>
      <c r="M14" t="inlineStr">
        <is>
          <t>Added on 2026-09-14 during task compilation audit: completed in founder build sequence as part of UI component suites and differentiating spine (R-359..R-448); verified 100% offline (task verify 3,098 tests passed).</t>
        </is>
      </c>
    </row>
    <row r="15" ht="34" customHeight="1" s="401">
      <c r="A15" t="inlineStr">
        <is>
          <t>R-443</t>
        </is>
      </c>
      <c r="B15" t="inlineStr">
        <is>
          <t>MVP</t>
        </is>
      </c>
      <c r="C15" t="inlineStr">
        <is>
          <t>Solution Packs</t>
        </is>
      </c>
      <c r="D15" t="inlineStr">
        <is>
          <t>Solution Pack Packaging, Verification, and Export CLI</t>
        </is>
      </c>
      <c r="E15"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15" t="inlineStr">
        <is>
          <t>P1</t>
        </is>
      </c>
      <c r="G15" t="inlineStr">
        <is>
          <t>sanjeetji</t>
        </is>
      </c>
      <c r="H15" t="inlineStr">
        <is>
          <t>Done</t>
        </is>
      </c>
      <c r="I15" t="n">
        <v>1</v>
      </c>
      <c r="J15" t="inlineStr">
        <is>
          <t>R-442</t>
        </is>
      </c>
      <c r="K15" t="inlineStr">
        <is>
          <t>Founder Stage 0</t>
        </is>
      </c>
      <c r="L15" t="inlineStr">
        <is>
          <t>task verify passed offline; lint/security/env pass; 0 model calls.</t>
        </is>
      </c>
      <c r="M15" t="inlineStr">
        <is>
          <t>Added on 2026-09-14 during task compilation audit: completed in founder build sequence as part of UI component suites and differentiating spine (R-359..R-448); verified 100% offline (task verify 3,098 tests passed).</t>
        </is>
      </c>
    </row>
    <row r="16" ht="34" customHeight="1" s="401">
      <c r="A16" t="inlineStr">
        <is>
          <t>R-442</t>
        </is>
      </c>
      <c r="B16" t="inlineStr">
        <is>
          <t>MVP</t>
        </is>
      </c>
      <c r="C16" t="inlineStr">
        <is>
          <t>Studio</t>
        </is>
      </c>
      <c r="D16" t="inlineStr">
        <is>
          <t>Studio AI-delta feature modification controls above Solution Packs</t>
        </is>
      </c>
      <c r="E16"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16" t="inlineStr">
        <is>
          <t>P1</t>
        </is>
      </c>
      <c r="G16" t="inlineStr">
        <is>
          <t>sanjeetji</t>
        </is>
      </c>
      <c r="H16" t="inlineStr">
        <is>
          <t>Done</t>
        </is>
      </c>
      <c r="I16" t="n">
        <v>1</v>
      </c>
      <c r="J16" t="inlineStr">
        <is>
          <t>R-441</t>
        </is>
      </c>
      <c r="K16" t="inlineStr">
        <is>
          <t>Founder Stage 0</t>
        </is>
      </c>
      <c r="L16" t="inlineStr">
        <is>
          <t>task verify passed offline; lint/security/env pass; 0 model calls.</t>
        </is>
      </c>
      <c r="M16" t="inlineStr">
        <is>
          <t>Added on 2026-09-14 during task compilation audit: completed in founder build sequence as part of UI component suites and differentiating spine (R-359..R-448); verified 100% offline (task verify 3,098 tests passed).</t>
        </is>
      </c>
    </row>
    <row r="17" ht="34" customHeight="1" s="401">
      <c r="A17" t="inlineStr">
        <is>
          <t>R-441</t>
        </is>
      </c>
      <c r="B17" t="inlineStr">
        <is>
          <t>MVP</t>
        </is>
      </c>
      <c r="C17" t="inlineStr">
        <is>
          <t>Studio</t>
        </is>
      </c>
      <c r="D17" t="inlineStr">
        <is>
          <t>Live Studio integration and UI controls for Solution Pack selection and modification</t>
        </is>
      </c>
      <c r="E17" t="inlineStr">
        <is>
          <t>Wire Solution Pack discovery, recommendation, selection, customization, and provenance into the OmniStackAI Studio web interface (`page.py`), live server (`live_serve.py`), HTTP server (`server.py`), and history tracking (`history.py`).</t>
        </is>
      </c>
      <c r="F17" t="inlineStr">
        <is>
          <t>P1</t>
        </is>
      </c>
      <c r="G17" t="inlineStr">
        <is>
          <t>sanjeetji</t>
        </is>
      </c>
      <c r="H17" t="inlineStr">
        <is>
          <t>Done</t>
        </is>
      </c>
      <c r="I17" t="n">
        <v>1</v>
      </c>
      <c r="J17" t="inlineStr">
        <is>
          <t>R-440</t>
        </is>
      </c>
      <c r="K17" t="inlineStr">
        <is>
          <t>Founder Stage 0</t>
        </is>
      </c>
      <c r="L17" t="inlineStr">
        <is>
          <t>task verify passed offline; lint/security/env pass; 0 model calls.</t>
        </is>
      </c>
      <c r="M17" t="inlineStr">
        <is>
          <t>Added on 2026-09-14 during task compilation audit: completed in founder build sequence as part of UI component suites and differentiating spine (R-359..R-448); verified 100% offline (task verify 3,098 tests passed).</t>
        </is>
      </c>
    </row>
    <row r="18" ht="34" customHeight="1" s="401">
      <c r="A18" t="inlineStr">
        <is>
          <t>R-440</t>
        </is>
      </c>
      <c r="B18" t="inlineStr">
        <is>
          <t>MVP</t>
        </is>
      </c>
      <c r="C18" t="inlineStr">
        <is>
          <t>Solution Packs</t>
        </is>
      </c>
      <c r="D18" t="inlineStr">
        <is>
          <t>Standard AI Task Contract: R-440</t>
        </is>
      </c>
      <c r="E18"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18" t="inlineStr">
        <is>
          <t>P1</t>
        </is>
      </c>
      <c r="G18" t="inlineStr">
        <is>
          <t>sanjeetji</t>
        </is>
      </c>
      <c r="H18" t="inlineStr">
        <is>
          <t>Done</t>
        </is>
      </c>
      <c r="I18" t="n">
        <v>1</v>
      </c>
      <c r="J18" t="inlineStr">
        <is>
          <t>R-439</t>
        </is>
      </c>
      <c r="K18" t="inlineStr">
        <is>
          <t>Founder Stage 0</t>
        </is>
      </c>
      <c r="L18" t="inlineStr">
        <is>
          <t>task verify passed offline; lint/security/env pass; 0 model calls.</t>
        </is>
      </c>
      <c r="M18" t="inlineStr">
        <is>
          <t>Added on 2026-09-14 during task compilation audit: completed in founder build sequence as part of UI component suites and differentiating spine (R-359..R-448); verified 100% offline (task verify 3,098 tests passed).</t>
        </is>
      </c>
    </row>
    <row r="19" ht="34" customHeight="1" s="401">
      <c r="A19" t="inlineStr">
        <is>
          <t>R-439</t>
        </is>
      </c>
      <c r="B19" t="inlineStr">
        <is>
          <t>MVP</t>
        </is>
      </c>
      <c r="C19" t="inlineStr">
        <is>
          <t>Solution Packs</t>
        </is>
      </c>
      <c r="D19" t="inlineStr">
        <is>
          <t>Safely Apply Validated AI-Delta Proposals to Application IR</t>
        </is>
      </c>
      <c r="E19"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19" t="inlineStr">
        <is>
          <t>P1</t>
        </is>
      </c>
      <c r="G19" t="inlineStr">
        <is>
          <t>sanjeetji</t>
        </is>
      </c>
      <c r="H19" t="inlineStr">
        <is>
          <t>Done</t>
        </is>
      </c>
      <c r="I19" t="n">
        <v>1</v>
      </c>
      <c r="J19" t="inlineStr">
        <is>
          <t>R-438</t>
        </is>
      </c>
      <c r="K19" t="inlineStr">
        <is>
          <t>Founder Stage 0</t>
        </is>
      </c>
      <c r="L19" t="inlineStr">
        <is>
          <t>task verify passed offline; lint/security/env pass; 0 model calls.</t>
        </is>
      </c>
      <c r="M19" t="inlineStr">
        <is>
          <t>Added on 2026-09-14 during task compilation audit: completed in founder build sequence as part of UI component suites and differentiating spine (R-359..R-448); verified 100% offline (task verify 3,098 tests passed).</t>
        </is>
      </c>
    </row>
    <row r="20" ht="34" customHeight="1" s="401">
      <c r="A20" t="inlineStr">
        <is>
          <t>R-438</t>
        </is>
      </c>
      <c r="B20" t="inlineStr">
        <is>
          <t>MVP</t>
        </is>
      </c>
      <c r="C20" t="inlineStr">
        <is>
          <t>Solution Packs</t>
        </is>
      </c>
      <c r="D20" t="inlineStr">
        <is>
          <t>Task Contract: R-438 — Bounded Typed Solution Pack AI-Delta Proposal Schema &amp; Local ModelProvider Boundary</t>
        </is>
      </c>
      <c r="E20"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20" t="inlineStr">
        <is>
          <t>P1</t>
        </is>
      </c>
      <c r="G20" t="inlineStr">
        <is>
          <t>sanjeetji</t>
        </is>
      </c>
      <c r="H20" t="inlineStr">
        <is>
          <t>Done</t>
        </is>
      </c>
      <c r="I20" t="n">
        <v>1</v>
      </c>
      <c r="J20" t="inlineStr">
        <is>
          <t>R-437</t>
        </is>
      </c>
      <c r="K20" t="inlineStr">
        <is>
          <t>Founder Stage 0</t>
        </is>
      </c>
      <c r="L20" t="inlineStr">
        <is>
          <t>task verify passed offline; lint/security/env pass; 0 model calls.</t>
        </is>
      </c>
      <c r="M20" t="inlineStr">
        <is>
          <t>Added on 2026-09-14 during task compilation audit: completed in founder build sequence as part of UI component suites and differentiating spine (R-359..R-448); verified 100% offline (task verify 3,098 tests passed).</t>
        </is>
      </c>
    </row>
    <row r="21" ht="34" customHeight="1" s="401">
      <c r="A21" t="inlineStr">
        <is>
          <t>R-437</t>
        </is>
      </c>
      <c r="B21" t="inlineStr">
        <is>
          <t>MVP</t>
        </is>
      </c>
      <c r="C21" t="inlineStr">
        <is>
          <t>Solution Packs</t>
        </is>
      </c>
      <c r="D21" t="inlineStr">
        <is>
          <t>Deterministic Solution Pack configuration application</t>
        </is>
      </c>
      <c r="E21"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21" t="inlineStr">
        <is>
          <t>P1</t>
        </is>
      </c>
      <c r="G21" t="inlineStr">
        <is>
          <t>sanjeetji</t>
        </is>
      </c>
      <c r="H21" t="inlineStr">
        <is>
          <t>Done</t>
        </is>
      </c>
      <c r="I21" t="n">
        <v>1</v>
      </c>
      <c r="J21" t="inlineStr">
        <is>
          <t>R-436</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R-436</t>
        </is>
      </c>
      <c r="B22" t="inlineStr">
        <is>
          <t>MVP</t>
        </is>
      </c>
      <c r="C22" t="inlineStr">
        <is>
          <t>Solution Packs</t>
        </is>
      </c>
      <c r="D22" t="inlineStr">
        <is>
          <t>Pinned declarative Solution Pack customization manifests</t>
        </is>
      </c>
      <c r="E22"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22" t="inlineStr">
        <is>
          <t>P1</t>
        </is>
      </c>
      <c r="G22" t="inlineStr">
        <is>
          <t>sanjeetji</t>
        </is>
      </c>
      <c r="H22" t="inlineStr">
        <is>
          <t>Done</t>
        </is>
      </c>
      <c r="I22" t="n">
        <v>1</v>
      </c>
      <c r="J22" t="inlineStr">
        <is>
          <t>R-435</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R-435</t>
        </is>
      </c>
      <c r="B23" t="inlineStr">
        <is>
          <t>MVP</t>
        </is>
      </c>
      <c r="C23" t="inlineStr">
        <is>
          <t>Solution Packs</t>
        </is>
      </c>
      <c r="D23" t="inlineStr">
        <is>
          <t>Exact-compatible Solution Pack recommendations in ecosystem planning</t>
        </is>
      </c>
      <c r="E23"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23" t="inlineStr">
        <is>
          <t>P1</t>
        </is>
      </c>
      <c r="G23" t="inlineStr">
        <is>
          <t>sanjeetji</t>
        </is>
      </c>
      <c r="H23" t="inlineStr">
        <is>
          <t>Done</t>
        </is>
      </c>
      <c r="I23" t="n">
        <v>1</v>
      </c>
      <c r="J23" t="inlineStr">
        <is>
          <t>R-434</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R-434</t>
        </is>
      </c>
      <c r="B24" t="inlineStr">
        <is>
          <t>MVP</t>
        </is>
      </c>
      <c r="C24" t="inlineStr">
        <is>
          <t>Solution Packs</t>
        </is>
      </c>
      <c r="D24" t="inlineStr">
        <is>
          <t>Versioned baseline Solution Pack registry</t>
        </is>
      </c>
      <c r="E24"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24" t="inlineStr">
        <is>
          <t>P1</t>
        </is>
      </c>
      <c r="G24" t="inlineStr">
        <is>
          <t>sanjeetji</t>
        </is>
      </c>
      <c r="H24" t="inlineStr">
        <is>
          <t>Done</t>
        </is>
      </c>
      <c r="I24" t="n">
        <v>1</v>
      </c>
      <c r="J24" t="inlineStr">
        <is>
          <t>R-433</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R-433</t>
        </is>
      </c>
      <c r="B25" t="inlineStr">
        <is>
          <t>MVP</t>
        </is>
      </c>
      <c r="C25" t="inlineStr">
        <is>
          <t>Ecosystem</t>
        </is>
      </c>
      <c r="D25" t="inlineStr">
        <is>
          <t>Surface-specific ecosystem data and capability scoping</t>
        </is>
      </c>
      <c r="E25"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25" t="inlineStr">
        <is>
          <t>P1</t>
        </is>
      </c>
      <c r="G25" t="inlineStr">
        <is>
          <t>sanjeetji</t>
        </is>
      </c>
      <c r="H25" t="inlineStr">
        <is>
          <t>Done</t>
        </is>
      </c>
      <c r="I25" t="n">
        <v>1</v>
      </c>
      <c r="J25" t="inlineStr">
        <is>
          <t>R-432</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R-432</t>
        </is>
      </c>
      <c r="B26" t="inlineStr">
        <is>
          <t>MVP</t>
        </is>
      </c>
      <c r="C26" t="inlineStr">
        <is>
          <t>Ecosystem</t>
        </is>
      </c>
      <c r="D26" t="inlineStr">
        <is>
          <t>Opt-in model refinement for tailored ecosystems outside curated domains</t>
        </is>
      </c>
      <c r="E26"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26" t="inlineStr">
        <is>
          <t>P1</t>
        </is>
      </c>
      <c r="G26" t="inlineStr">
        <is>
          <t>sanjeetji</t>
        </is>
      </c>
      <c r="H26" t="inlineStr">
        <is>
          <t>Done</t>
        </is>
      </c>
      <c r="I26" t="n">
        <v>1</v>
      </c>
      <c r="J26" t="inlineStr">
        <is>
          <t>R-431</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R-431</t>
        </is>
      </c>
      <c r="B27" t="inlineStr">
        <is>
          <t>MVP</t>
        </is>
      </c>
      <c r="C27" t="inlineStr">
        <is>
          <t>Ecosystem</t>
        </is>
      </c>
      <c r="D27" t="inlineStr">
        <is>
          <t>Scope → Application IRs — materialize a multi-app ecosystem from one prompt</t>
        </is>
      </c>
      <c r="E27"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27" t="inlineStr">
        <is>
          <t>P1</t>
        </is>
      </c>
      <c r="G27" t="inlineStr">
        <is>
          <t>sanjeetji</t>
        </is>
      </c>
      <c r="H27" t="inlineStr">
        <is>
          <t>Done</t>
        </is>
      </c>
      <c r="I27" t="n">
        <v>1</v>
      </c>
      <c r="J27" t="inlineStr">
        <is>
          <t>R-430</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R-430</t>
        </is>
      </c>
      <c r="B28" t="inlineStr">
        <is>
          <t>MVP</t>
        </is>
      </c>
      <c r="C28" t="inlineStr">
        <is>
          <t>Ecosystem</t>
        </is>
      </c>
      <c r="D28" t="inlineStr">
        <is>
          <t>Ecosystem Scope Compiler — deterministic domain classification + multi-app scope proposal</t>
        </is>
      </c>
      <c r="E28"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28" t="inlineStr">
        <is>
          <t>P1</t>
        </is>
      </c>
      <c r="G28" t="inlineStr">
        <is>
          <t>sanjeetji</t>
        </is>
      </c>
      <c r="H28" t="inlineStr">
        <is>
          <t>Done</t>
        </is>
      </c>
      <c r="I28" t="n">
        <v>1</v>
      </c>
      <c r="J28" t="inlineStr">
        <is>
          <t>R-429</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R-429</t>
        </is>
      </c>
      <c r="B29" t="inlineStr">
        <is>
          <t>MVP</t>
        </is>
      </c>
      <c r="C29" t="inlineStr">
        <is>
          <t>Codegen / Preview</t>
        </is>
      </c>
      <c r="D29" t="inlineStr">
        <is>
          <t>Generated web app passes strict `tsc --noEmit` — component-library type cleanup</t>
        </is>
      </c>
      <c r="E29"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29" t="inlineStr">
        <is>
          <t>P1</t>
        </is>
      </c>
      <c r="G29" t="inlineStr">
        <is>
          <t>sanjeetji</t>
        </is>
      </c>
      <c r="H29" t="inlineStr">
        <is>
          <t>Done</t>
        </is>
      </c>
      <c r="I29" t="n">
        <v>1</v>
      </c>
      <c r="J29" t="inlineStr">
        <is>
          <t>R-428</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R-428</t>
        </is>
      </c>
      <c r="B30" t="inlineStr">
        <is>
          <t>MVP</t>
        </is>
      </c>
      <c r="C30" t="inlineStr">
        <is>
          <t>Codegen / Preview</t>
        </is>
      </c>
      <c r="D30" t="inlineStr">
        <is>
          <t>Generated web app compiles — opt-in TypeScript typecheck gate + fix the bugs it reveals</t>
        </is>
      </c>
      <c r="E30"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30" t="inlineStr">
        <is>
          <t>P1</t>
        </is>
      </c>
      <c r="G30" t="inlineStr">
        <is>
          <t>sanjeetji</t>
        </is>
      </c>
      <c r="H30" t="inlineStr">
        <is>
          <t>Done</t>
        </is>
      </c>
      <c r="I30" t="n">
        <v>1</v>
      </c>
      <c r="J30" t="inlineStr">
        <is>
          <t>R-427</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R-427</t>
        </is>
      </c>
      <c r="B31" t="inlineStr">
        <is>
          <t>MVP</t>
        </is>
      </c>
      <c r="C31" t="inlineStr">
        <is>
          <t>Codegen / Preview</t>
        </is>
      </c>
      <c r="D31" t="inlineStr">
        <is>
          <t>Fix malformed single-brace inline styles in generated Next.js screens</t>
        </is>
      </c>
      <c r="E31"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31" t="inlineStr">
        <is>
          <t>P1</t>
        </is>
      </c>
      <c r="G31" t="inlineStr">
        <is>
          <t>sanjeetji</t>
        </is>
      </c>
      <c r="H31" t="inlineStr">
        <is>
          <t>Done</t>
        </is>
      </c>
      <c r="I31" t="n">
        <v>1</v>
      </c>
      <c r="J31" t="inlineStr">
        <is>
          <t>R-426</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R-426</t>
        </is>
      </c>
      <c r="B32" t="inlineStr">
        <is>
          <t>MVP</t>
        </is>
      </c>
      <c r="C32" t="inlineStr">
        <is>
          <t>Codegen / Preview</t>
        </is>
      </c>
      <c r="D32" t="inlineStr">
        <is>
          <t>Remove a build from the Studio history</t>
        </is>
      </c>
      <c r="E32"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32" t="inlineStr">
        <is>
          <t>P1</t>
        </is>
      </c>
      <c r="G32" t="inlineStr">
        <is>
          <t>sanjeetji</t>
        </is>
      </c>
      <c r="H32" t="inlineStr">
        <is>
          <t>Done</t>
        </is>
      </c>
      <c r="I32" t="n">
        <v>1</v>
      </c>
      <c r="J32" t="inlineStr">
        <is>
          <t>R-425</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R-425</t>
        </is>
      </c>
      <c r="B33" t="inlineStr">
        <is>
          <t>MVP</t>
        </is>
      </c>
      <c r="C33" t="inlineStr">
        <is>
          <t>Codegen / Preview</t>
        </is>
      </c>
      <c r="D33" t="inlineStr">
        <is>
          <t>Per-build repo actions — copy path + open folder</t>
        </is>
      </c>
      <c r="E33"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33" t="inlineStr">
        <is>
          <t>P1</t>
        </is>
      </c>
      <c r="G33" t="inlineStr">
        <is>
          <t>sanjeetji</t>
        </is>
      </c>
      <c r="H33" t="inlineStr">
        <is>
          <t>Done</t>
        </is>
      </c>
      <c r="I33" t="n">
        <v>1</v>
      </c>
      <c r="J33" t="inlineStr">
        <is>
          <t>R-424</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R-424</t>
        </is>
      </c>
      <c r="B34" t="inlineStr">
        <is>
          <t>MVP</t>
        </is>
      </c>
      <c r="C34" t="inlineStr">
        <is>
          <t>Codegen / Preview</t>
        </is>
      </c>
      <c r="D34" t="inlineStr">
        <is>
          <t>Live preview status — liveness-aware status + Studio polling</t>
        </is>
      </c>
      <c r="E34"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34" t="inlineStr">
        <is>
          <t>P1</t>
        </is>
      </c>
      <c r="G34" t="inlineStr">
        <is>
          <t>sanjeetji</t>
        </is>
      </c>
      <c r="H34" t="inlineStr">
        <is>
          <t>Done</t>
        </is>
      </c>
      <c r="I34" t="n">
        <v>1</v>
      </c>
      <c r="J34" t="inlineStr">
        <is>
          <t>R-423</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R-423</t>
        </is>
      </c>
      <c r="B35" t="inlineStr">
        <is>
          <t>MVP</t>
        </is>
      </c>
      <c r="C35" t="inlineStr">
        <is>
          <t>Codegen / Preview</t>
        </is>
      </c>
      <c r="D35" t="inlineStr">
        <is>
          <t>Studio build history + re-preview a recent build</t>
        </is>
      </c>
      <c r="E35"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35" t="inlineStr">
        <is>
          <t>P1</t>
        </is>
      </c>
      <c r="G35" t="inlineStr">
        <is>
          <t>sanjeetji</t>
        </is>
      </c>
      <c r="H35" t="inlineStr">
        <is>
          <t>Done</t>
        </is>
      </c>
      <c r="I35" t="n">
        <v>1</v>
      </c>
      <c r="J35" t="inlineStr">
        <is>
          <t>R-422</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R-422</t>
        </is>
      </c>
      <c r="B36" t="inlineStr">
        <is>
          <t>MVP</t>
        </is>
      </c>
      <c r="C36" t="inlineStr">
        <is>
          <t>Codegen / Preview</t>
        </is>
      </c>
      <c r="D36" t="inlineStr">
        <is>
          <t>Collision-free Studio preview ports + status/stop/restart controls</t>
        </is>
      </c>
      <c r="E36"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36" t="inlineStr">
        <is>
          <t>P1</t>
        </is>
      </c>
      <c r="G36" t="inlineStr">
        <is>
          <t>sanjeetji</t>
        </is>
      </c>
      <c r="H36" t="inlineStr">
        <is>
          <t>Done</t>
        </is>
      </c>
      <c r="I36" t="n">
        <v>1</v>
      </c>
      <c r="J36" t="inlineStr">
        <is>
          <t>R-421</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R-421</t>
        </is>
      </c>
      <c r="B37" t="inlineStr">
        <is>
          <t>MVP</t>
        </is>
      </c>
      <c r="C37" t="inlineStr">
        <is>
          <t>Codegen / Preview</t>
        </is>
      </c>
      <c r="D37" t="inlineStr">
        <is>
          <t>Managed live generated-app preview inside the local Studio</t>
        </is>
      </c>
      <c r="E37"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37" t="inlineStr">
        <is>
          <t>P1</t>
        </is>
      </c>
      <c r="G37" t="inlineStr">
        <is>
          <t>sanjeetji</t>
        </is>
      </c>
      <c r="H37" t="inlineStr">
        <is>
          <t>Done</t>
        </is>
      </c>
      <c r="I37" t="n">
        <v>1</v>
      </c>
      <c r="J37" t="inlineStr">
        <is>
          <t>R-420</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R-420</t>
        </is>
      </c>
      <c r="B38" t="inlineStr">
        <is>
          <t>MVP</t>
        </is>
      </c>
      <c r="C38" t="inlineStr">
        <is>
          <t>Codegen / Preview</t>
        </is>
      </c>
      <c r="D38" t="inlineStr">
        <is>
          <t>SQL-safe generated PostgreSQL identifiers and FK dependency order</t>
        </is>
      </c>
      <c r="E38"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38" t="inlineStr">
        <is>
          <t>P1</t>
        </is>
      </c>
      <c r="G38" t="inlineStr">
        <is>
          <t>sanjeetji</t>
        </is>
      </c>
      <c r="H38" t="inlineStr">
        <is>
          <t>Done</t>
        </is>
      </c>
      <c r="I38" t="n">
        <v>1</v>
      </c>
      <c r="J38" t="inlineStr">
        <is>
          <t>R-419</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R-419</t>
        </is>
      </c>
      <c r="B39" t="inlineStr">
        <is>
          <t>MVP</t>
        </is>
      </c>
      <c r="C39" t="inlineStr">
        <is>
          <t>Front Door</t>
        </is>
      </c>
      <c r="D39" t="inlineStr">
        <is>
          <t>Turnkey local run for a generated app (chat-to-create front door, brick 4)</t>
        </is>
      </c>
      <c r="E39"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39" t="inlineStr">
        <is>
          <t>P1</t>
        </is>
      </c>
      <c r="G39" t="inlineStr">
        <is>
          <t>sanjeetji</t>
        </is>
      </c>
      <c r="H39" t="inlineStr">
        <is>
          <t>Done</t>
        </is>
      </c>
      <c r="I39" t="n">
        <v>1</v>
      </c>
      <c r="J39" t="inlineStr">
        <is>
          <t>R-418</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R-418</t>
        </is>
      </c>
      <c r="B40" t="inlineStr">
        <is>
          <t>MVP</t>
        </is>
      </c>
      <c r="C40" t="inlineStr">
        <is>
          <t>Front Door</t>
        </is>
      </c>
      <c r="D40" t="inlineStr">
        <is>
          <t>Chat studio web UI (chat-to-create front door, brick 3)</t>
        </is>
      </c>
      <c r="E40"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40" t="inlineStr">
        <is>
          <t>P1</t>
        </is>
      </c>
      <c r="G40" t="inlineStr">
        <is>
          <t>sanjeetji</t>
        </is>
      </c>
      <c r="H40" t="inlineStr">
        <is>
          <t>Done</t>
        </is>
      </c>
      <c r="I40" t="n">
        <v>1</v>
      </c>
      <c r="J40" t="inlineStr">
        <is>
          <t>R-417</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R-417</t>
        </is>
      </c>
      <c r="B41" t="inlineStr">
        <is>
          <t>MVP</t>
        </is>
      </c>
      <c r="C41" t="inlineStr">
        <is>
          <t>Front Door</t>
        </is>
      </c>
      <c r="D41" t="inlineStr">
        <is>
          <t>Prompt -&gt; generated app repo (chat-to-create front door, brick 2)</t>
        </is>
      </c>
      <c r="E41"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41" t="inlineStr">
        <is>
          <t>P1</t>
        </is>
      </c>
      <c r="G41" t="inlineStr">
        <is>
          <t>sanjeetji</t>
        </is>
      </c>
      <c r="H41" t="inlineStr">
        <is>
          <t>Done</t>
        </is>
      </c>
      <c r="I41" t="n">
        <v>1</v>
      </c>
      <c r="J41" t="inlineStr">
        <is>
          <t>R-416</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R-416</t>
        </is>
      </c>
      <c r="B42" t="inlineStr">
        <is>
          <t>MVP</t>
        </is>
      </c>
      <c r="C42" t="inlineStr">
        <is>
          <t>Front Door</t>
        </is>
      </c>
      <c r="D42" t="inlineStr">
        <is>
          <t>Prompt -&gt; Application IR intake agent (`intake/nl_to_ir.py`)</t>
        </is>
      </c>
      <c r="E42"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42" t="inlineStr">
        <is>
          <t>P1</t>
        </is>
      </c>
      <c r="G42" t="inlineStr">
        <is>
          <t>sanjeetji</t>
        </is>
      </c>
      <c r="H42" t="inlineStr">
        <is>
          <t>Done</t>
        </is>
      </c>
      <c r="I42" t="n">
        <v>1</v>
      </c>
      <c r="J42" t="inlineStr">
        <is>
          <t>R-415</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R-415</t>
        </is>
      </c>
      <c r="B43" t="inlineStr">
        <is>
          <t>MVP</t>
        </is>
      </c>
      <c r="C43" t="inlineStr">
        <is>
          <t>Builder</t>
        </is>
      </c>
      <c r="D43" t="inlineStr">
        <is>
          <t>Accessible Futuristic Reusable Phone Number Input Suite (`components/phone-input.tsx`)</t>
        </is>
      </c>
      <c r="E43"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43" t="inlineStr">
        <is>
          <t>P1</t>
        </is>
      </c>
      <c r="G43" t="inlineStr">
        <is>
          <t>sanjeetji</t>
        </is>
      </c>
      <c r="H43" t="inlineStr">
        <is>
          <t>Done</t>
        </is>
      </c>
      <c r="I43" t="n">
        <v>1</v>
      </c>
      <c r="J43" t="inlineStr">
        <is>
          <t>R-414</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R-414</t>
        </is>
      </c>
      <c r="B44" t="inlineStr">
        <is>
          <t>MVP</t>
        </is>
      </c>
      <c r="C44" t="inlineStr">
        <is>
          <t>Builder</t>
        </is>
      </c>
      <c r="D44" t="inlineStr">
        <is>
          <t>Accessible Futuristic Reusable Duration Input Suite (`components/duration-input.tsx`)</t>
        </is>
      </c>
      <c r="E44"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44" t="inlineStr">
        <is>
          <t>P1</t>
        </is>
      </c>
      <c r="G44" t="inlineStr">
        <is>
          <t>sanjeetji</t>
        </is>
      </c>
      <c r="H44" t="inlineStr">
        <is>
          <t>Done</t>
        </is>
      </c>
      <c r="I44" t="n">
        <v>1</v>
      </c>
      <c r="J44" t="inlineStr">
        <is>
          <t>R-413</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R-413</t>
        </is>
      </c>
      <c r="B45" t="inlineStr">
        <is>
          <t>MVP</t>
        </is>
      </c>
      <c r="C45" t="inlineStr">
        <is>
          <t>Builder</t>
        </is>
      </c>
      <c r="D45" t="inlineStr">
        <is>
          <t>Accessible Futuristic Reusable Copy-to-Clipboard Button Suite (`components/copy-button.tsx`)</t>
        </is>
      </c>
      <c r="E45"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45" t="inlineStr">
        <is>
          <t>P1</t>
        </is>
      </c>
      <c r="G45" t="inlineStr">
        <is>
          <t>sanjeetji</t>
        </is>
      </c>
      <c r="H45" t="inlineStr">
        <is>
          <t>Done</t>
        </is>
      </c>
      <c r="I45" t="n">
        <v>1</v>
      </c>
      <c r="J45" t="inlineStr">
        <is>
          <t>R-412</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R-412</t>
        </is>
      </c>
      <c r="B46" t="inlineStr">
        <is>
          <t>MVP</t>
        </is>
      </c>
      <c r="C46" t="inlineStr">
        <is>
          <t>Builder</t>
        </is>
      </c>
      <c r="D46" t="inlineStr">
        <is>
          <t>Accessible Futuristic Reusable Character &amp; Word Counter Textarea Suite (`components/character-counter.tsx`)</t>
        </is>
      </c>
      <c r="E46"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46" t="inlineStr">
        <is>
          <t>P1</t>
        </is>
      </c>
      <c r="G46" t="inlineStr">
        <is>
          <t>sanjeetji</t>
        </is>
      </c>
      <c r="H46" t="inlineStr">
        <is>
          <t>Done</t>
        </is>
      </c>
      <c r="I46" t="n">
        <v>1</v>
      </c>
      <c r="J46" t="inlineStr">
        <is>
          <t>R-411</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R-411</t>
        </is>
      </c>
      <c r="B47" t="inlineStr">
        <is>
          <t>MVP</t>
        </is>
      </c>
      <c r="C47" t="inlineStr">
        <is>
          <t>Builder</t>
        </is>
      </c>
      <c r="D47" t="inlineStr">
        <is>
          <t>Accessible Futuristic Reusable Slug / URL Input Suite (`components/slug-input.tsx`)</t>
        </is>
      </c>
      <c r="E47"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47" t="inlineStr">
        <is>
          <t>P1</t>
        </is>
      </c>
      <c r="G47" t="inlineStr">
        <is>
          <t>sanjeetji</t>
        </is>
      </c>
      <c r="H47" t="inlineStr">
        <is>
          <t>Done</t>
        </is>
      </c>
      <c r="I47" t="n">
        <v>1</v>
      </c>
      <c r="J47" t="inlineStr">
        <is>
          <t>R-410</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R-410</t>
        </is>
      </c>
      <c r="B48" t="inlineStr">
        <is>
          <t>MVP</t>
        </is>
      </c>
      <c r="C48" t="inlineStr">
        <is>
          <t>Builder</t>
        </is>
      </c>
      <c r="D48" t="inlineStr">
        <is>
          <t>Accessible Futuristic Reusable Password Generator Suite (`components/password-generator.tsx`)</t>
        </is>
      </c>
      <c r="E48"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48" t="inlineStr">
        <is>
          <t>P1</t>
        </is>
      </c>
      <c r="G48" t="inlineStr">
        <is>
          <t>sanjeetji</t>
        </is>
      </c>
      <c r="H48" t="inlineStr">
        <is>
          <t>Done</t>
        </is>
      </c>
      <c r="I48" t="n">
        <v>1</v>
      </c>
      <c r="J48" t="inlineStr">
        <is>
          <t>R-409</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R-409</t>
        </is>
      </c>
      <c r="B49" t="inlineStr">
        <is>
          <t>MVP</t>
        </is>
      </c>
      <c r="C49" t="inlineStr">
        <is>
          <t>Builder</t>
        </is>
      </c>
      <c r="D49" t="inlineStr">
        <is>
          <t>Accessible Futuristic Reusable Currency / Money Input Suite (`components/currency-input.tsx`)</t>
        </is>
      </c>
      <c r="E49"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49" t="inlineStr">
        <is>
          <t>P1</t>
        </is>
      </c>
      <c r="G49" t="inlineStr">
        <is>
          <t>sanjeetji</t>
        </is>
      </c>
      <c r="H49" t="inlineStr">
        <is>
          <t>Done</t>
        </is>
      </c>
      <c r="I49" t="n">
        <v>1</v>
      </c>
      <c r="J49" t="inlineStr">
        <is>
          <t>R-408</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R-408</t>
        </is>
      </c>
      <c r="B50" t="inlineStr">
        <is>
          <t>MVP</t>
        </is>
      </c>
      <c r="C50" t="inlineStr">
        <is>
          <t>Builder</t>
        </is>
      </c>
      <c r="D50" t="inlineStr">
        <is>
          <t>Accessible Futuristic Reusable Color Contrast Checker Suite (`components/color-contrast.tsx`)</t>
        </is>
      </c>
      <c r="E50"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50" t="inlineStr">
        <is>
          <t>P1</t>
        </is>
      </c>
      <c r="G50" t="inlineStr">
        <is>
          <t>sanjeetji</t>
        </is>
      </c>
      <c r="H50" t="inlineStr">
        <is>
          <t>Done</t>
        </is>
      </c>
      <c r="I50" t="n">
        <v>1</v>
      </c>
      <c r="J50" t="inlineStr">
        <is>
          <t>R-407</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R-407</t>
        </is>
      </c>
      <c r="B51" t="inlineStr">
        <is>
          <t>MVP</t>
        </is>
      </c>
      <c r="C51" t="inlineStr">
        <is>
          <t>Builder</t>
        </is>
      </c>
      <c r="D51" t="inlineStr">
        <is>
          <t>Accessible Futuristic Reusable Credit Card Payment Field Suite (`components/credit-card.tsx`)</t>
        </is>
      </c>
      <c r="E51"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51" t="inlineStr">
        <is>
          <t>P1</t>
        </is>
      </c>
      <c r="G51" t="inlineStr">
        <is>
          <t>sanjeetji</t>
        </is>
      </c>
      <c r="H51" t="inlineStr">
        <is>
          <t>Done</t>
        </is>
      </c>
      <c r="I51" t="n">
        <v>1</v>
      </c>
      <c r="J51" t="inlineStr">
        <is>
          <t>R-406</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R-406</t>
        </is>
      </c>
      <c r="B52" t="inlineStr">
        <is>
          <t>MVP</t>
        </is>
      </c>
      <c r="C52" t="inlineStr">
        <is>
          <t>Builder</t>
        </is>
      </c>
      <c r="D52" t="inlineStr">
        <is>
          <t>Accessible Futuristic Reusable Marquee / Ticker Suite (`components/marquee.tsx`)</t>
        </is>
      </c>
      <c r="E52"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52" t="inlineStr">
        <is>
          <t>P1</t>
        </is>
      </c>
      <c r="G52" t="inlineStr">
        <is>
          <t>sanjeetji</t>
        </is>
      </c>
      <c r="H52" t="inlineStr">
        <is>
          <t>Done</t>
        </is>
      </c>
      <c r="I52" t="n">
        <v>1</v>
      </c>
      <c r="J52" t="inlineStr">
        <is>
          <t>R-405</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R-405</t>
        </is>
      </c>
      <c r="B53" t="inlineStr">
        <is>
          <t>MVP</t>
        </is>
      </c>
      <c r="C53" t="inlineStr">
        <is>
          <t>Builder</t>
        </is>
      </c>
      <c r="D53" t="inlineStr">
        <is>
          <t>Accessible Futuristic Reusable Mention / @-Autocomplete Textarea Suite (`components/mention.tsx`)</t>
        </is>
      </c>
      <c r="E53"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53" t="inlineStr">
        <is>
          <t>P1</t>
        </is>
      </c>
      <c r="G53" t="inlineStr">
        <is>
          <t>sanjeetji</t>
        </is>
      </c>
      <c r="H53" t="inlineStr">
        <is>
          <t>Done</t>
        </is>
      </c>
      <c r="I53" t="n">
        <v>1</v>
      </c>
      <c r="J53" t="inlineStr">
        <is>
          <t>R-404</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R-404</t>
        </is>
      </c>
      <c r="B54" t="inlineStr">
        <is>
          <t>MVP</t>
        </is>
      </c>
      <c r="C54" t="inlineStr">
        <is>
          <t>Builder</t>
        </is>
      </c>
      <c r="D54" t="inlineStr">
        <is>
          <t>Accessible Futuristic Reusable Masked / Pattern Input Suite (`components/masked-input.tsx`)</t>
        </is>
      </c>
      <c r="E54"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54" t="inlineStr">
        <is>
          <t>P1</t>
        </is>
      </c>
      <c r="G54" t="inlineStr">
        <is>
          <t>sanjeetji</t>
        </is>
      </c>
      <c r="H54" t="inlineStr">
        <is>
          <t>Done</t>
        </is>
      </c>
      <c r="I54" t="n">
        <v>1</v>
      </c>
      <c r="J54" t="inlineStr">
        <is>
          <t>R-403</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R-403</t>
        </is>
      </c>
      <c r="B55" t="inlineStr">
        <is>
          <t>MVP</t>
        </is>
      </c>
      <c r="C55" t="inlineStr">
        <is>
          <t>Builder</t>
        </is>
      </c>
      <c r="D55" t="inlineStr">
        <is>
          <t>Accessible Futuristic Reusable Password Strength Meter &amp; Requirements Suite (`components/password-strength.tsx`)</t>
        </is>
      </c>
      <c r="E55"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55" t="inlineStr">
        <is>
          <t>P1</t>
        </is>
      </c>
      <c r="G55" t="inlineStr">
        <is>
          <t>sanjeetji</t>
        </is>
      </c>
      <c r="H55" t="inlineStr">
        <is>
          <t>Done</t>
        </is>
      </c>
      <c r="I55" t="n">
        <v>1</v>
      </c>
      <c r="J55" t="inlineStr">
        <is>
          <t>R-402</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R-402</t>
        </is>
      </c>
      <c r="B56" t="inlineStr">
        <is>
          <t>MVP</t>
        </is>
      </c>
      <c r="C56" t="inlineStr">
        <is>
          <t>Builder</t>
        </is>
      </c>
      <c r="D56" t="inlineStr">
        <is>
          <t>Accessible Futuristic Reusable Cookie Consent &amp; Preferences Manager Suite (`components/cookie-consent.tsx`)</t>
        </is>
      </c>
      <c r="E56"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56" t="inlineStr">
        <is>
          <t>P1</t>
        </is>
      </c>
      <c r="G56" t="inlineStr">
        <is>
          <t>sanjeetji</t>
        </is>
      </c>
      <c r="H56" t="inlineStr">
        <is>
          <t>Done</t>
        </is>
      </c>
      <c r="I56" t="n">
        <v>1</v>
      </c>
      <c r="J56" t="inlineStr">
        <is>
          <t>R-401</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R-401</t>
        </is>
      </c>
      <c r="B57" t="inlineStr">
        <is>
          <t>MVP</t>
        </is>
      </c>
      <c r="C57" t="inlineStr">
        <is>
          <t>Builder</t>
        </is>
      </c>
      <c r="D57" t="inlineStr">
        <is>
          <t>Accessible Futuristic Reusable Countdown Timer, Stopwatch &amp; Live Clock Suite (`components/countdown.tsx`)</t>
        </is>
      </c>
      <c r="E57"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57" t="inlineStr">
        <is>
          <t>P1</t>
        </is>
      </c>
      <c r="G57" t="inlineStr">
        <is>
          <t>sanjeetji</t>
        </is>
      </c>
      <c r="H57" t="inlineStr">
        <is>
          <t>Done</t>
        </is>
      </c>
      <c r="I57" t="n">
        <v>1</v>
      </c>
      <c r="J57" t="inlineStr">
        <is>
          <t>R-400</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R-400</t>
        </is>
      </c>
      <c r="B58" t="inlineStr">
        <is>
          <t>MVP</t>
        </is>
      </c>
      <c r="C58" t="inlineStr">
        <is>
          <t>Builder</t>
        </is>
      </c>
      <c r="D58" t="inlineStr">
        <is>
          <t>Accessible Futuristic Reusable Before/After Image Comparison Slider Suite (`components/image-comparison.tsx`)</t>
        </is>
      </c>
      <c r="E58"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58" t="inlineStr">
        <is>
          <t>P1</t>
        </is>
      </c>
      <c r="G58" t="inlineStr">
        <is>
          <t>sanjeetji</t>
        </is>
      </c>
      <c r="H58" t="inlineStr">
        <is>
          <t>Done</t>
        </is>
      </c>
      <c r="I58" t="n">
        <v>1</v>
      </c>
      <c r="J58" t="inlineStr">
        <is>
          <t>R-399</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R-399</t>
        </is>
      </c>
      <c r="B59" t="inlineStr">
        <is>
          <t>MVP</t>
        </is>
      </c>
      <c r="C59" t="inlineStr">
        <is>
          <t>Builder</t>
        </is>
      </c>
      <c r="D59" t="inlineStr">
        <is>
          <t>Accessible Futuristic Reusable Particle Network &amp; Interactive Constellation Canvas Suite (`components/particle-network.tsx`)</t>
        </is>
      </c>
      <c r="E59"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59" t="inlineStr">
        <is>
          <t>P1</t>
        </is>
      </c>
      <c r="G59" t="inlineStr">
        <is>
          <t>sanjeetji</t>
        </is>
      </c>
      <c r="H59" t="inlineStr">
        <is>
          <t>Done</t>
        </is>
      </c>
      <c r="I59" t="n">
        <v>1</v>
      </c>
      <c r="J59" t="inlineStr">
        <is>
          <t>R-398</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R-398</t>
        </is>
      </c>
      <c r="B60" t="inlineStr">
        <is>
          <t>MVP</t>
        </is>
      </c>
      <c r="C60" t="inlineStr">
        <is>
          <t>Builder</t>
        </is>
      </c>
      <c r="D60" t="inlineStr">
        <is>
          <t>Accessible Futuristic Reusable Audio Waveform &amp; Spectrum Visualizer Suite (`components/audio-visualizer.tsx`)</t>
        </is>
      </c>
      <c r="E60"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60" t="inlineStr">
        <is>
          <t>P1</t>
        </is>
      </c>
      <c r="G60" t="inlineStr">
        <is>
          <t>sanjeetji</t>
        </is>
      </c>
      <c r="H60" t="inlineStr">
        <is>
          <t>Done</t>
        </is>
      </c>
      <c r="I60" t="n">
        <v>1</v>
      </c>
      <c r="J60" t="inlineStr">
        <is>
          <t>R-397</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R-397</t>
        </is>
      </c>
      <c r="B61" t="inlineStr">
        <is>
          <t>MVP</t>
        </is>
      </c>
      <c r="C61" t="inlineStr">
        <is>
          <t>Builder</t>
        </is>
      </c>
      <c r="D61" t="inlineStr">
        <is>
          <t>Accessible Futuristic Reusable Mind Map &amp; Concept Tree Suite (`components/mind-map.tsx`)</t>
        </is>
      </c>
      <c r="E61"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61" t="inlineStr">
        <is>
          <t>P1</t>
        </is>
      </c>
      <c r="G61" t="inlineStr">
        <is>
          <t>sanjeetji</t>
        </is>
      </c>
      <c r="H61" t="inlineStr">
        <is>
          <t>Done</t>
        </is>
      </c>
      <c r="I61" t="n">
        <v>1</v>
      </c>
      <c r="J61" t="inlineStr">
        <is>
          <t>R-396</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R-396</t>
        </is>
      </c>
      <c r="B62" t="inlineStr">
        <is>
          <t>MVP</t>
        </is>
      </c>
      <c r="C62" t="inlineStr">
        <is>
          <t>Builder</t>
        </is>
      </c>
      <c r="D62" t="inlineStr">
        <is>
          <t>Accessible Futuristic Reusable Live Log Viewer &amp; Event Stream Inspector Suite (`components/log-viewer.tsx`)</t>
        </is>
      </c>
      <c r="E62"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62" t="inlineStr">
        <is>
          <t>P1</t>
        </is>
      </c>
      <c r="G62" t="inlineStr">
        <is>
          <t>sanjeetji</t>
        </is>
      </c>
      <c r="H62" t="inlineStr">
        <is>
          <t>Done</t>
        </is>
      </c>
      <c r="I62" t="n">
        <v>1</v>
      </c>
      <c r="J62" t="inlineStr">
        <is>
          <t>R-395</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R-395</t>
        </is>
      </c>
      <c r="B63" t="inlineStr">
        <is>
          <t>MVP</t>
        </is>
      </c>
      <c r="C63" t="inlineStr">
        <is>
          <t>Builder</t>
        </is>
      </c>
      <c r="D63" t="inlineStr">
        <is>
          <t>Accessible Futuristic Reusable Network Graph &amp; Topology Map Suite (`components/network-graph.tsx`)</t>
        </is>
      </c>
      <c r="E63"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63" t="inlineStr">
        <is>
          <t>P1</t>
        </is>
      </c>
      <c r="G63" t="inlineStr">
        <is>
          <t>sanjeetji</t>
        </is>
      </c>
      <c r="H63" t="inlineStr">
        <is>
          <t>Done</t>
        </is>
      </c>
      <c r="I63" t="n">
        <v>1</v>
      </c>
      <c r="J63" t="inlineStr">
        <is>
          <t>R-394</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R-394</t>
        </is>
      </c>
      <c r="B64" t="inlineStr">
        <is>
          <t>MVP</t>
        </is>
      </c>
      <c r="C64" t="inlineStr">
        <is>
          <t>Builder</t>
        </is>
      </c>
      <c r="D64" t="inlineStr">
        <is>
          <t>Accessible Futuristic Reusable Image Gallery &amp; Masonry Lightbox Suite (`components/image-gallery.tsx`)</t>
        </is>
      </c>
      <c r="E64"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64" t="inlineStr">
        <is>
          <t>P1</t>
        </is>
      </c>
      <c r="G64" t="inlineStr">
        <is>
          <t>sanjeetji</t>
        </is>
      </c>
      <c r="H64" t="inlineStr">
        <is>
          <t>Done</t>
        </is>
      </c>
      <c r="I64" t="n">
        <v>1</v>
      </c>
      <c r="J64" t="inlineStr">
        <is>
          <t>R-393</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R-393</t>
        </is>
      </c>
      <c r="B65" t="inlineStr">
        <is>
          <t>MVP</t>
        </is>
      </c>
      <c r="C65" t="inlineStr">
        <is>
          <t>Builder</t>
        </is>
      </c>
      <c r="D65" t="inlineStr">
        <is>
          <t>Accessible Futuristic Reusable Interactive JSON Viewer &amp; Schema Tree Inspector Suite (`components/json-viewer.tsx`)</t>
        </is>
      </c>
      <c r="E65"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65" t="inlineStr">
        <is>
          <t>P1</t>
        </is>
      </c>
      <c r="G65" t="inlineStr">
        <is>
          <t>sanjeetji</t>
        </is>
      </c>
      <c r="H65" t="inlineStr">
        <is>
          <t>Done</t>
        </is>
      </c>
      <c r="I65" t="n">
        <v>1</v>
      </c>
      <c r="J65" t="inlineStr">
        <is>
          <t>R-392</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R-392</t>
        </is>
      </c>
      <c r="B66" t="inlineStr">
        <is>
          <t>MVP</t>
        </is>
      </c>
      <c r="C66" t="inlineStr">
        <is>
          <t>Builder</t>
        </is>
      </c>
      <c r="D66" t="inlineStr">
        <is>
          <t>Accessible Futuristic Reusable Code Diff Editor &amp; 3-Way Merge Conflict Resolver Suite (`components/merge-editor.tsx`)</t>
        </is>
      </c>
      <c r="E66"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66" t="inlineStr">
        <is>
          <t>P1</t>
        </is>
      </c>
      <c r="G66" t="inlineStr">
        <is>
          <t>sanjeetji</t>
        </is>
      </c>
      <c r="H66" t="inlineStr">
        <is>
          <t>Done</t>
        </is>
      </c>
      <c r="I66" t="n">
        <v>1</v>
      </c>
      <c r="J66" t="inlineStr">
        <is>
          <t>R-391</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R-391</t>
        </is>
      </c>
      <c r="B67" t="inlineStr">
        <is>
          <t>MVP</t>
        </is>
      </c>
      <c r="C67" t="inlineStr">
        <is>
          <t>Builder</t>
        </is>
      </c>
      <c r="D67" t="inlineStr">
        <is>
          <t>Accessible Futuristic Reusable Whiteboard &amp; Collaborative Canvas Suite (`components/whiteboard.tsx`)</t>
        </is>
      </c>
      <c r="E67"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67" t="inlineStr">
        <is>
          <t>P1</t>
        </is>
      </c>
      <c r="G67" t="inlineStr">
        <is>
          <t>sanjeetji</t>
        </is>
      </c>
      <c r="H67" t="inlineStr">
        <is>
          <t>Done</t>
        </is>
      </c>
      <c r="I67" t="n">
        <v>1</v>
      </c>
      <c r="J67" t="inlineStr">
        <is>
          <t>R-390</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R-390</t>
        </is>
      </c>
      <c r="B68" t="inlineStr">
        <is>
          <t>MVP</t>
        </is>
      </c>
      <c r="C68" t="inlineStr">
        <is>
          <t>Builder</t>
        </is>
      </c>
      <c r="D68" t="inlineStr">
        <is>
          <t>Accessible Futuristic Reusable Video Player &amp; Streaming Theater Suite (`components/video-player.tsx`)</t>
        </is>
      </c>
      <c r="E68"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68" t="inlineStr">
        <is>
          <t>P1</t>
        </is>
      </c>
      <c r="G68" t="inlineStr">
        <is>
          <t>sanjeetji</t>
        </is>
      </c>
      <c r="H68" t="inlineStr">
        <is>
          <t>Done</t>
        </is>
      </c>
      <c r="I68" t="n">
        <v>1</v>
      </c>
      <c r="J68" t="inlineStr">
        <is>
          <t>R-389</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R-389</t>
        </is>
      </c>
      <c r="B69" t="inlineStr">
        <is>
          <t>MVP</t>
        </is>
      </c>
      <c r="C69" t="inlineStr">
        <is>
          <t>Builder</t>
        </is>
      </c>
      <c r="D69" t="inlineStr">
        <is>
          <t>Accessible Futuristic Reusable Audio Player &amp; Frequency Equalizer Suite</t>
        </is>
      </c>
      <c r="E69"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69" t="inlineStr">
        <is>
          <t>P1</t>
        </is>
      </c>
      <c r="G69" t="inlineStr">
        <is>
          <t>sanjeetji</t>
        </is>
      </c>
      <c r="H69" t="inlineStr">
        <is>
          <t>Done</t>
        </is>
      </c>
      <c r="I69" t="n">
        <v>1</v>
      </c>
      <c r="J69" t="inlineStr">
        <is>
          <t>R-388</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R-388</t>
        </is>
      </c>
      <c r="B70" t="inlineStr">
        <is>
          <t>MVP</t>
        </is>
      </c>
      <c r="C70" t="inlineStr">
        <is>
          <t>Builder</t>
        </is>
      </c>
      <c r="D70" t="inlineStr">
        <is>
          <t>Accessible Futuristic Reusable PDF &amp; Document Viewer Suite</t>
        </is>
      </c>
      <c r="E70"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70" t="inlineStr">
        <is>
          <t>P1</t>
        </is>
      </c>
      <c r="G70" t="inlineStr">
        <is>
          <t>sanjeetji</t>
        </is>
      </c>
      <c r="H70" t="inlineStr">
        <is>
          <t>Done</t>
        </is>
      </c>
      <c r="I70" t="n">
        <v>1</v>
      </c>
      <c r="J70" t="inlineStr">
        <is>
          <t>R-387</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R-387</t>
        </is>
      </c>
      <c r="B71" t="inlineStr">
        <is>
          <t>MVP</t>
        </is>
      </c>
      <c r="C71" t="inlineStr">
        <is>
          <t>Builder</t>
        </is>
      </c>
      <c r="D71" t="inlineStr">
        <is>
          <t>Accessible Futuristic Reusable Interactive Geo Map &amp; Location Pinpoint Suite</t>
        </is>
      </c>
      <c r="E71"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71" t="inlineStr">
        <is>
          <t>P1</t>
        </is>
      </c>
      <c r="G71" t="inlineStr">
        <is>
          <t>sanjeetji</t>
        </is>
      </c>
      <c r="H71" t="inlineStr">
        <is>
          <t>Done</t>
        </is>
      </c>
      <c r="I71" t="n">
        <v>1</v>
      </c>
      <c r="J71" t="inlineStr">
        <is>
          <t>R-386</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R-386</t>
        </is>
      </c>
      <c r="B72" t="inlineStr">
        <is>
          <t>MVP</t>
        </is>
      </c>
      <c r="C72" t="inlineStr">
        <is>
          <t>Builder</t>
        </is>
      </c>
      <c r="D72" t="inlineStr">
        <is>
          <t>Accessible Futuristic Reusable File Explorer &amp; Storage Browser Suite</t>
        </is>
      </c>
      <c r="E72"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72" t="inlineStr">
        <is>
          <t>P1</t>
        </is>
      </c>
      <c r="G72" t="inlineStr">
        <is>
          <t>sanjeetji</t>
        </is>
      </c>
      <c r="H72" t="inlineStr">
        <is>
          <t>Done</t>
        </is>
      </c>
      <c r="I72" t="n">
        <v>1</v>
      </c>
      <c r="J72" t="inlineStr">
        <is>
          <t>R-385</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R-385</t>
        </is>
      </c>
      <c r="B73" t="inlineStr">
        <is>
          <t>MVP</t>
        </is>
      </c>
      <c r="C73" t="inlineStr">
        <is>
          <t>Builder</t>
        </is>
      </c>
      <c r="D73" t="inlineStr">
        <is>
          <t>Accessible Futuristic Reusable Audio &amp; Voice Recorder Suite</t>
        </is>
      </c>
      <c r="E73"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73" t="inlineStr">
        <is>
          <t>P1</t>
        </is>
      </c>
      <c r="G73" t="inlineStr">
        <is>
          <t>sanjeetji</t>
        </is>
      </c>
      <c r="H73" t="inlineStr">
        <is>
          <t>Done</t>
        </is>
      </c>
      <c r="I73" t="n">
        <v>1</v>
      </c>
      <c r="J73" t="inlineStr">
        <is>
          <t>R-384</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R-384</t>
        </is>
      </c>
      <c r="B74" t="inlineStr">
        <is>
          <t>MVP</t>
        </is>
      </c>
      <c r="C74" t="inlineStr">
        <is>
          <t>Builder</t>
        </is>
      </c>
      <c r="D74" t="inlineStr">
        <is>
          <t>Accessible Futuristic Reusable Chat &amp; Real-Time Messaging Suite</t>
        </is>
      </c>
      <c r="E74"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74" t="inlineStr">
        <is>
          <t>P1</t>
        </is>
      </c>
      <c r="G74" t="inlineStr">
        <is>
          <t>sanjeetji</t>
        </is>
      </c>
      <c r="H74" t="inlineStr">
        <is>
          <t>Done</t>
        </is>
      </c>
      <c r="I74" t="n">
        <v>1</v>
      </c>
      <c r="J74" t="inlineStr">
        <is>
          <t>R-383</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R-383</t>
        </is>
      </c>
      <c r="B75" t="inlineStr">
        <is>
          <t>MVP</t>
        </is>
      </c>
      <c r="C75" t="inlineStr">
        <is>
          <t>Builder</t>
        </is>
      </c>
      <c r="D75" t="inlineStr">
        <is>
          <t>Accessible Futuristic Reusable Spreadsheet &amp; Inline-Editable Data Sheet Suite</t>
        </is>
      </c>
      <c r="E75"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75" t="inlineStr">
        <is>
          <t>P1</t>
        </is>
      </c>
      <c r="G75" t="inlineStr">
        <is>
          <t>sanjeetji</t>
        </is>
      </c>
      <c r="H75" t="inlineStr">
        <is>
          <t>Done</t>
        </is>
      </c>
      <c r="I75" t="n">
        <v>1</v>
      </c>
      <c r="J75" t="inlineStr">
        <is>
          <t>R-382</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R-382</t>
        </is>
      </c>
      <c r="B76" t="inlineStr">
        <is>
          <t>MVP</t>
        </is>
      </c>
      <c r="C76" t="inlineStr">
        <is>
          <t>Builder</t>
        </is>
      </c>
      <c r="D76" t="inlineStr">
        <is>
          <t>Accessible Futuristic Reusable QR Code &amp; Barcode Suite</t>
        </is>
      </c>
      <c r="E76"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76" t="inlineStr">
        <is>
          <t>P1</t>
        </is>
      </c>
      <c r="G76" t="inlineStr">
        <is>
          <t>sanjeetji</t>
        </is>
      </c>
      <c r="H76" t="inlineStr">
        <is>
          <t>Done</t>
        </is>
      </c>
      <c r="I76" t="n">
        <v>1</v>
      </c>
      <c r="J76" t="inlineStr">
        <is>
          <t>R-381</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R-381</t>
        </is>
      </c>
      <c r="B77" t="inlineStr">
        <is>
          <t>MVP</t>
        </is>
      </c>
      <c r="C77" t="inlineStr">
        <is>
          <t>Builder</t>
        </is>
      </c>
      <c r="D77" t="inlineStr">
        <is>
          <t>Accessible Futuristic Reusable Terminal &amp; Command Console Suite</t>
        </is>
      </c>
      <c r="E77"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77" t="inlineStr">
        <is>
          <t>P1</t>
        </is>
      </c>
      <c r="G77" t="inlineStr">
        <is>
          <t>sanjeetji</t>
        </is>
      </c>
      <c r="H77" t="inlineStr">
        <is>
          <t>Done</t>
        </is>
      </c>
      <c r="I77" t="n">
        <v>1</v>
      </c>
      <c r="J77" t="inlineStr">
        <is>
          <t>R-380</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R-380</t>
        </is>
      </c>
      <c r="B78" t="inlineStr">
        <is>
          <t>MVP</t>
        </is>
      </c>
      <c r="C78" t="inlineStr">
        <is>
          <t>Builder</t>
        </is>
      </c>
      <c r="D78" t="inlineStr">
        <is>
          <t>Accessible Futuristic Reusable Flowchart &amp; Node-Based Workflow Canvas Suite</t>
        </is>
      </c>
      <c r="E78"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78" t="inlineStr">
        <is>
          <t>P1</t>
        </is>
      </c>
      <c r="G78" t="inlineStr">
        <is>
          <t>sanjeetji</t>
        </is>
      </c>
      <c r="H78" t="inlineStr">
        <is>
          <t>Done</t>
        </is>
      </c>
      <c r="I78" t="n">
        <v>1</v>
      </c>
      <c r="J78" t="inlineStr">
        <is>
          <t>R-379</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R-379</t>
        </is>
      </c>
      <c r="B79" t="inlineStr">
        <is>
          <t>MVP</t>
        </is>
      </c>
      <c r="C79" t="inlineStr">
        <is>
          <t>Builder</t>
        </is>
      </c>
      <c r="D79" t="inlineStr">
        <is>
          <t>Accessible Futuristic Reusable Gantt Chart &amp; Project Roadmap Suite</t>
        </is>
      </c>
      <c r="E79"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79" t="inlineStr">
        <is>
          <t>P1</t>
        </is>
      </c>
      <c r="G79" t="inlineStr">
        <is>
          <t>sanjeetji</t>
        </is>
      </c>
      <c r="H79" t="inlineStr">
        <is>
          <t>Done</t>
        </is>
      </c>
      <c r="I79" t="n">
        <v>1</v>
      </c>
      <c r="J79" t="inlineStr">
        <is>
          <t>R-378</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R-378</t>
        </is>
      </c>
      <c r="B80" t="inlineStr">
        <is>
          <t>MVP</t>
        </is>
      </c>
      <c r="C80" t="inlineStr">
        <is>
          <t>Builder</t>
        </is>
      </c>
      <c r="D80" t="inlineStr">
        <is>
          <t>Accessible Futuristic Reusable Image Cropper &amp; Canvas Mask Suite</t>
        </is>
      </c>
      <c r="E80"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80" t="inlineStr">
        <is>
          <t>P1</t>
        </is>
      </c>
      <c r="G80" t="inlineStr">
        <is>
          <t>sanjeetji</t>
        </is>
      </c>
      <c r="H80" t="inlineStr">
        <is>
          <t>Done</t>
        </is>
      </c>
      <c r="I80" t="n">
        <v>1</v>
      </c>
      <c r="J80" t="inlineStr">
        <is>
          <t>R-377</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R-377</t>
        </is>
      </c>
      <c r="B81" t="inlineStr">
        <is>
          <t>MVP</t>
        </is>
      </c>
      <c r="C81" t="inlineStr">
        <is>
          <t>Builder</t>
        </is>
      </c>
      <c r="D81" t="inlineStr">
        <is>
          <t>Accessible Futuristic Reusable Pivot Table &amp; Cross-Tabulation Matrix Suite</t>
        </is>
      </c>
      <c r="E81"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81" t="inlineStr">
        <is>
          <t>P1</t>
        </is>
      </c>
      <c r="G81" t="inlineStr">
        <is>
          <t>sanjeetji</t>
        </is>
      </c>
      <c r="H81" t="inlineStr">
        <is>
          <t>Done</t>
        </is>
      </c>
      <c r="I81" t="n">
        <v>1</v>
      </c>
      <c r="J81" t="inlineStr">
        <is>
          <t>R-376</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R-376</t>
        </is>
      </c>
      <c r="B82" t="inlineStr">
        <is>
          <t>MVP</t>
        </is>
      </c>
      <c r="C82" t="inlineStr">
        <is>
          <t>Builder</t>
        </is>
      </c>
      <c r="D82" t="inlineStr">
        <is>
          <t>Accessible Futuristic Reusable Media Player Suite</t>
        </is>
      </c>
      <c r="E82"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82" t="inlineStr">
        <is>
          <t>P1</t>
        </is>
      </c>
      <c r="G82" t="inlineStr">
        <is>
          <t>sanjeetji</t>
        </is>
      </c>
      <c r="H82" t="inlineStr">
        <is>
          <t>Done</t>
        </is>
      </c>
      <c r="I82" t="n">
        <v>1</v>
      </c>
      <c r="J82" t="inlineStr">
        <is>
          <t>R-375</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R-375</t>
        </is>
      </c>
      <c r="B83" t="inlineStr">
        <is>
          <t>MVP</t>
        </is>
      </c>
      <c r="C83" t="inlineStr">
        <is>
          <t>Builder</t>
        </is>
      </c>
      <c r="D83" t="inlineStr">
        <is>
          <t>Accessible Futuristic Reusable Heatmap &amp; Activity Contribution Matrix Suite</t>
        </is>
      </c>
      <c r="E83"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83" t="inlineStr">
        <is>
          <t>P1</t>
        </is>
      </c>
      <c r="G83" t="inlineStr">
        <is>
          <t>sanjeetji</t>
        </is>
      </c>
      <c r="H83" t="inlineStr">
        <is>
          <t>Done</t>
        </is>
      </c>
      <c r="I83" t="n">
        <v>1</v>
      </c>
      <c r="J83" t="inlineStr">
        <is>
          <t>R-374</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R-374</t>
        </is>
      </c>
      <c r="B84" t="inlineStr">
        <is>
          <t>MVP</t>
        </is>
      </c>
      <c r="C84" t="inlineStr">
        <is>
          <t>Builder</t>
        </is>
      </c>
      <c r="D84" t="inlineStr">
        <is>
          <t>Accessible Futuristic Reusable Org Chart &amp; Hierarchy Flow Diagram Suite</t>
        </is>
      </c>
      <c r="E84"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84" t="inlineStr">
        <is>
          <t>P1</t>
        </is>
      </c>
      <c r="G84" t="inlineStr">
        <is>
          <t>sanjeetji</t>
        </is>
      </c>
      <c r="H84" t="inlineStr">
        <is>
          <t>Done</t>
        </is>
      </c>
      <c r="I84" t="n">
        <v>1</v>
      </c>
      <c r="J84" t="inlineStr">
        <is>
          <t>R-373</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R-373</t>
        </is>
      </c>
      <c r="B85" t="inlineStr">
        <is>
          <t>MVP</t>
        </is>
      </c>
      <c r="C85" t="inlineStr">
        <is>
          <t>Builder</t>
        </is>
      </c>
      <c r="D85" t="inlineStr">
        <is>
          <t>Accessible Futuristic Reusable Diff Viewer &amp; Code/Text Comparison Suite</t>
        </is>
      </c>
      <c r="E85"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85" t="inlineStr">
        <is>
          <t>P1</t>
        </is>
      </c>
      <c r="G85" t="inlineStr">
        <is>
          <t>sanjeetji</t>
        </is>
      </c>
      <c r="H85" t="inlineStr">
        <is>
          <t>Done</t>
        </is>
      </c>
      <c r="I85" t="n">
        <v>1</v>
      </c>
      <c r="J85" t="inlineStr">
        <is>
          <t>R-372</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R-372</t>
        </is>
      </c>
      <c r="B86" t="inlineStr">
        <is>
          <t>MVP</t>
        </is>
      </c>
      <c r="C86" t="inlineStr">
        <is>
          <t>Builder</t>
        </is>
      </c>
      <c r="D86" t="inlineStr">
        <is>
          <t>Accessible Futuristic Reusable Digital Signature Pad &amp; Drawing Canvas Primitive</t>
        </is>
      </c>
      <c r="E86"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86" t="inlineStr">
        <is>
          <t>P1</t>
        </is>
      </c>
      <c r="G86" t="inlineStr">
        <is>
          <t>sanjeetji</t>
        </is>
      </c>
      <c r="H86" t="inlineStr">
        <is>
          <t>Done</t>
        </is>
      </c>
      <c r="I86" t="n">
        <v>1</v>
      </c>
      <c r="J86" t="inlineStr">
        <is>
          <t>R-371</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R-371</t>
        </is>
      </c>
      <c r="B87" t="inlineStr">
        <is>
          <t>MVP</t>
        </is>
      </c>
      <c r="C87" t="inlineStr">
        <is>
          <t>Builder</t>
        </is>
      </c>
      <c r="D87" t="inlineStr">
        <is>
          <t>Accessible Futuristic Reusable Time Picker &amp; Time Range Suite</t>
        </is>
      </c>
      <c r="E87"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87" t="inlineStr">
        <is>
          <t>P1</t>
        </is>
      </c>
      <c r="G87" t="inlineStr">
        <is>
          <t>sanjeetji</t>
        </is>
      </c>
      <c r="H87" t="inlineStr">
        <is>
          <t>Done</t>
        </is>
      </c>
      <c r="I87" t="n">
        <v>1</v>
      </c>
      <c r="J87" t="inlineStr">
        <is>
          <t>R-370</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R-370</t>
        </is>
      </c>
      <c r="B88" t="inlineStr">
        <is>
          <t>MVP</t>
        </is>
      </c>
      <c r="C88" t="inlineStr">
        <is>
          <t>Builder</t>
        </is>
      </c>
      <c r="D88" t="inlineStr">
        <is>
          <t>Accessible Futuristic Reusable Data Visualization &amp; SVG Chart Suite</t>
        </is>
      </c>
      <c r="E88"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88" t="inlineStr">
        <is>
          <t>P1</t>
        </is>
      </c>
      <c r="G88" t="inlineStr">
        <is>
          <t>sanjeetji</t>
        </is>
      </c>
      <c r="H88" t="inlineStr">
        <is>
          <t>Done</t>
        </is>
      </c>
      <c r="I88" t="n">
        <v>1</v>
      </c>
      <c r="J88" t="inlineStr">
        <is>
          <t>R-369</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R-369</t>
        </is>
      </c>
      <c r="B89" t="inlineStr">
        <is>
          <t>MVP</t>
        </is>
      </c>
      <c r="C89" t="inlineStr">
        <is>
          <t>Builder</t>
        </is>
      </c>
      <c r="D89" t="inlineStr">
        <is>
          <t>Accessible Futuristic Reusable Query Filter Builder &amp; Dynamic Rule Bar Suite</t>
        </is>
      </c>
      <c r="E89"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89" t="inlineStr">
        <is>
          <t>P1</t>
        </is>
      </c>
      <c r="G89" t="inlineStr">
        <is>
          <t>sanjeetji</t>
        </is>
      </c>
      <c r="H89" t="inlineStr">
        <is>
          <t>Done</t>
        </is>
      </c>
      <c r="I89" t="n">
        <v>1</v>
      </c>
      <c r="J89" t="inlineStr">
        <is>
          <t>R-368</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R-368</t>
        </is>
      </c>
      <c r="B90" t="inlineStr">
        <is>
          <t>MVP</t>
        </is>
      </c>
      <c r="C90" t="inlineStr">
        <is>
          <t>Builder</t>
        </is>
      </c>
      <c r="D90" t="inlineStr">
        <is>
          <t>Accessible Futuristic High-Performance Infinite Virtual List &amp; Windowed Scroller Suite</t>
        </is>
      </c>
      <c r="E90"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90" t="inlineStr">
        <is>
          <t>P1</t>
        </is>
      </c>
      <c r="G90" t="inlineStr">
        <is>
          <t>sanjeetji</t>
        </is>
      </c>
      <c r="H90" t="inlineStr">
        <is>
          <t>Done</t>
        </is>
      </c>
      <c r="I90" t="n">
        <v>1</v>
      </c>
      <c r="J90" t="inlineStr">
        <is>
          <t>R-367</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R-367</t>
        </is>
      </c>
      <c r="B91" t="inlineStr">
        <is>
          <t>MVP</t>
        </is>
      </c>
      <c r="C91" t="inlineStr">
        <is>
          <t>Builder</t>
        </is>
      </c>
      <c r="D91" t="inlineStr">
        <is>
          <t>Accessible Futuristic Reusable Kanban Board &amp; Task Flow Matrix Suite</t>
        </is>
      </c>
      <c r="E91"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91" t="inlineStr">
        <is>
          <t>P1</t>
        </is>
      </c>
      <c r="G91" t="inlineStr">
        <is>
          <t>sanjeetji</t>
        </is>
      </c>
      <c r="H91" t="inlineStr">
        <is>
          <t>Done</t>
        </is>
      </c>
      <c r="I91" t="n">
        <v>1</v>
      </c>
      <c r="J91" t="inlineStr">
        <is>
          <t>R-366</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R-366</t>
        </is>
      </c>
      <c r="B92" t="inlineStr">
        <is>
          <t>MVP</t>
        </is>
      </c>
      <c r="C92" t="inlineStr">
        <is>
          <t>Builder</t>
        </is>
      </c>
      <c r="D92" t="inlineStr">
        <is>
          <t>Accessible Futuristic Reusable Calendar &amp; Event Scheduler Suite</t>
        </is>
      </c>
      <c r="E92"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92" t="inlineStr">
        <is>
          <t>P1</t>
        </is>
      </c>
      <c r="G92" t="inlineStr">
        <is>
          <t>sanjeetji</t>
        </is>
      </c>
      <c r="H92" t="inlineStr">
        <is>
          <t>Done</t>
        </is>
      </c>
      <c r="I92" t="n">
        <v>1</v>
      </c>
      <c r="J92" t="inlineStr">
        <is>
          <t>R-365</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R-365</t>
        </is>
      </c>
      <c r="B93" t="inlineStr">
        <is>
          <t>MVP</t>
        </is>
      </c>
      <c r="C93" t="inlineStr">
        <is>
          <t>Builder</t>
        </is>
      </c>
      <c r="D93" t="inlineStr">
        <is>
          <t>Accessible Futuristic Reusable Markdown &amp; Rich Content Editor Suite</t>
        </is>
      </c>
      <c r="E93"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93" t="inlineStr">
        <is>
          <t>P1</t>
        </is>
      </c>
      <c r="G93" t="inlineStr">
        <is>
          <t>sanjeetji</t>
        </is>
      </c>
      <c r="H93" t="inlineStr">
        <is>
          <t>Done</t>
        </is>
      </c>
      <c r="I93" t="n">
        <v>1</v>
      </c>
      <c r="J93" t="inlineStr">
        <is>
          <t>R-364</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R-364</t>
        </is>
      </c>
      <c r="B94" t="inlineStr">
        <is>
          <t>MVP</t>
        </is>
      </c>
      <c r="C94" t="inlineStr">
        <is>
          <t>Builder</t>
        </is>
      </c>
      <c r="D94" t="inlineStr">
        <is>
          <t>Accessible Futuristic Reusable Transfer / Dual Listbox Picker Primitive</t>
        </is>
      </c>
      <c r="E94"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94" t="inlineStr">
        <is>
          <t>P1</t>
        </is>
      </c>
      <c r="G94" t="inlineStr">
        <is>
          <t>sanjeetji</t>
        </is>
      </c>
      <c r="H94" t="inlineStr">
        <is>
          <t>Done</t>
        </is>
      </c>
      <c r="I94" t="n">
        <v>1</v>
      </c>
      <c r="J94" t="inlineStr">
        <is>
          <t>R-363</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R-363</t>
        </is>
      </c>
      <c r="B95" t="inlineStr">
        <is>
          <t>MVP</t>
        </is>
      </c>
      <c r="C95" t="inlineStr">
        <is>
          <t>Builder</t>
        </is>
      </c>
      <c r="D95" t="inlineStr">
        <is>
          <t>Accessible Futuristic Reusable Tour &amp; Onboarding Spotlight Guide Suite</t>
        </is>
      </c>
      <c r="E95"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95" t="inlineStr">
        <is>
          <t>P1</t>
        </is>
      </c>
      <c r="G95" t="inlineStr">
        <is>
          <t>sanjeetji</t>
        </is>
      </c>
      <c r="H95" t="inlineStr">
        <is>
          <t>Done</t>
        </is>
      </c>
      <c r="I95" t="n">
        <v>1</v>
      </c>
      <c r="J95" t="inlineStr">
        <is>
          <t>R-362</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R-362</t>
        </is>
      </c>
      <c r="B96" t="inlineStr">
        <is>
          <t>MVP</t>
        </is>
      </c>
      <c r="C96" t="inlineStr">
        <is>
          <t>Builder</t>
        </is>
      </c>
      <c r="D96" t="inlineStr">
        <is>
          <t>Accessible Futuristic Reusable Sidebar &amp; Side Navigation Suite</t>
        </is>
      </c>
      <c r="E96"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96" t="inlineStr">
        <is>
          <t>P1</t>
        </is>
      </c>
      <c r="G96" t="inlineStr">
        <is>
          <t>sanjeetji</t>
        </is>
      </c>
      <c r="H96" t="inlineStr">
        <is>
          <t>Done</t>
        </is>
      </c>
      <c r="I96" t="n">
        <v>1</v>
      </c>
      <c r="J96" t="inlineStr">
        <is>
          <t>R-361</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R-361</t>
        </is>
      </c>
      <c r="B97" t="inlineStr">
        <is>
          <t>MVP</t>
        </is>
      </c>
      <c r="C97" t="inlineStr">
        <is>
          <t>Builder</t>
        </is>
      </c>
      <c r="D97" t="inlineStr">
        <is>
          <t>Accessible Futuristic Reusable Notification Center &amp; Notification List Suite</t>
        </is>
      </c>
      <c r="E97"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97" t="inlineStr">
        <is>
          <t>P1</t>
        </is>
      </c>
      <c r="G97" t="inlineStr">
        <is>
          <t>sanjeetji</t>
        </is>
      </c>
      <c r="H97" t="inlineStr">
        <is>
          <t>Done</t>
        </is>
      </c>
      <c r="I97" t="n">
        <v>1</v>
      </c>
      <c r="J97" t="inlineStr">
        <is>
          <t>R-360</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R-360</t>
        </is>
      </c>
      <c r="B98" t="inlineStr">
        <is>
          <t>MVP</t>
        </is>
      </c>
      <c r="C98" t="inlineStr">
        <is>
          <t>Builder</t>
        </is>
      </c>
      <c r="D98" t="inlineStr">
        <is>
          <t>Accessible Futuristic Reusable Number Input &amp; Numeric Stepper Primitive</t>
        </is>
      </c>
      <c r="E98"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98" t="inlineStr">
        <is>
          <t>P1</t>
        </is>
      </c>
      <c r="G98" t="inlineStr">
        <is>
          <t>sanjeetji</t>
        </is>
      </c>
      <c r="H98" t="inlineStr">
        <is>
          <t>Done</t>
        </is>
      </c>
      <c r="I98" t="n">
        <v>1</v>
      </c>
      <c r="J98" t="inlineStr">
        <is>
          <t>R-359</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R-359</t>
        </is>
      </c>
      <c r="B99" t="inlineStr">
        <is>
          <t>MVP</t>
        </is>
      </c>
      <c r="C99" t="inlineStr">
        <is>
          <t>Builder</t>
        </is>
      </c>
      <c r="D99" t="inlineStr">
        <is>
          <t>Generated Accessible Futuristic Reusable Mobile Bottom Navigation Bar Suite</t>
        </is>
      </c>
      <c r="E99" t="inlineStr">
        <is>
          <t>Emit a standalone, accessible, zero-dependency, desktop-and-mobile-grade, and futuristic Bottom Navigation Bar compound component suite (`apps/web/components/bottom-nav.tsx`) in Next.js web applications generated by `NextjsWebAdapter`.</t>
        </is>
      </c>
      <c r="F99" t="inlineStr">
        <is>
          <t>P1</t>
        </is>
      </c>
      <c r="G99" t="inlineStr">
        <is>
          <t>sanjeetji</t>
        </is>
      </c>
      <c r="H99" t="inlineStr">
        <is>
          <t>Done</t>
        </is>
      </c>
      <c r="I99" t="n">
        <v>1</v>
      </c>
      <c r="J99" t="inlineStr">
        <is>
          <t>R-358</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R-358</t>
        </is>
      </c>
      <c r="B100" t="inlineStr">
        <is>
          <t>MVP</t>
        </is>
      </c>
      <c r="C100" t="inlineStr">
        <is>
          <t>Builder</t>
        </is>
      </c>
      <c r="D100" t="inlineStr">
        <is>
          <t>Generated Accessible Futuristic Reusable Searchable Combobox &amp; Autocomplete Primitive (components/combobox.tsx)</t>
        </is>
      </c>
      <c r="E100"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00" t="inlineStr">
        <is>
          <t>P1</t>
        </is>
      </c>
      <c r="G100" t="inlineStr">
        <is>
          <t>Codex</t>
        </is>
      </c>
      <c r="H100" t="inlineStr">
        <is>
          <t>Done</t>
        </is>
      </c>
      <c r="I100" t="n">
        <v>1</v>
      </c>
      <c r="J100" t="inlineStr">
        <is>
          <t>R-357</t>
        </is>
      </c>
      <c r="K100" t="inlineStr">
        <is>
          <t>Founder Stage 0</t>
        </is>
      </c>
      <c r="L100" t="inlineStr">
        <is>
          <t>task verify 1707 tests (15 new in test_combobox_component.py); task lint + security:quick pass; builder:demo minimal-blog passes (95 files); builder:demo rideshare-favourites passes (92 files); offline/deterministic, 0 model calls.</t>
        </is>
      </c>
      <c r="M100" t="inlineStr">
        <is>
          <t>Generated Next.js web application accessible futuristic reusable combobox suite. Reconstructed from Brief Sections 20, 24, 25, 26, 27, 74, 77, 92.</t>
        </is>
      </c>
    </row>
    <row r="101" ht="34" customHeight="1" s="401">
      <c r="A101" t="inlineStr">
        <is>
          <t>R-357</t>
        </is>
      </c>
      <c r="B101" t="inlineStr">
        <is>
          <t>MVP</t>
        </is>
      </c>
      <c r="C101" t="inlineStr">
        <is>
          <t>Builder</t>
        </is>
      </c>
      <c r="D101" t="inlineStr">
        <is>
          <t>Generated Accessible Futuristic Reusable Announcement Banner &amp; Callout Suite (components/banner.tsx)</t>
        </is>
      </c>
      <c r="E101"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01" t="inlineStr">
        <is>
          <t>P1</t>
        </is>
      </c>
      <c r="G101" t="inlineStr">
        <is>
          <t>Codex</t>
        </is>
      </c>
      <c r="H101" t="inlineStr">
        <is>
          <t>Done</t>
        </is>
      </c>
      <c r="I101" t="n">
        <v>1</v>
      </c>
      <c r="J101" t="inlineStr">
        <is>
          <t>R-356</t>
        </is>
      </c>
      <c r="K101" t="inlineStr">
        <is>
          <t>Founder Stage 0</t>
        </is>
      </c>
      <c r="L101" t="inlineStr">
        <is>
          <t>task verify 1692 tests (15 new in test_banner_component.py); task lint + security:quick pass; builder:demo minimal-blog passes (94 files); builder:demo rideshare-favourites passes (91 files); offline/deterministic, 0 model calls.</t>
        </is>
      </c>
      <c r="M101" t="inlineStr">
        <is>
          <t>Generated Next.js web application accessible futuristic reusable announcement banner suite. Reconstructed from Brief Sections 20, 24, 25, 26, 27, 74, 77, 92.</t>
        </is>
      </c>
    </row>
    <row r="102" ht="34" customHeight="1" s="401">
      <c r="A102" t="inlineStr">
        <is>
          <t>R-356</t>
        </is>
      </c>
      <c r="B102" t="inlineStr">
        <is>
          <t>MVP</t>
        </is>
      </c>
      <c r="C102" t="inlineStr">
        <is>
          <t>Builder</t>
        </is>
      </c>
      <c r="D102" t="inlineStr">
        <is>
          <t>Generated Accessible Futuristic Reusable Checkbox &amp; Checkbox Group Primitive (components/checkbox.tsx)</t>
        </is>
      </c>
      <c r="E102"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02" t="inlineStr">
        <is>
          <t>P1</t>
        </is>
      </c>
      <c r="G102" t="inlineStr">
        <is>
          <t>Codex</t>
        </is>
      </c>
      <c r="H102" t="inlineStr">
        <is>
          <t>Done</t>
        </is>
      </c>
      <c r="I102" t="n">
        <v>1</v>
      </c>
      <c r="J102" t="inlineStr">
        <is>
          <t>R-355</t>
        </is>
      </c>
      <c r="K102" t="inlineStr">
        <is>
          <t>Founder Stage 0</t>
        </is>
      </c>
      <c r="L102" t="inlineStr">
        <is>
          <t>task verify 1677 tests (15 new in test_checkbox_component.py); task lint + security:quick pass; builder:demo minimal-blog passes (93 files); builder:demo rideshare-favourites passes (90 files); offline/deterministic, 0 model calls.</t>
        </is>
      </c>
      <c r="M102" t="inlineStr">
        <is>
          <t>Generated Next.js web application accessible futuristic reusable checkbox suite. Reconstructed from Brief Sections 20, 24, 25, 26, 27, 74, 77, 92.</t>
        </is>
      </c>
    </row>
    <row r="103" ht="34" customHeight="1" s="401">
      <c r="A103" t="inlineStr">
        <is>
          <t>R-355</t>
        </is>
      </c>
      <c r="B103" t="inlineStr">
        <is>
          <t>MVP</t>
        </is>
      </c>
      <c r="C103" t="inlineStr">
        <is>
          <t>Builder</t>
        </is>
      </c>
      <c r="D103" t="inlineStr">
        <is>
          <t>Generated Accessible Futuristic Reusable Radio Group Suite (components/radio-group.tsx)</t>
        </is>
      </c>
      <c r="E103"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03" t="inlineStr">
        <is>
          <t>P1</t>
        </is>
      </c>
      <c r="G103" t="inlineStr">
        <is>
          <t>Codex</t>
        </is>
      </c>
      <c r="H103" t="inlineStr">
        <is>
          <t>Done</t>
        </is>
      </c>
      <c r="I103" t="n">
        <v>1</v>
      </c>
      <c r="J103" t="inlineStr">
        <is>
          <t>R-354</t>
        </is>
      </c>
      <c r="K103" t="inlineStr">
        <is>
          <t>Founder Stage 0</t>
        </is>
      </c>
      <c r="L103" t="inlineStr">
        <is>
          <t>task verify 1662 tests (15 new in test_radio_group_component.py); task lint + security:quick pass; builder:demo minimal-blog passes (92 files); builder:demo rideshare-favourites passes (89 files); offline/deterministic, 0 model calls.</t>
        </is>
      </c>
      <c r="M103" t="inlineStr">
        <is>
          <t>Generated Next.js web application accessible futuristic reusable radio group suite. Reconstructed from Brief Sections 20, 24, 25, 26, 27, 74, 77, 92.</t>
        </is>
      </c>
    </row>
    <row r="104" ht="34" customHeight="1" s="401">
      <c r="A104" t="inlineStr">
        <is>
          <t>R-354</t>
        </is>
      </c>
      <c r="B104" t="inlineStr">
        <is>
          <t>MVP</t>
        </is>
      </c>
      <c r="C104" t="inlineStr">
        <is>
          <t>Builder</t>
        </is>
      </c>
      <c r="D104" t="inlineStr">
        <is>
          <t>Generated Accessible Futuristic Reusable Keyboard Keycap Component (components/kbd.tsx)</t>
        </is>
      </c>
      <c r="E104"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04" t="inlineStr">
        <is>
          <t>P1</t>
        </is>
      </c>
      <c r="G104" t="inlineStr">
        <is>
          <t>Codex</t>
        </is>
      </c>
      <c r="H104" t="inlineStr">
        <is>
          <t>Done</t>
        </is>
      </c>
      <c r="I104" t="n">
        <v>1</v>
      </c>
      <c r="J104" t="inlineStr">
        <is>
          <t>R-353</t>
        </is>
      </c>
      <c r="K104" t="inlineStr">
        <is>
          <t>Founder Stage 0</t>
        </is>
      </c>
      <c r="L104" t="inlineStr">
        <is>
          <t>task verify 1647 tests (16 new in test_kbd_component.py); task lint + security:quick pass; builder:demo minimal-blog passes (91 files); builder:demo rideshare-favourites passes (88 files); offline/deterministic, 0 model calls.</t>
        </is>
      </c>
      <c r="M104" t="inlineStr">
        <is>
          <t>Generated Next.js web application accessible futuristic reusable keyboard keycap component. Reconstructed from Brief Sections 20, 25, 27, 74, 77, 92.</t>
        </is>
      </c>
    </row>
    <row r="105" ht="34" customHeight="1" s="401">
      <c r="A105" t="inlineStr">
        <is>
          <t>R-353</t>
        </is>
      </c>
      <c r="B105" t="inlineStr">
        <is>
          <t>MVP</t>
        </is>
      </c>
      <c r="C105" t="inlineStr">
        <is>
          <t>Builder</t>
        </is>
      </c>
      <c r="D105" t="inlineStr">
        <is>
          <t>Generated Accessible Futuristic Reusable Separator Component (components/separator.tsx)</t>
        </is>
      </c>
      <c r="E105"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05" t="inlineStr">
        <is>
          <t>P1</t>
        </is>
      </c>
      <c r="G105" t="inlineStr">
        <is>
          <t>Codex</t>
        </is>
      </c>
      <c r="H105" t="inlineStr">
        <is>
          <t>Done</t>
        </is>
      </c>
      <c r="I105" t="n">
        <v>1</v>
      </c>
      <c r="J105" t="inlineStr">
        <is>
          <t>R-352</t>
        </is>
      </c>
      <c r="K105" t="inlineStr">
        <is>
          <t>Founder Stage 0</t>
        </is>
      </c>
      <c r="L105" t="inlineStr">
        <is>
          <t>task verify 1631 tests (16 new in test_separator_component.py); task lint + security:quick pass; builder:demo minimal-blog passes (90 files); builder:demo rideshare-favourites passes (87 files); offline/deterministic, 0 model calls.</t>
        </is>
      </c>
      <c r="M105" t="inlineStr">
        <is>
          <t>Generated Next.js web application accessible futuristic reusable separator component. Reconstructed from Brief Sections 26, 27, 74, 77, 92.</t>
        </is>
      </c>
    </row>
    <row r="106" ht="34" customHeight="1" s="401">
      <c r="A106" t="inlineStr">
        <is>
          <t>R-352</t>
        </is>
      </c>
      <c r="B106" t="inlineStr">
        <is>
          <t>MVP</t>
        </is>
      </c>
      <c r="C106" t="inlineStr">
        <is>
          <t>Builder</t>
        </is>
      </c>
      <c r="D106" t="inlineStr">
        <is>
          <t>Generated Accessible Futuristic Reusable Aspect Ratio Component (components/aspect-ratio.tsx)</t>
        </is>
      </c>
      <c r="E106"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06" t="inlineStr">
        <is>
          <t>P1</t>
        </is>
      </c>
      <c r="G106" t="inlineStr">
        <is>
          <t>Codex</t>
        </is>
      </c>
      <c r="H106" t="inlineStr">
        <is>
          <t>Done</t>
        </is>
      </c>
      <c r="I106" t="n">
        <v>1</v>
      </c>
      <c r="J106" t="inlineStr">
        <is>
          <t>R-351</t>
        </is>
      </c>
      <c r="K106" t="inlineStr">
        <is>
          <t>Founder Stage 0</t>
        </is>
      </c>
      <c r="L106" t="inlineStr">
        <is>
          <t>task verify 1615 tests (16 new in test_aspect_ratio_component.py); task lint + security:quick pass; builder:demo minimal-blog passes (89 files); builder:demo rideshare-favourites passes (86 files); offline/deterministic, 0 model calls.</t>
        </is>
      </c>
      <c r="M106" t="inlineStr">
        <is>
          <t>Generated Next.js web application accessible futuristic reusable aspect ratio component. Reconstructed from Brief Sections 26, 27, 74, 77, 92.</t>
        </is>
      </c>
    </row>
    <row r="107" ht="34" customHeight="1" s="401">
      <c r="A107" t="inlineStr">
        <is>
          <t>R-351</t>
        </is>
      </c>
      <c r="B107" t="inlineStr">
        <is>
          <t>MVP</t>
        </is>
      </c>
      <c r="C107" t="inlineStr">
        <is>
          <t>Builder</t>
        </is>
      </c>
      <c r="D107" t="inlineStr">
        <is>
          <t>Generated Accessible Futuristic Reusable Collapsible Component (components/collapsible.tsx)</t>
        </is>
      </c>
      <c r="E107"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07" t="inlineStr">
        <is>
          <t>P1</t>
        </is>
      </c>
      <c r="G107" t="inlineStr">
        <is>
          <t>Codex</t>
        </is>
      </c>
      <c r="H107" t="inlineStr">
        <is>
          <t>Done</t>
        </is>
      </c>
      <c r="I107" t="n">
        <v>1</v>
      </c>
      <c r="J107" t="inlineStr">
        <is>
          <t>R-350</t>
        </is>
      </c>
      <c r="K107" t="inlineStr">
        <is>
          <t>Founder Stage 0</t>
        </is>
      </c>
      <c r="L107" t="inlineStr">
        <is>
          <t>task verify 1599 tests; test_collapsible_component.py; task builder:demo (88/85 files)</t>
        </is>
      </c>
      <c r="M107" t="inlineStr">
        <is>
          <t>Diff-invariant; zero external dependencies (pure React)</t>
        </is>
      </c>
    </row>
    <row r="108" ht="34" customHeight="1" s="401">
      <c r="A108" t="inlineStr">
        <is>
          <t>R-350</t>
        </is>
      </c>
      <c r="B108" t="inlineStr">
        <is>
          <t>MVP</t>
        </is>
      </c>
      <c r="C108" t="inlineStr">
        <is>
          <t>Builder</t>
        </is>
      </c>
      <c r="D108" t="inlineStr">
        <is>
          <t>Generated Accessible Futuristic Reusable Scroll Area Suite (components/scroll-area.tsx)</t>
        </is>
      </c>
      <c r="E108"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08" t="inlineStr">
        <is>
          <t>P1</t>
        </is>
      </c>
      <c r="G108" t="inlineStr">
        <is>
          <t>Codex</t>
        </is>
      </c>
      <c r="H108" t="inlineStr">
        <is>
          <t>Done</t>
        </is>
      </c>
      <c r="I108" t="n">
        <v>1</v>
      </c>
      <c r="J108" t="inlineStr">
        <is>
          <t>R-349</t>
        </is>
      </c>
      <c r="K108" t="inlineStr">
        <is>
          <t>Founder Stage 0</t>
        </is>
      </c>
      <c r="L108" t="inlineStr">
        <is>
          <t>task verify 1583 tests (16 new in test_scroll_area_component.py); task lint + security:quick pass; builder:demo minimal-blog passes (84 files); builder:demo rideshare-favourites passes (84 files); offline/deterministic, 0 model calls.</t>
        </is>
      </c>
      <c r="M108" t="inlineStr">
        <is>
          <t>Generated Next.js web application accessible futuristic reusable scroll area suite. Reconstructed from Brief Sections 26, 27, 74, 77, 92.</t>
        </is>
      </c>
    </row>
    <row r="109" ht="34" customHeight="1" s="401">
      <c r="A109" t="inlineStr">
        <is>
          <t>R-349</t>
        </is>
      </c>
      <c r="B109" t="inlineStr">
        <is>
          <t>MVP</t>
        </is>
      </c>
      <c r="C109" t="inlineStr">
        <is>
          <t>Builder</t>
        </is>
      </c>
      <c r="D109" t="inlineStr">
        <is>
          <t>Generated Accessible Futuristic Reusable Hover Card Suite (components/hover-card.tsx)</t>
        </is>
      </c>
      <c r="E109"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09" t="inlineStr">
        <is>
          <t>P1</t>
        </is>
      </c>
      <c r="G109" t="inlineStr">
        <is>
          <t>Codex</t>
        </is>
      </c>
      <c r="H109" t="inlineStr">
        <is>
          <t>Done</t>
        </is>
      </c>
      <c r="I109" t="n">
        <v>1</v>
      </c>
      <c r="J109" t="inlineStr">
        <is>
          <t>R-348</t>
        </is>
      </c>
      <c r="K109" t="inlineStr">
        <is>
          <t>Founder Stage 0</t>
        </is>
      </c>
      <c r="L109" t="inlineStr">
        <is>
          <t>task verify 1567 tests (16 new in test_hover_card_component.py); task lint + security:quick pass; builder:demo minimal-blog passes (83 files); builder:demo rideshare-favourites passes (83 files); offline/deterministic, 0 model calls.</t>
        </is>
      </c>
      <c r="M109" t="inlineStr">
        <is>
          <t>Generated Next.js web application accessible futuristic reusable hover card suite. Reconstructed from Brief Sections 26, 27, 74, 77, 92.</t>
        </is>
      </c>
    </row>
    <row r="110" ht="34" customHeight="1" s="401">
      <c r="A110" t="inlineStr">
        <is>
          <t>R-348</t>
        </is>
      </c>
      <c r="B110" t="inlineStr">
        <is>
          <t>MVP</t>
        </is>
      </c>
      <c r="C110" t="inlineStr">
        <is>
          <t>Builder</t>
        </is>
      </c>
      <c r="D110" t="inlineStr">
        <is>
          <t>Generated Accessible Futuristic Reusable Context Menu Suite (components/context-menu.tsx)</t>
        </is>
      </c>
      <c r="E110"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10" t="inlineStr">
        <is>
          <t>P1</t>
        </is>
      </c>
      <c r="G110" t="inlineStr">
        <is>
          <t>Codex</t>
        </is>
      </c>
      <c r="H110" t="inlineStr">
        <is>
          <t>Done</t>
        </is>
      </c>
      <c r="I110" t="n">
        <v>1</v>
      </c>
      <c r="J110" t="inlineStr">
        <is>
          <t>R-347</t>
        </is>
      </c>
      <c r="K110" t="inlineStr">
        <is>
          <t>Founder Stage 0</t>
        </is>
      </c>
      <c r="L110" t="inlineStr">
        <is>
          <t>task verify 1551 tests (16 new in test_context_menu_component.py); task lint + security:quick pass; builder:demo minimal-blog passes (82 files); builder:demo rideshare-favourites passes (82 files); offline/deterministic, 0 model calls.</t>
        </is>
      </c>
      <c r="M110" t="inlineStr">
        <is>
          <t>Generated Next.js web application accessible futuristic reusable context menu suite. Reconstructed from Brief Sections 26, 27, 74, 77, 92.</t>
        </is>
      </c>
    </row>
    <row r="111" ht="34" customHeight="1" s="401">
      <c r="A111" t="inlineStr">
        <is>
          <t>R-347</t>
        </is>
      </c>
      <c r="B111" t="inlineStr">
        <is>
          <t>MVP</t>
        </is>
      </c>
      <c r="C111" t="inlineStr">
        <is>
          <t>Builder</t>
        </is>
      </c>
      <c r="D111" t="inlineStr">
        <is>
          <t>Generated Accessible Futuristic Reusable Speed Dial &amp; Floating Action Button Component (components/speed-dial.tsx)</t>
        </is>
      </c>
      <c r="E111"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11" t="inlineStr">
        <is>
          <t>P1</t>
        </is>
      </c>
      <c r="G111" t="inlineStr">
        <is>
          <t>Codex</t>
        </is>
      </c>
      <c r="H111" t="inlineStr">
        <is>
          <t>Done</t>
        </is>
      </c>
      <c r="I111" t="n">
        <v>1</v>
      </c>
      <c r="J111" t="inlineStr">
        <is>
          <t>R-346</t>
        </is>
      </c>
      <c r="K111" t="inlineStr">
        <is>
          <t>Founder Stage 0</t>
        </is>
      </c>
      <c r="L111" t="inlineStr">
        <is>
          <t>task verify 1535 tests (16 new in test_speed_dial_component.py); task lint + security:quick pass; builder:demo minimal-blog passes (81 files); builder:demo rideshare-favourites passes (81 files); offline/deterministic, 0 model calls.</t>
        </is>
      </c>
      <c r="M111" t="inlineStr">
        <is>
          <t>Generated Next.js web application accessible futuristic reusable speed dial and floating action button component. Reconstructed from Brief Sections 26, 27, 74, 77, 92.</t>
        </is>
      </c>
    </row>
    <row r="112" ht="34" customHeight="1" s="401">
      <c r="A112" t="inlineStr">
        <is>
          <t>R-346</t>
        </is>
      </c>
      <c r="B112" t="inlineStr">
        <is>
          <t>MVP</t>
        </is>
      </c>
      <c r="C112" t="inlineStr">
        <is>
          <t>Builder</t>
        </is>
      </c>
      <c r="D112" t="inlineStr">
        <is>
          <t>Generated Accessible Futuristic Reusable PIN &amp; OTP Code Input Component (components/pin-input.tsx)</t>
        </is>
      </c>
      <c r="E112"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12" t="inlineStr">
        <is>
          <t>P1</t>
        </is>
      </c>
      <c r="G112" t="inlineStr">
        <is>
          <t>Codex</t>
        </is>
      </c>
      <c r="H112" t="inlineStr">
        <is>
          <t>Done</t>
        </is>
      </c>
      <c r="I112" t="n">
        <v>1</v>
      </c>
      <c r="J112" t="inlineStr">
        <is>
          <t>R-345</t>
        </is>
      </c>
      <c r="K112" t="inlineStr">
        <is>
          <t>Founder Stage 0</t>
        </is>
      </c>
      <c r="L112" t="inlineStr">
        <is>
          <t>task verify 1519 tests (15 new in test_pin_input_component.py); task lint + security:quick pass; builder:demo minimal-blog passes (82 files); builder:demo rideshare-favourites passes (80 files); offline/deterministic, 0 model calls.</t>
        </is>
      </c>
      <c r="M112" t="inlineStr">
        <is>
          <t>Generated Next.js web application accessible futuristic reusable PIN and OTP code input component. Reconstructed from Brief Sections 26, 27, 74, 77, 92.</t>
        </is>
      </c>
    </row>
    <row r="113" ht="34" customHeight="1" s="401">
      <c r="A113" t="inlineStr">
        <is>
          <t>R-345</t>
        </is>
      </c>
      <c r="B113" t="inlineStr">
        <is>
          <t>MVP</t>
        </is>
      </c>
      <c r="C113" t="inlineStr">
        <is>
          <t>Builder</t>
        </is>
      </c>
      <c r="D113" t="inlineStr">
        <is>
          <t>Generated Accessible Futuristic Reusable Color Picker &amp; Palette Swatch Component (components/color-picker.tsx)</t>
        </is>
      </c>
      <c r="E113"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13" t="inlineStr">
        <is>
          <t>P1</t>
        </is>
      </c>
      <c r="G113" t="inlineStr">
        <is>
          <t>Codex</t>
        </is>
      </c>
      <c r="H113" t="inlineStr">
        <is>
          <t>Done</t>
        </is>
      </c>
      <c r="I113" t="n">
        <v>1</v>
      </c>
      <c r="J113" t="inlineStr">
        <is>
          <t>R-344</t>
        </is>
      </c>
      <c r="K113" t="inlineStr">
        <is>
          <t>Founder Stage 0</t>
        </is>
      </c>
      <c r="L113" t="inlineStr">
        <is>
          <t>task verify 1504 tests (15 new in test_color_picker_component.py); task lint + security:quick pass; builder:demo minimal-blog passes (81 files); builder:demo rideshare-favourites passes (79 files); offline/deterministic, 0 model calls.</t>
        </is>
      </c>
      <c r="M113" t="inlineStr">
        <is>
          <t>Generated Next.js web application accessible futuristic reusable color picker and palette swatch component. Reconstructed from Brief Sections 26, 27, 74, 77, 92.</t>
        </is>
      </c>
    </row>
    <row r="114" ht="34" customHeight="1" s="401">
      <c r="A114" t="inlineStr">
        <is>
          <t>R-344</t>
        </is>
      </c>
      <c r="B114" t="inlineStr">
        <is>
          <t>MVP</t>
        </is>
      </c>
      <c r="C114" t="inlineStr">
        <is>
          <t>Builder</t>
        </is>
      </c>
      <c r="D114" t="inlineStr">
        <is>
          <t>Generated Accessible Futuristic Reusable Resizable Panels &amp; Splitter Component (components/resizable.tsx)</t>
        </is>
      </c>
      <c r="E114"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14" t="inlineStr">
        <is>
          <t>P1</t>
        </is>
      </c>
      <c r="G114" t="inlineStr">
        <is>
          <t>Codex</t>
        </is>
      </c>
      <c r="H114" t="inlineStr">
        <is>
          <t>Done</t>
        </is>
      </c>
      <c r="I114" t="n">
        <v>1</v>
      </c>
      <c r="J114" t="inlineStr">
        <is>
          <t>R-343</t>
        </is>
      </c>
      <c r="K114" t="inlineStr">
        <is>
          <t>Founder Stage 0</t>
        </is>
      </c>
      <c r="L114" t="inlineStr">
        <is>
          <t>task verify 1489 tests (15 new in test_resizable_component.py); task lint + security:quick pass; builder:demo minimal-blog passes (81 files); builder:demo rideshare-favourites passes (78 files); offline/deterministic, 0 model calls.</t>
        </is>
      </c>
      <c r="M114" t="inlineStr">
        <is>
          <t>Generated Next.js web application accessible futuristic reusable resizable panels and splitter component. Reconstructed from Brief Sections 26, 27, 74, 77, 92.</t>
        </is>
      </c>
    </row>
    <row r="115" ht="34" customHeight="1" s="401">
      <c r="A115" t="inlineStr">
        <is>
          <t>R-343</t>
        </is>
      </c>
      <c r="B115" t="inlineStr">
        <is>
          <t>MVP</t>
        </is>
      </c>
      <c r="C115" t="inlineStr">
        <is>
          <t>Builder</t>
        </is>
      </c>
      <c r="D115" t="inlineStr">
        <is>
          <t>Generated Accessible Futuristic Reusable Carousel &amp; Slider Showcase Component (components/carousel.tsx)</t>
        </is>
      </c>
      <c r="E115"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15" t="inlineStr">
        <is>
          <t>P1</t>
        </is>
      </c>
      <c r="G115" t="inlineStr">
        <is>
          <t>Codex</t>
        </is>
      </c>
      <c r="H115" t="inlineStr">
        <is>
          <t>Done</t>
        </is>
      </c>
      <c r="I115" t="n">
        <v>1</v>
      </c>
      <c r="J115" t="inlineStr">
        <is>
          <t>R-342</t>
        </is>
      </c>
      <c r="K115" t="inlineStr">
        <is>
          <t>Founder Stage 0</t>
        </is>
      </c>
      <c r="L115" t="inlineStr">
        <is>
          <t>task verify 1474 tests (15 new in test_carousel_component.py); task lint + security:quick pass; builder:demo minimal-blog passes (80 files); builder:demo rideshare-favourites passes (77 files); offline/deterministic, 0 model calls.</t>
        </is>
      </c>
      <c r="M115" t="inlineStr">
        <is>
          <t>Generated Next.js web application accessible futuristic reusable carousel and slider showcase component. Reconstructed from Brief Sections 26, 27, 74, 77, 92.</t>
        </is>
      </c>
    </row>
    <row r="116" ht="34" customHeight="1" s="401">
      <c r="A116" t="inlineStr">
        <is>
          <t>R-342</t>
        </is>
      </c>
      <c r="B116" t="inlineStr">
        <is>
          <t>MVP</t>
        </is>
      </c>
      <c r="C116" t="inlineStr">
        <is>
          <t>Builder</t>
        </is>
      </c>
      <c r="D116" t="inlineStr">
        <is>
          <t>Generated Accessible Futuristic Reusable Segmented Control &amp; Mode Switcher Component (components/segmented-control.tsx)</t>
        </is>
      </c>
      <c r="E116"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16" t="inlineStr">
        <is>
          <t>P1</t>
        </is>
      </c>
      <c r="G116" t="inlineStr">
        <is>
          <t>Codex</t>
        </is>
      </c>
      <c r="H116" t="inlineStr">
        <is>
          <t>Done</t>
        </is>
      </c>
      <c r="I116" t="n">
        <v>1</v>
      </c>
      <c r="J116" t="inlineStr">
        <is>
          <t>R-341</t>
        </is>
      </c>
      <c r="K116" t="inlineStr">
        <is>
          <t>Founder Stage 0</t>
        </is>
      </c>
      <c r="L116" t="inlineStr">
        <is>
          <t>task verify 1459 tests (15 new in test_segmented_control_component.py); task lint + security:quick pass; builder:demo minimal-blog passes (78 files); builder:demo rideshare-favourites passes (76 files); offline/deterministic, 0 model calls.</t>
        </is>
      </c>
      <c r="M116" t="inlineStr">
        <is>
          <t>Generated Next.js web application accessible futuristic reusable segmented control and mode switcher component. Reconstructed from Brief Sections 26, 27, 74, 77, 92.</t>
        </is>
      </c>
    </row>
    <row r="117" ht="34" customHeight="1" s="401">
      <c r="A117" t="inlineStr">
        <is>
          <t>R-341</t>
        </is>
      </c>
      <c r="B117" t="inlineStr">
        <is>
          <t>MVP</t>
        </is>
      </c>
      <c r="C117" t="inlineStr">
        <is>
          <t>Builder</t>
        </is>
      </c>
      <c r="D117" t="inlineStr">
        <is>
          <t>Generated Accessible Futuristic Reusable Radial Gauge &amp; Activity Rings Component (components/radial-gauge.tsx)</t>
        </is>
      </c>
      <c r="E117"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17" t="inlineStr">
        <is>
          <t>P1</t>
        </is>
      </c>
      <c r="G117" t="inlineStr">
        <is>
          <t>Codex</t>
        </is>
      </c>
      <c r="H117" t="inlineStr">
        <is>
          <t>Done</t>
        </is>
      </c>
      <c r="I117" t="n">
        <v>1</v>
      </c>
      <c r="J117" t="inlineStr">
        <is>
          <t>R-340</t>
        </is>
      </c>
      <c r="K117" t="inlineStr">
        <is>
          <t>Founder Stage 0</t>
        </is>
      </c>
      <c r="L117" t="inlineStr">
        <is>
          <t>task verify 1444 tests (15 new in test_radial_gauge_component.py); task lint + security:quick pass; builder:demo minimal-blog passes (78 files); builder:demo rideshare-favourites passes (75 files); offline/deterministic, 0 model calls.</t>
        </is>
      </c>
      <c r="M117" t="inlineStr">
        <is>
          <t>Generated Next.js web application accessible futuristic reusable radial gauge and activity rings component. Reconstructed from Brief Sections 26, 27, 74, 77, 92.</t>
        </is>
      </c>
    </row>
    <row r="118" ht="34" customHeight="1" s="401">
      <c r="A118" t="inlineStr">
        <is>
          <t>R-340</t>
        </is>
      </c>
      <c r="B118" t="inlineStr">
        <is>
          <t>MVP</t>
        </is>
      </c>
      <c r="C118" t="inlineStr">
        <is>
          <t>Builder</t>
        </is>
      </c>
      <c r="D118" t="inlineStr">
        <is>
          <t>Generated Accessible Futuristic Reusable Code Block &amp; Syntax Presentation Component (components/code-block.tsx)</t>
        </is>
      </c>
      <c r="E118"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18" t="inlineStr">
        <is>
          <t>P1</t>
        </is>
      </c>
      <c r="G118" t="inlineStr">
        <is>
          <t>Codex</t>
        </is>
      </c>
      <c r="H118" t="inlineStr">
        <is>
          <t>Done</t>
        </is>
      </c>
      <c r="I118" t="n">
        <v>1</v>
      </c>
      <c r="J118" t="inlineStr">
        <is>
          <t>R-339</t>
        </is>
      </c>
      <c r="K118" t="inlineStr">
        <is>
          <t>Founder Stage 0</t>
        </is>
      </c>
      <c r="L118" t="inlineStr">
        <is>
          <t>task verify 1429 tests (15 new in test_code_block_component.py); task lint + security:quick pass; builder:demo minimal-blog passes (77 files); builder:demo rideshare-favourites passes (74 files); offline/deterministic, 0 model calls.</t>
        </is>
      </c>
      <c r="M118" t="inlineStr">
        <is>
          <t>Generated Next.js web application accessible futuristic reusable code block and syntax presentation component. Reconstructed from Brief Sections 26, 27, 74, 77, 92.</t>
        </is>
      </c>
    </row>
    <row r="119" ht="34" customHeight="1" s="401">
      <c r="A119" t="inlineStr">
        <is>
          <t>R-339</t>
        </is>
      </c>
      <c r="B119" t="inlineStr">
        <is>
          <t>MVP</t>
        </is>
      </c>
      <c r="C119" t="inlineStr">
        <is>
          <t>Builder</t>
        </is>
      </c>
      <c r="D119" t="inlineStr">
        <is>
          <t>Generated Accessible Futuristic Reusable Tag &amp; Chip Input Tokenizer Component (components/tag-input.tsx)</t>
        </is>
      </c>
      <c r="E119"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19" t="inlineStr">
        <is>
          <t>P1</t>
        </is>
      </c>
      <c r="G119" t="inlineStr">
        <is>
          <t>Codex</t>
        </is>
      </c>
      <c r="H119" t="inlineStr">
        <is>
          <t>Done</t>
        </is>
      </c>
      <c r="I119" t="n">
        <v>1</v>
      </c>
      <c r="J119" t="inlineStr">
        <is>
          <t>R-338</t>
        </is>
      </c>
      <c r="K119" t="inlineStr">
        <is>
          <t>Founder Stage 0</t>
        </is>
      </c>
      <c r="L119" t="inlineStr">
        <is>
          <t>task verify 1414 tests (15 new in test_tag_input_component.py); task lint + security:quick pass; builder:demo minimal-blog passes (76 files); builder:demo rideshare-favourites passes (73 files); offline/deterministic, 0 model calls.</t>
        </is>
      </c>
      <c r="M119" t="inlineStr">
        <is>
          <t>Generated Next.js web application accessible futuristic reusable tag and chip tokenizer component. Reconstructed from Brief Sections 26, 27, 74, 77, 92.</t>
        </is>
      </c>
    </row>
    <row r="120" ht="34" customHeight="1" s="401">
      <c r="A120" t="inlineStr">
        <is>
          <t>R-338</t>
        </is>
      </c>
      <c r="B120" t="inlineStr">
        <is>
          <t>MVP</t>
        </is>
      </c>
      <c r="C120" t="inlineStr">
        <is>
          <t>Builder</t>
        </is>
      </c>
      <c r="D120" t="inlineStr">
        <is>
          <t>Generated Accessible Reusable Hierarchical Tree View Component (components/tree-view.tsx)</t>
        </is>
      </c>
      <c r="E120"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20" t="inlineStr">
        <is>
          <t>P1</t>
        </is>
      </c>
      <c r="G120" t="inlineStr">
        <is>
          <t>Codex</t>
        </is>
      </c>
      <c r="H120" t="inlineStr">
        <is>
          <t>Done</t>
        </is>
      </c>
      <c r="I120" t="n">
        <v>1</v>
      </c>
      <c r="J120" t="inlineStr">
        <is>
          <t>R-337</t>
        </is>
      </c>
      <c r="K120" t="inlineStr">
        <is>
          <t>Founder Stage 0</t>
        </is>
      </c>
      <c r="L120" t="inlineStr">
        <is>
          <t>task verify 1399 tests (15 new in test_tree_view_component.py); task lint + security:quick pass; builder:demo minimal-blog passes (75 files); builder:demo rideshare-favourites passes (72 files); offline/deterministic, 0 model calls.</t>
        </is>
      </c>
      <c r="M120" t="inlineStr">
        <is>
          <t>Generated Next.js web application accessible reusable hierarchical tree view component. Reconstructed from Brief Sections 26, 27, 74, 77, 92.</t>
        </is>
      </c>
    </row>
    <row r="121" ht="34" customHeight="1" s="401">
      <c r="A121" t="inlineStr">
        <is>
          <t>R-337</t>
        </is>
      </c>
      <c r="B121" t="inlineStr">
        <is>
          <t>MVP</t>
        </is>
      </c>
      <c r="C121" t="inlineStr">
        <is>
          <t>Builder</t>
        </is>
      </c>
      <c r="D121" t="inlineStr">
        <is>
          <t>Generated Accessible Futuristic Reusable Stat &amp; Metric KPI Card Component (components/stat-card.tsx)</t>
        </is>
      </c>
      <c r="E121"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21" t="inlineStr">
        <is>
          <t>P1</t>
        </is>
      </c>
      <c r="G121" t="inlineStr">
        <is>
          <t>Codex</t>
        </is>
      </c>
      <c r="H121" t="inlineStr">
        <is>
          <t>Done</t>
        </is>
      </c>
      <c r="I121" t="n">
        <v>1</v>
      </c>
      <c r="J121" t="inlineStr">
        <is>
          <t>R-336</t>
        </is>
      </c>
      <c r="K121" t="inlineStr">
        <is>
          <t>Founder Stage 0</t>
        </is>
      </c>
      <c r="L121" t="inlineStr">
        <is>
          <t>task verify 1384 tests (15 new in test_stat_card_component.py); task lint + security:quick pass; builder:demo minimal-blog passes (74 files); builder:demo rideshare-favourites passes (71 files); offline/deterministic, 0 model calls.</t>
        </is>
      </c>
      <c r="M121" t="inlineStr">
        <is>
          <t>Generated Next.js web application accessible futuristic reusable stat and metric KPI card component. Reconstructed from Brief Sections 26, 27, 74, 77, 92.</t>
        </is>
      </c>
    </row>
    <row r="122" ht="34" customHeight="1" s="401">
      <c r="A122" t="inlineStr">
        <is>
          <t>R-336</t>
        </is>
      </c>
      <c r="B122" t="inlineStr">
        <is>
          <t>MVP</t>
        </is>
      </c>
      <c r="C122" t="inlineStr">
        <is>
          <t>Builder</t>
        </is>
      </c>
      <c r="D122" t="inlineStr">
        <is>
          <t>Generated Accessible Reusable Timeline / Activity Feed Component (components/timeline.tsx)</t>
        </is>
      </c>
      <c r="E122"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22" t="inlineStr">
        <is>
          <t>P1</t>
        </is>
      </c>
      <c r="G122" t="inlineStr">
        <is>
          <t>Codex</t>
        </is>
      </c>
      <c r="H122" t="inlineStr">
        <is>
          <t>Done</t>
        </is>
      </c>
      <c r="I122" t="n">
        <v>1</v>
      </c>
      <c r="J122" t="inlineStr">
        <is>
          <t>R-335</t>
        </is>
      </c>
      <c r="K122" t="inlineStr">
        <is>
          <t>Founder Stage 0</t>
        </is>
      </c>
      <c r="L122" t="inlineStr">
        <is>
          <t>task verify 1369 tests (20 new in test_timeline_component.py); task lint + security:quick pass; builder:demo minimal-blog passes (73 files); builder:demo rideshare-favourites passes (70 files); offline/deterministic, 0 model calls.</t>
        </is>
      </c>
      <c r="M122" t="inlineStr">
        <is>
          <t>Generated Next.js web application accessible reusable timeline / activity feed component. Reconstructed from Brief Sections 26, 27, 74, 77, 92.</t>
        </is>
      </c>
    </row>
    <row r="123" ht="34" customHeight="1" s="401">
      <c r="A123" t="inlineStr">
        <is>
          <t>R-335</t>
        </is>
      </c>
      <c r="B123" t="inlineStr">
        <is>
          <t>MVP</t>
        </is>
      </c>
      <c r="C123" t="inlineStr">
        <is>
          <t>Builder</t>
        </is>
      </c>
      <c r="D123" t="inlineStr">
        <is>
          <t>Generated Accessible Reusable File Upload / Dropzone Component (components/file-upload.tsx)</t>
        </is>
      </c>
      <c r="E123"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23" t="inlineStr">
        <is>
          <t>P1</t>
        </is>
      </c>
      <c r="G123" t="inlineStr">
        <is>
          <t>Codex</t>
        </is>
      </c>
      <c r="H123" t="inlineStr">
        <is>
          <t>Done</t>
        </is>
      </c>
      <c r="I123" t="n">
        <v>1</v>
      </c>
      <c r="J123" t="inlineStr">
        <is>
          <t>R-334</t>
        </is>
      </c>
      <c r="K123" t="inlineStr">
        <is>
          <t>Founder Stage 0</t>
        </is>
      </c>
      <c r="L123" t="inlineStr">
        <is>
          <t>task verify 1349 tests (20 new in test_file_upload_component.py); task lint + security:quick pass; builder:demo minimal-blog passes (72 files); builder:demo rideshare-favourites passes (69 files); offline/deterministic, 0 model calls.</t>
        </is>
      </c>
      <c r="M123" t="inlineStr">
        <is>
          <t>Generated Next.js web application accessible reusable file upload / dropzone component. Reconstructed from Brief Sections 26, 27, 74, 77, 92.</t>
        </is>
      </c>
    </row>
    <row r="124" ht="34" customHeight="1" s="401">
      <c r="A124" t="inlineStr">
        <is>
          <t>R-334</t>
        </is>
      </c>
      <c r="B124" t="inlineStr">
        <is>
          <t>MVP</t>
        </is>
      </c>
      <c r="C124" t="inlineStr">
        <is>
          <t>Builder</t>
        </is>
      </c>
      <c r="D124" t="inlineStr">
        <is>
          <t>Generated Accessible Reusable Stepper / Multi-step Wizard Component (components/stepper.tsx)</t>
        </is>
      </c>
      <c r="E124"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24" t="inlineStr">
        <is>
          <t>P1</t>
        </is>
      </c>
      <c r="G124" t="inlineStr">
        <is>
          <t>Codex</t>
        </is>
      </c>
      <c r="H124" t="inlineStr">
        <is>
          <t>Done</t>
        </is>
      </c>
      <c r="I124" t="n">
        <v>1</v>
      </c>
      <c r="J124" t="inlineStr">
        <is>
          <t>R-333</t>
        </is>
      </c>
      <c r="K124" t="inlineStr">
        <is>
          <t>Founder Stage 0</t>
        </is>
      </c>
      <c r="L124" t="inlineStr">
        <is>
          <t>task verify 1329 tests (19 new in test_stepper_component.py); task lint + security:quick + env:check pass; builder:demo minimal-blog passes (71 files); builder:demo rideshare-favourites passes (68 files); offline/deterministic, 0 model calls.</t>
        </is>
      </c>
      <c r="M124" t="inlineStr">
        <is>
          <t>Generated Next.js web application accessible reusable stepper / multi-step wizard component. Reconstructed from Brief Sections 26, 27, 74, 77, 92.</t>
        </is>
      </c>
    </row>
    <row r="125" ht="34" customHeight="1" s="401">
      <c r="A125" s="547" t="inlineStr">
        <is>
          <t>R-333</t>
        </is>
      </c>
      <c r="B125" s="547" t="inlineStr">
        <is>
          <t>MVP</t>
        </is>
      </c>
      <c r="C125" s="547" t="inlineStr">
        <is>
          <t>Builder</t>
        </is>
      </c>
      <c r="D125" s="547" t="inlineStr">
        <is>
          <t>Generated Accessible Reusable Rating &amp; Review Component (components/rating.tsx)</t>
        </is>
      </c>
      <c r="E125"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25" s="547" t="inlineStr">
        <is>
          <t>P1</t>
        </is>
      </c>
      <c r="G125" s="547" t="inlineStr">
        <is>
          <t>Codex</t>
        </is>
      </c>
      <c r="H125" s="547" t="inlineStr">
        <is>
          <t>Done</t>
        </is>
      </c>
      <c r="I125" s="547" t="n">
        <v>1</v>
      </c>
      <c r="J125" s="547" t="inlineStr">
        <is>
          <t>R-332</t>
        </is>
      </c>
      <c r="K125" s="547" t="inlineStr">
        <is>
          <t>Founder Stage 0</t>
        </is>
      </c>
      <c r="L125" s="547" t="inlineStr">
        <is>
          <t>task verify 1,310 tests (13 new in test_rating_component.py); task lint + security:quick + env:check pass; builder:demo minimal-blog passes (70 files); builder:demo rideshare-favourites passes (67 files); offline/deterministic, 0 model calls.</t>
        </is>
      </c>
      <c r="M125" s="547" t="inlineStr">
        <is>
          <t>Generated Next.js web application rating and review component. Reconstructed from Brief Sections 26, 27, 74, 77, 92.</t>
        </is>
      </c>
    </row>
    <row r="126" ht="34" customHeight="1" s="401">
      <c r="A126" s="547" t="inlineStr">
        <is>
          <t>R-332</t>
        </is>
      </c>
      <c r="B126" s="547" t="inlineStr">
        <is>
          <t>MVP</t>
        </is>
      </c>
      <c r="C126" s="547" t="inlineStr">
        <is>
          <t>Builder</t>
        </is>
      </c>
      <c r="D126" s="547" t="inlineStr">
        <is>
          <t>Generated Accessible Reusable Progress &amp; Spinner Component (components/progress.tsx)</t>
        </is>
      </c>
      <c r="E126"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26" s="547" t="inlineStr">
        <is>
          <t>P1</t>
        </is>
      </c>
      <c r="G126" s="547" t="inlineStr">
        <is>
          <t>Codex</t>
        </is>
      </c>
      <c r="H126" s="547" t="inlineStr">
        <is>
          <t>Done</t>
        </is>
      </c>
      <c r="I126" s="547" t="n">
        <v>1</v>
      </c>
      <c r="J126" s="547" t="inlineStr">
        <is>
          <t>R-331</t>
        </is>
      </c>
      <c r="K126" s="547" t="inlineStr">
        <is>
          <t>Founder Stage 0</t>
        </is>
      </c>
      <c r="L126" s="547" t="inlineStr">
        <is>
          <t>task verify 1,297 tests (13 new in test_progress_component.py); task lint + security:quick + env:check pass; builder:demo minimal-blog passes (69 files); builder:demo rideshare-favourites passes (66 files); offline/deterministic, 0 model calls.</t>
        </is>
      </c>
      <c r="M126" s="547" t="inlineStr">
        <is>
          <t>Generated Next.js web application progress bar, circular progress, and spinner component. Reconstructed from Brief Sections 26, 27, 74, 77, 92.</t>
        </is>
      </c>
    </row>
    <row r="127" ht="34" customHeight="1" s="401">
      <c r="A127" s="547" t="inlineStr">
        <is>
          <t>R-331</t>
        </is>
      </c>
      <c r="B127" s="547" t="inlineStr">
        <is>
          <t>MVP</t>
        </is>
      </c>
      <c r="C127" s="547" t="inlineStr">
        <is>
          <t>Builder</t>
        </is>
      </c>
      <c r="D127" s="547" t="inlineStr">
        <is>
          <t>Generated Accessible Reusable Slider &amp; Range Component (components/slider.tsx)</t>
        </is>
      </c>
      <c r="E127"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27" s="547" t="inlineStr">
        <is>
          <t>P1</t>
        </is>
      </c>
      <c r="G127" s="547" t="inlineStr">
        <is>
          <t>Codex</t>
        </is>
      </c>
      <c r="H127" s="547" t="inlineStr">
        <is>
          <t>Done</t>
        </is>
      </c>
      <c r="I127" s="547" t="n">
        <v>1</v>
      </c>
      <c r="J127" s="547" t="inlineStr">
        <is>
          <t>R-330</t>
        </is>
      </c>
      <c r="K127" s="547" t="inlineStr">
        <is>
          <t>Founder Stage 0</t>
        </is>
      </c>
      <c r="L127" s="547" t="inlineStr">
        <is>
          <t>task verify 1,284 tests (13 new in test_slider_component.py); task lint + security:quick + env:check pass; builder:demo minimal-blog passes (68 files); builder:demo rideshare-favourites passes (65 files); offline/deterministic, 0 model calls.</t>
        </is>
      </c>
      <c r="M127" s="547" t="inlineStr">
        <is>
          <t>Generated Next.js web application slider and range component. Reconstructed from Brief Sections 26, 27, 74, 77, 92.</t>
        </is>
      </c>
    </row>
    <row r="128" ht="34" customHeight="1" s="401">
      <c r="A128" s="547" t="inlineStr">
        <is>
          <t>R-330</t>
        </is>
      </c>
      <c r="B128" s="547" t="inlineStr">
        <is>
          <t>MVP</t>
        </is>
      </c>
      <c r="C128" s="547" t="inlineStr">
        <is>
          <t>Builder</t>
        </is>
      </c>
      <c r="D128" s="547" t="inlineStr">
        <is>
          <t>Generated Accessible Command Palette / Search Menu Component (components/command-palette.tsx)</t>
        </is>
      </c>
      <c r="E128"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28" s="547" t="inlineStr">
        <is>
          <t>P1</t>
        </is>
      </c>
      <c r="G128" s="547" t="inlineStr">
        <is>
          <t>Codex</t>
        </is>
      </c>
      <c r="H128" s="547" t="inlineStr">
        <is>
          <t>Done</t>
        </is>
      </c>
      <c r="I128" s="547" t="n">
        <v>1</v>
      </c>
      <c r="J128" s="547" t="inlineStr">
        <is>
          <t>R-329</t>
        </is>
      </c>
      <c r="K128" s="547" t="inlineStr">
        <is>
          <t>Founder Stage 0</t>
        </is>
      </c>
      <c r="L128" s="547" t="inlineStr">
        <is>
          <t>task verify 1,271 tests (13 new in test_command_palette_component.py); task lint + security:quick + env:check pass; builder:demo minimal-blog passes (67 files); builder:demo rideshare-favourites passes (64 files); offline/deterministic, 0 model calls.</t>
        </is>
      </c>
      <c r="M128" s="547" t="inlineStr">
        <is>
          <t>Generated Next.js web application command palette component. Reconstructed from Brief Sections 26, 27, 74, 77, 92.</t>
        </is>
      </c>
    </row>
    <row r="129" ht="34" customHeight="1" s="401">
      <c r="A129" s="547" t="inlineStr">
        <is>
          <t>R-329</t>
        </is>
      </c>
      <c r="B129" s="547" t="inlineStr">
        <is>
          <t>MVP</t>
        </is>
      </c>
      <c r="C129" s="547" t="inlineStr">
        <is>
          <t>Builder</t>
        </is>
      </c>
      <c r="D129" s="547" t="inlineStr">
        <is>
          <t>Generated Accessible Reusable Data Grid / Table Component (components/data-grid.tsx)</t>
        </is>
      </c>
      <c r="E129"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29" s="547" t="inlineStr">
        <is>
          <t>P1</t>
        </is>
      </c>
      <c r="G129" s="547" t="inlineStr">
        <is>
          <t>Codex</t>
        </is>
      </c>
      <c r="H129" s="547" t="inlineStr">
        <is>
          <t>Done</t>
        </is>
      </c>
      <c r="I129" s="547" t="n">
        <v>1</v>
      </c>
      <c r="J129" s="547" t="inlineStr">
        <is>
          <t>R-328</t>
        </is>
      </c>
      <c r="K129" s="547" t="inlineStr">
        <is>
          <t>Founder Stage 0</t>
        </is>
      </c>
      <c r="L129" s="547" t="inlineStr">
        <is>
          <t>task verify 1,258 tests (13 new in test_data_grid_component.py); task lint + security:quick + env:check pass; builder:demo minimal-blog passes (66 files); builder:demo rideshare-favourites passes (63 files); offline/deterministic, 0 model calls.</t>
        </is>
      </c>
      <c r="M129" s="547" t="inlineStr">
        <is>
          <t>Generated Next.js web application data grid and table component. Reconstructed from Brief Sections 26, 27, 74, 77, 92.</t>
        </is>
      </c>
    </row>
    <row r="130" ht="34" customHeight="1" s="401">
      <c r="A130" s="547" t="inlineStr">
        <is>
          <t>R-328</t>
        </is>
      </c>
      <c r="B130" s="547" t="inlineStr">
        <is>
          <t>MVP</t>
        </is>
      </c>
      <c r="C130" s="547" t="inlineStr">
        <is>
          <t>Builder</t>
        </is>
      </c>
      <c r="D130" s="547" t="inlineStr">
        <is>
          <t>Generated Accessible Reusable Date Picker Component (components/date-picker.tsx)</t>
        </is>
      </c>
      <c r="E130"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30" s="547" t="inlineStr">
        <is>
          <t>P1</t>
        </is>
      </c>
      <c r="G130" s="547" t="inlineStr">
        <is>
          <t>Codex</t>
        </is>
      </c>
      <c r="H130" s="547" t="inlineStr">
        <is>
          <t>Done</t>
        </is>
      </c>
      <c r="I130" s="547" t="n">
        <v>1</v>
      </c>
      <c r="J130" s="547" t="inlineStr">
        <is>
          <t>R-327</t>
        </is>
      </c>
      <c r="K130" s="547" t="inlineStr">
        <is>
          <t>Founder Stage 0</t>
        </is>
      </c>
      <c r="L130" s="547" t="inlineStr">
        <is>
          <t>task verify 1,245 tests (13 new in test_date_picker_component.py); task lint + security:quick + env:check pass; builder:demo minimal-blog passes (65 files); builder:demo rideshare-favourites passes (62 files); offline/deterministic, 0 model calls.</t>
        </is>
      </c>
      <c r="M130" s="547" t="inlineStr">
        <is>
          <t>Generated Next.js web application date picker and calendar component. Reconstructed from Brief Sections 26, 27, 74, 77, 92.</t>
        </is>
      </c>
    </row>
    <row r="131" ht="34" customHeight="1" s="401">
      <c r="A131" s="547" t="inlineStr">
        <is>
          <t>R-327</t>
        </is>
      </c>
      <c r="B131" s="547" t="inlineStr">
        <is>
          <t>MVP</t>
        </is>
      </c>
      <c r="C131" s="547" t="inlineStr">
        <is>
          <t>Builder</t>
        </is>
      </c>
      <c r="D131" s="547" t="inlineStr">
        <is>
          <t>Generated Accessible Reusable Form Controls &amp; Input Primitives (components/form-controls.tsx)</t>
        </is>
      </c>
      <c r="E131"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31" s="547" t="inlineStr">
        <is>
          <t>P1</t>
        </is>
      </c>
      <c r="G131" s="547" t="inlineStr">
        <is>
          <t>Codex</t>
        </is>
      </c>
      <c r="H131" s="547" t="inlineStr">
        <is>
          <t>Done</t>
        </is>
      </c>
      <c r="I131" s="547" t="n">
        <v>1</v>
      </c>
      <c r="J131" s="547" t="inlineStr">
        <is>
          <t>R-326</t>
        </is>
      </c>
      <c r="K131" s="547" t="inlineStr">
        <is>
          <t>Founder Stage 0</t>
        </is>
      </c>
      <c r="L131" s="547" t="inlineStr">
        <is>
          <t>task verify 1,232 tests (13 new in test_form_controls_component.py); task lint + security:quick + env:check pass; builder:demo minimal-blog passes (64 files); builder:demo rideshare-favourites passes (61 files); offline/deterministic, 0 model calls.</t>
        </is>
      </c>
      <c r="M131" s="547" t="inlineStr">
        <is>
          <t>Generated Next.js web application form controls and input primitives component suite. Reconstructed from Brief Sections 26, 27, 74, 77, 92.</t>
        </is>
      </c>
    </row>
    <row r="132" ht="34" customHeight="1" s="401">
      <c r="A132" s="547" t="inlineStr">
        <is>
          <t>R-326</t>
        </is>
      </c>
      <c r="B132" s="547" t="inlineStr">
        <is>
          <t>MVP</t>
        </is>
      </c>
      <c r="C132" s="547" t="inlineStr">
        <is>
          <t>Builder</t>
        </is>
      </c>
      <c r="D132" s="547" t="inlineStr">
        <is>
          <t>Generated Accessible Reusable Dialog / Modal Component (components/dialog.tsx)</t>
        </is>
      </c>
      <c r="E132"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32" s="547" t="inlineStr">
        <is>
          <t>P1</t>
        </is>
      </c>
      <c r="G132" s="547" t="inlineStr">
        <is>
          <t>Codex</t>
        </is>
      </c>
      <c r="H132" s="547" t="inlineStr">
        <is>
          <t>Done</t>
        </is>
      </c>
      <c r="I132" s="547" t="n">
        <v>1</v>
      </c>
      <c r="J132" s="547" t="inlineStr">
        <is>
          <t>R-325</t>
        </is>
      </c>
      <c r="K132" s="547" t="inlineStr">
        <is>
          <t>Founder Stage 0</t>
        </is>
      </c>
      <c r="L132" s="547" t="inlineStr">
        <is>
          <t>task verify 1,219 tests (13 new in test_dialog_component.py); task lint + security:quick + env:check pass; builder:demo minimal-blog passes (63 files); builder:demo rideshare-favourites passes (60 files); offline/deterministic, 0 model calls.</t>
        </is>
      </c>
      <c r="M132" s="547" t="inlineStr">
        <is>
          <t>Generated Next.js web application compound dialog and modal component. Reconstructed from Brief Sections 26, 27, 74, 77, 92.</t>
        </is>
      </c>
    </row>
    <row r="133" ht="34" customHeight="1" s="401">
      <c r="A133" s="547" t="inlineStr">
        <is>
          <t>R-325</t>
        </is>
      </c>
      <c r="B133" s="547" t="inlineStr">
        <is>
          <t>MVP</t>
        </is>
      </c>
      <c r="C133" s="547" t="inlineStr">
        <is>
          <t>Builder</t>
        </is>
      </c>
      <c r="D133" s="547" t="inlineStr">
        <is>
          <t>Generated Theme Switcher / Mode Toggle Component (components/theme-toggle.tsx)</t>
        </is>
      </c>
      <c r="E133"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33" s="547" t="inlineStr">
        <is>
          <t>P1</t>
        </is>
      </c>
      <c r="G133" s="547" t="inlineStr">
        <is>
          <t>Codex</t>
        </is>
      </c>
      <c r="H133" s="547" t="inlineStr">
        <is>
          <t>Done</t>
        </is>
      </c>
      <c r="I133" s="547" t="n">
        <v>1</v>
      </c>
      <c r="J133" s="547" t="inlineStr">
        <is>
          <t>R-324</t>
        </is>
      </c>
      <c r="K133" s="547" t="inlineStr">
        <is>
          <t>Founder Stage 0</t>
        </is>
      </c>
      <c r="L133" s="547" t="inlineStr">
        <is>
          <t>task verify 1,206 tests (12 new in test_theme_toggle_component.py); task lint + security:quick + env:check pass; builder:demo minimal-blog passes (62 files); builder:demo rideshare-favourites passes (59 files); offline/deterministic, 0 model calls.</t>
        </is>
      </c>
      <c r="M133" s="547" t="inlineStr">
        <is>
          <t>Generated Next.js web application theme switcher and mode toggle component. Reconstructed from Brief Sections 26, 27, 74, 77, 92.</t>
        </is>
      </c>
    </row>
    <row r="134" ht="34" customHeight="1" s="401">
      <c r="A134" s="547" t="inlineStr">
        <is>
          <t>R-324</t>
        </is>
      </c>
      <c r="B134" s="547" t="inlineStr">
        <is>
          <t>MVP</t>
        </is>
      </c>
      <c r="C134" s="547" t="inlineStr">
        <is>
          <t>Builder</t>
        </is>
      </c>
      <c r="D134" s="547" t="inlineStr">
        <is>
          <t>Generated Design Tokens &amp; CSS Custom Properties Theming Engine (styles/tokens.css)</t>
        </is>
      </c>
      <c r="E134"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34" s="547" t="inlineStr">
        <is>
          <t>P1</t>
        </is>
      </c>
      <c r="G134" s="547" t="inlineStr">
        <is>
          <t>Codex</t>
        </is>
      </c>
      <c r="H134" s="547" t="inlineStr">
        <is>
          <t>Done</t>
        </is>
      </c>
      <c r="I134" s="547" t="n">
        <v>1</v>
      </c>
      <c r="J134" s="547" t="inlineStr">
        <is>
          <t>R-323</t>
        </is>
      </c>
      <c r="K134" s="547" t="inlineStr">
        <is>
          <t>Founder Stage 0</t>
        </is>
      </c>
      <c r="L134" s="547" t="inlineStr">
        <is>
          <t>task verify 1,194 tests (15 new in test_theming_tokens.py); task lint + security:quick + env:check pass; builder:demo minimal-blog passes (61 files); builder:demo rideshare-favourites passes (58 files); offline/deterministic, 0 model calls.</t>
        </is>
      </c>
      <c r="M134" s="547" t="inlineStr">
        <is>
          <t>Generated Next.js web application design tokens and CSS custom properties theming engine. Reconstructed from Brief Sections 26, 27, 74, 77, 92.</t>
        </is>
      </c>
    </row>
    <row r="135" ht="34" customHeight="1" s="401">
      <c r="A135" s="547" t="inlineStr">
        <is>
          <t>R-323</t>
        </is>
      </c>
      <c r="B135" s="547" t="inlineStr">
        <is>
          <t>MVP</t>
        </is>
      </c>
      <c r="C135" s="547" t="inlineStr">
        <is>
          <t>Builder</t>
        </is>
      </c>
      <c r="D135" s="547" t="inlineStr">
        <is>
          <t>Generated Accessible Reusable Popover Component (components/popover.tsx)</t>
        </is>
      </c>
      <c r="E135"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35" s="547" t="inlineStr">
        <is>
          <t>P1</t>
        </is>
      </c>
      <c r="G135" s="547" t="inlineStr">
        <is>
          <t>Codex</t>
        </is>
      </c>
      <c r="H135" s="547" t="inlineStr">
        <is>
          <t>Done</t>
        </is>
      </c>
      <c r="I135" s="547" t="n">
        <v>1</v>
      </c>
      <c r="J135" s="547" t="inlineStr">
        <is>
          <t>R-322</t>
        </is>
      </c>
      <c r="K135" s="547" t="inlineStr">
        <is>
          <t>Founder Stage 0</t>
        </is>
      </c>
      <c r="L135" s="547" t="inlineStr">
        <is>
          <t>task verify 1,179 tests (11 new in test_popover_component.py); task lint + security:quick + env:check pass; builder:demo minimal-blog passes (60 files); builder:demo rideshare-favourites passes (57 files); offline/deterministic, 0 model calls.</t>
        </is>
      </c>
      <c r="M135" s="547" t="inlineStr">
        <is>
          <t>Generated Next.js web application accessible reusable popover component. Reconstructed from Brief Sections 26, 27, 74, 77, 92.</t>
        </is>
      </c>
    </row>
    <row r="136" ht="34" customHeight="1" s="401">
      <c r="A136" s="547" t="inlineStr">
        <is>
          <t>R-322</t>
        </is>
      </c>
      <c r="B136" s="547" t="inlineStr">
        <is>
          <t>MVP</t>
        </is>
      </c>
      <c r="C136" s="547" t="inlineStr">
        <is>
          <t>Builder</t>
        </is>
      </c>
      <c r="D136" s="547" t="inlineStr">
        <is>
          <t>Generated Accessible Reusable Dropdown Menu Component (components/dropdown-menu.tsx)</t>
        </is>
      </c>
      <c r="E136"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36" s="547" t="inlineStr">
        <is>
          <t>P1</t>
        </is>
      </c>
      <c r="G136" s="547" t="inlineStr">
        <is>
          <t>Codex</t>
        </is>
      </c>
      <c r="H136" s="547" t="inlineStr">
        <is>
          <t>Done</t>
        </is>
      </c>
      <c r="I136" s="547" t="n">
        <v>1</v>
      </c>
      <c r="J136" s="547" t="inlineStr">
        <is>
          <t>R-321</t>
        </is>
      </c>
      <c r="K136" s="547" t="inlineStr">
        <is>
          <t>Founder Stage 0</t>
        </is>
      </c>
      <c r="L136" s="547" t="inlineStr">
        <is>
          <t>task verify 1,168 tests (11 new in test_dropdown_menu_component.py); task lint + security:quick + env:check pass; builder:demo minimal-blog passes (59 files); builder:demo rideshare-favourites passes (56 files); offline/deterministic, 0 model calls.</t>
        </is>
      </c>
      <c r="M136" s="547" t="inlineStr">
        <is>
          <t>Generated Next.js web application accessible reusable dropdown menu component. Reconstructed from Brief Sections 26, 27, 74, 77, 92.</t>
        </is>
      </c>
    </row>
    <row r="137" ht="34" customHeight="1" s="401">
      <c r="A137" s="547" t="inlineStr">
        <is>
          <t>R-321</t>
        </is>
      </c>
      <c r="B137" s="547" t="inlineStr">
        <is>
          <t>MVP</t>
        </is>
      </c>
      <c r="C137" s="547" t="inlineStr">
        <is>
          <t>Builder</t>
        </is>
      </c>
      <c r="D137" s="547" t="inlineStr">
        <is>
          <t>Generated Accessible Reusable Accordion Component (components/accordion.tsx)</t>
        </is>
      </c>
      <c r="E137"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37" s="547" t="inlineStr">
        <is>
          <t>P1</t>
        </is>
      </c>
      <c r="G137" s="547" t="inlineStr">
        <is>
          <t>Codex</t>
        </is>
      </c>
      <c r="H137" s="547" t="inlineStr">
        <is>
          <t>Done</t>
        </is>
      </c>
      <c r="I137" s="547" t="n">
        <v>1</v>
      </c>
      <c r="J137" s="547" t="inlineStr">
        <is>
          <t>R-320</t>
        </is>
      </c>
      <c r="K137" s="547" t="inlineStr">
        <is>
          <t>Founder Stage 0</t>
        </is>
      </c>
      <c r="L137" s="547" t="inlineStr">
        <is>
          <t>task verify 1,157 tests (11 new in test_accordion_component.py); task lint + security:quick + env:check pass; builder:demo minimal-blog passes (58 files); builder:demo rideshare-favourites passes (55 files); offline/deterministic, 0 model calls.</t>
        </is>
      </c>
      <c r="M137" s="547" t="inlineStr">
        <is>
          <t>Generated Next.js web application accessible reusable accordion component. Reconstructed from Brief Sections 26, 27, 74, 77, 92.</t>
        </is>
      </c>
    </row>
    <row r="138" ht="34" customHeight="1" s="401">
      <c r="A138" s="547" t="inlineStr">
        <is>
          <t>R-320</t>
        </is>
      </c>
      <c r="B138" s="547" t="inlineStr">
        <is>
          <t>MVP</t>
        </is>
      </c>
      <c r="C138" s="547" t="inlineStr">
        <is>
          <t>Builder</t>
        </is>
      </c>
      <c r="D138" s="547" t="inlineStr">
        <is>
          <t>Generated Accessible Reusable Toggle Switch Component (components/toggle.tsx)</t>
        </is>
      </c>
      <c r="E138"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38" s="547" t="inlineStr">
        <is>
          <t>P1</t>
        </is>
      </c>
      <c r="G138" s="547" t="inlineStr">
        <is>
          <t>Codex</t>
        </is>
      </c>
      <c r="H138" s="547" t="inlineStr">
        <is>
          <t>Done</t>
        </is>
      </c>
      <c r="I138" s="547" t="n">
        <v>1</v>
      </c>
      <c r="J138" s="547" t="inlineStr">
        <is>
          <t>R-319</t>
        </is>
      </c>
      <c r="K138" s="547" t="inlineStr">
        <is>
          <t>Founder Stage 0</t>
        </is>
      </c>
      <c r="L138" s="547" t="inlineStr">
        <is>
          <t>task verify 1,146 tests (11 new in test_toggle_component.py); task lint + security:quick + env:check pass; builder:demo minimal-blog passes (57 files); builder:demo rideshare-favourites passes (54 files); offline/deterministic, 0 model calls.</t>
        </is>
      </c>
      <c r="M138" s="547" t="inlineStr">
        <is>
          <t>Generated Next.js web application accessible reusable toggle switch component. Reconstructed from Brief Sections 26, 27, 74, 77, 92.</t>
        </is>
      </c>
    </row>
    <row r="139" ht="34" customHeight="1" s="401">
      <c r="A139" s="547" t="inlineStr">
        <is>
          <t>R-319</t>
        </is>
      </c>
      <c r="B139" s="547" t="inlineStr">
        <is>
          <t>MVP</t>
        </is>
      </c>
      <c r="C139" s="547" t="inlineStr">
        <is>
          <t>Builder</t>
        </is>
      </c>
      <c r="D139" s="547" t="inlineStr">
        <is>
          <t>Generated Accessible Reusable Avatar Component (components/avatar.tsx)</t>
        </is>
      </c>
      <c r="E139"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39" s="547" t="inlineStr">
        <is>
          <t>P1</t>
        </is>
      </c>
      <c r="G139" s="547" t="inlineStr">
        <is>
          <t>Codex</t>
        </is>
      </c>
      <c r="H139" s="547" t="inlineStr">
        <is>
          <t>Done</t>
        </is>
      </c>
      <c r="I139" s="547" t="n">
        <v>1</v>
      </c>
      <c r="J139" s="547" t="inlineStr">
        <is>
          <t>R-318</t>
        </is>
      </c>
      <c r="K139" s="547" t="inlineStr">
        <is>
          <t>Founder Stage 0</t>
        </is>
      </c>
      <c r="L139" s="547" t="inlineStr">
        <is>
          <t>task verify 1,135 tests (11 new in test_avatar_component.py); task lint + security:quick + env:check pass; builder:demo minimal-blog passes (56 files); builder:demo rideshare-favourites passes (53 files); offline/deterministic, 0 model calls.</t>
        </is>
      </c>
      <c r="M139" s="547" t="inlineStr">
        <is>
          <t>Generated Next.js web application accessible reusable avatar and avatar group component. Reconstructed from Brief Sections 26, 27, 74, 77, 92.</t>
        </is>
      </c>
    </row>
    <row r="140" ht="34" customHeight="1" s="401">
      <c r="A140" s="547" t="inlineStr">
        <is>
          <t>R-318</t>
        </is>
      </c>
      <c r="B140" s="547" t="inlineStr">
        <is>
          <t>MVP</t>
        </is>
      </c>
      <c r="C140" s="547" t="inlineStr">
        <is>
          <t>Builder</t>
        </is>
      </c>
      <c r="D140" s="547" t="inlineStr">
        <is>
          <t>Generated Accessible Reusable Drawer / Sheet Component (components/drawer.tsx)</t>
        </is>
      </c>
      <c r="E140"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40" s="547" t="inlineStr">
        <is>
          <t>P1</t>
        </is>
      </c>
      <c r="G140" s="547" t="inlineStr">
        <is>
          <t>Codex</t>
        </is>
      </c>
      <c r="H140" s="547" t="inlineStr">
        <is>
          <t>Done</t>
        </is>
      </c>
      <c r="I140" s="547" t="n">
        <v>1</v>
      </c>
      <c r="J140" s="547" t="inlineStr">
        <is>
          <t>R-317</t>
        </is>
      </c>
      <c r="K140" s="547" t="inlineStr">
        <is>
          <t>Founder Stage 0</t>
        </is>
      </c>
      <c r="L140" s="547" t="inlineStr">
        <is>
          <t>task verify 1,124 tests (11 new in test_drawer_component.py); task lint + security:quick + env:check pass; builder:demo minimal-blog passes (55 files); builder:demo rideshare-favourites passes (52 files); offline/deterministic, 0 model calls.</t>
        </is>
      </c>
      <c r="M140" s="547" t="inlineStr">
        <is>
          <t>Generated Next.js web application accessible reusable drawer / sheet component. Reconstructed from Brief Sections 26, 27, 74, 77, 92.</t>
        </is>
      </c>
    </row>
    <row r="141" ht="34" customHeight="1" s="401">
      <c r="A141" s="547" t="inlineStr">
        <is>
          <t>R-317</t>
        </is>
      </c>
      <c r="B141" s="547" t="inlineStr">
        <is>
          <t>MVP</t>
        </is>
      </c>
      <c r="C141" s="547" t="inlineStr">
        <is>
          <t>Builder</t>
        </is>
      </c>
      <c r="D141" s="547" t="inlineStr">
        <is>
          <t>Generated Accessible Reusable Skeleton Loader Component (components/skeleton.tsx)</t>
        </is>
      </c>
      <c r="E141"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41" s="547" t="inlineStr">
        <is>
          <t>P1</t>
        </is>
      </c>
      <c r="G141" s="547" t="inlineStr">
        <is>
          <t>Codex</t>
        </is>
      </c>
      <c r="H141" s="547" t="inlineStr">
        <is>
          <t>Done</t>
        </is>
      </c>
      <c r="I141" s="547" t="n">
        <v>1</v>
      </c>
      <c r="J141" s="547" t="inlineStr">
        <is>
          <t>R-316</t>
        </is>
      </c>
      <c r="K141" s="547" t="inlineStr">
        <is>
          <t>Founder Stage 0</t>
        </is>
      </c>
      <c r="L141" s="547" t="inlineStr">
        <is>
          <t>task verify 1,113 tests (10 new in test_skeleton_component.py); task lint + security:quick + env:check pass; builder:demo minimal-blog passes (54 files); builder:demo rideshare-favourites passes (51 files); offline/deterministic, 0 model calls.</t>
        </is>
      </c>
      <c r="M141" s="547" t="inlineStr">
        <is>
          <t>Generated Next.js web application accessible reusable skeleton loader component. Reconstructed from Brief Sections 26, 27, 74, 77, 92.</t>
        </is>
      </c>
    </row>
    <row r="142" ht="34" customHeight="1" s="401">
      <c r="A142" s="547" t="inlineStr">
        <is>
          <t>R-316</t>
        </is>
      </c>
      <c r="B142" s="547" t="inlineStr">
        <is>
          <t>MVP</t>
        </is>
      </c>
      <c r="C142" s="547" t="inlineStr">
        <is>
          <t>Builder</t>
        </is>
      </c>
      <c r="D142" s="547" t="inlineStr">
        <is>
          <t>Generated Accessible Reusable Alert &amp; Notification Component (components/alert.tsx)</t>
        </is>
      </c>
      <c r="E142"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42" s="547" t="inlineStr">
        <is>
          <t>P1</t>
        </is>
      </c>
      <c r="G142" s="547" t="inlineStr">
        <is>
          <t>Codex</t>
        </is>
      </c>
      <c r="H142" s="547" t="inlineStr">
        <is>
          <t>Done</t>
        </is>
      </c>
      <c r="I142" s="547" t="n">
        <v>1</v>
      </c>
      <c r="J142" s="547" t="inlineStr">
        <is>
          <t>R-315</t>
        </is>
      </c>
      <c r="K142" s="547" t="inlineStr">
        <is>
          <t>Founder Stage 0</t>
        </is>
      </c>
      <c r="L142" s="547" t="inlineStr">
        <is>
          <t>task verify 1,103 tests (10 new in test_alert_component.py); task lint + security:quick + env:check pass; builder:demo minimal-blog passes (53 files); builder:demo rideshare-favourites passes (50 files); offline/deterministic, 0 model calls.</t>
        </is>
      </c>
      <c r="M142" s="547" t="inlineStr">
        <is>
          <t>Generated Next.js web application accessible reusable alert component. Reconstructed from Brief Sections 26, 27, 74, 77, 92.</t>
        </is>
      </c>
    </row>
    <row r="143" ht="34" customHeight="1" s="401">
      <c r="A143" s="547" t="inlineStr">
        <is>
          <t>R-315</t>
        </is>
      </c>
      <c r="B143" s="547" t="inlineStr">
        <is>
          <t>MVP</t>
        </is>
      </c>
      <c r="C143" s="547" t="inlineStr">
        <is>
          <t>Builder</t>
        </is>
      </c>
      <c r="D143" s="547" t="inlineStr">
        <is>
          <t>Generated Accessible Reusable Card Component (components/card.tsx)</t>
        </is>
      </c>
      <c r="E143"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43" s="547" t="inlineStr">
        <is>
          <t>P1</t>
        </is>
      </c>
      <c r="G143" s="547" t="inlineStr">
        <is>
          <t>Codex</t>
        </is>
      </c>
      <c r="H143" s="547" t="inlineStr">
        <is>
          <t>Done</t>
        </is>
      </c>
      <c r="I143" s="547" t="n">
        <v>1</v>
      </c>
      <c r="J143" s="547" t="inlineStr">
        <is>
          <t>R-314</t>
        </is>
      </c>
      <c r="K143" s="547" t="inlineStr">
        <is>
          <t>Founder Stage 0</t>
        </is>
      </c>
      <c r="L143" s="547" t="inlineStr">
        <is>
          <t>task verify 1,093 tests (11 new in test_card_component.py); task lint + security:quick + env:check pass; builder:demo minimal-blog passes (52 files); builder:demo rideshare-favourites passes (49 files); offline/deterministic, 0 model calls.</t>
        </is>
      </c>
      <c r="M143" s="547" t="inlineStr">
        <is>
          <t>Generated Next.js web application accessible reusable card component. Reconstructed from Brief Sections 26, 27, 74, 77, 92.</t>
        </is>
      </c>
    </row>
    <row r="144" ht="34" customHeight="1" s="401">
      <c r="A144" t="inlineStr">
        <is>
          <t>R-314</t>
        </is>
      </c>
      <c r="B144" t="inlineStr">
        <is>
          <t>MVP</t>
        </is>
      </c>
      <c r="C144" t="inlineStr">
        <is>
          <t>Builder</t>
        </is>
      </c>
      <c r="D144" t="inlineStr">
        <is>
          <t>Generated Accessible Reusable Tooltip Component (components/tooltip.tsx)</t>
        </is>
      </c>
      <c r="E144"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44" t="inlineStr">
        <is>
          <t>P1</t>
        </is>
      </c>
      <c r="G144" t="inlineStr">
        <is>
          <t>Codex</t>
        </is>
      </c>
      <c r="H144" t="inlineStr">
        <is>
          <t>Done</t>
        </is>
      </c>
      <c r="I144" t="n">
        <v>1</v>
      </c>
      <c r="J144" t="inlineStr">
        <is>
          <t>R-313</t>
        </is>
      </c>
      <c r="K144" t="inlineStr">
        <is>
          <t>Founder Stage 0</t>
        </is>
      </c>
      <c r="L144" t="inlineStr">
        <is>
          <t>task verify 1,082 tests (8 new in test_tooltip_component.py); task lint + security:quick + env:check pass; builder:demo minimal-blog passes (51 files); builder:demo rideshare-favourites passes (48 files); offline/deterministic, 0 model calls.</t>
        </is>
      </c>
      <c r="M144" t="inlineStr">
        <is>
          <t>Generated Next.js web application accessible reusable tooltip component. Reconstructed from Brief Sections 26, 27, 74, 77, 92.</t>
        </is>
      </c>
    </row>
    <row r="145" ht="34" customHeight="1" s="401">
      <c r="A145" t="inlineStr">
        <is>
          <t>R-313</t>
        </is>
      </c>
      <c r="B145" t="inlineStr">
        <is>
          <t>MVP</t>
        </is>
      </c>
      <c r="C145" t="inlineStr">
        <is>
          <t>Builder</t>
        </is>
      </c>
      <c r="D145" t="inlineStr">
        <is>
          <t>Generated Collection Table Column Visibility Dropdown / Selector Controls</t>
        </is>
      </c>
      <c r="E145"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45" t="inlineStr">
        <is>
          <t>P1</t>
        </is>
      </c>
      <c r="G145" t="inlineStr">
        <is>
          <t>Codex</t>
        </is>
      </c>
      <c r="H145" t="inlineStr">
        <is>
          <t>Done</t>
        </is>
      </c>
      <c r="I145" t="n">
        <v>1</v>
      </c>
      <c r="J145" t="inlineStr">
        <is>
          <t>R-312</t>
        </is>
      </c>
      <c r="K145" t="inlineStr">
        <is>
          <t>Founder Stage 0</t>
        </is>
      </c>
      <c r="L145" t="inlineStr">
        <is>
          <t>task verify 1,074 tests (11 new in test_column_visibility.py); task lint + security:quick + env:check pass; builder:demo minimal-blog passes (50 files); builder:demo rideshare-favourites passes (47 files); offline/deterministic, 0 model calls.</t>
        </is>
      </c>
      <c r="M145" t="inlineStr">
        <is>
          <t>Generated Next.js web application collection table column visibility selector controls. Reconstructed from Brief Sections 26, 27, 74, 77, 92.</t>
        </is>
      </c>
    </row>
    <row r="146" ht="34" customHeight="1" s="401">
      <c r="A146" t="inlineStr">
        <is>
          <t>R-312</t>
        </is>
      </c>
      <c r="B146" t="inlineStr">
        <is>
          <t>MVP</t>
        </is>
      </c>
      <c r="C146" t="inlineStr">
        <is>
          <t>Builder</t>
        </is>
      </c>
      <c r="D146" t="inlineStr">
        <is>
          <t>Generated Accessible Reusable Badge &amp; Status Pill Component (components/badge.tsx)</t>
        </is>
      </c>
      <c r="E146"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46" t="inlineStr">
        <is>
          <t>P1</t>
        </is>
      </c>
      <c r="G146" t="inlineStr">
        <is>
          <t>Codex</t>
        </is>
      </c>
      <c r="H146" t="inlineStr">
        <is>
          <t>Done</t>
        </is>
      </c>
      <c r="I146" t="n">
        <v>1</v>
      </c>
      <c r="J146" t="inlineStr">
        <is>
          <t>R-311</t>
        </is>
      </c>
      <c r="K146" t="inlineStr">
        <is>
          <t>Founder Stage 0</t>
        </is>
      </c>
      <c r="L146" t="inlineStr">
        <is>
          <t>task verify 1,063 tests (12 new in test_badge_component.py); task lint + security:quick + env:check pass; builder:demo minimal-blog passes (50 files); builder:demo rideshare-favourites passes (47 files); offline/deterministic, 0 model calls.</t>
        </is>
      </c>
      <c r="M146" t="inlineStr">
        <is>
          <t>Generated Next.js web application accessible reusable badge and status pill component. Reconstructed from Brief Sections 26, 27, 74, 77, 92.</t>
        </is>
      </c>
    </row>
    <row r="147" ht="34" customHeight="1" s="401">
      <c r="A147" t="inlineStr">
        <is>
          <t>R-311</t>
        </is>
      </c>
      <c r="B147" t="inlineStr">
        <is>
          <t>MVP</t>
        </is>
      </c>
      <c r="C147" t="inlineStr">
        <is>
          <t>Builder</t>
        </is>
      </c>
      <c r="D147" t="inlineStr">
        <is>
          <t>Generated Collection Table Display Density Toggle (Compact, Comfortable, Spacious)</t>
        </is>
      </c>
      <c r="E147"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47" t="inlineStr">
        <is>
          <t>P1</t>
        </is>
      </c>
      <c r="G147" t="inlineStr">
        <is>
          <t>Codex</t>
        </is>
      </c>
      <c r="H147" t="inlineStr">
        <is>
          <t>Done</t>
        </is>
      </c>
      <c r="I147" t="n">
        <v>1</v>
      </c>
      <c r="J147" t="inlineStr">
        <is>
          <t>R-310</t>
        </is>
      </c>
      <c r="K147" t="inlineStr">
        <is>
          <t>Founder Stage 0</t>
        </is>
      </c>
      <c r="L147" t="inlineStr">
        <is>
          <t>task verify 1,051 tests (10 new in test_table_density.py); task lint + security:quick + env:check pass; builder:demo minimal-blog passes (49 files); builder:demo rideshare-favourites passes (46 files); offline/deterministic, 0 model calls.</t>
        </is>
      </c>
      <c r="M147" t="inlineStr">
        <is>
          <t>Generated Next.js web application collection screen table display density controls. Reconstructed from Brief Sections 26, 27, 74, 77, 92.</t>
        </is>
      </c>
    </row>
    <row r="148" ht="34" customHeight="1" s="401">
      <c r="A148" t="inlineStr">
        <is>
          <t>R-310</t>
        </is>
      </c>
      <c r="B148" t="inlineStr">
        <is>
          <t>MVP</t>
        </is>
      </c>
      <c r="C148" t="inlineStr">
        <is>
          <t>Builder</t>
        </is>
      </c>
      <c r="D148" t="inlineStr">
        <is>
          <t>Generated Accessible Reusable Tabs Component (components/tabs.tsx)</t>
        </is>
      </c>
      <c r="E148"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48" t="inlineStr">
        <is>
          <t>P1</t>
        </is>
      </c>
      <c r="G148" t="inlineStr">
        <is>
          <t>Codex</t>
        </is>
      </c>
      <c r="H148" t="inlineStr">
        <is>
          <t>Done</t>
        </is>
      </c>
      <c r="I148" t="n">
        <v>1</v>
      </c>
      <c r="J148" t="inlineStr">
        <is>
          <t>R-309</t>
        </is>
      </c>
      <c r="K148" t="inlineStr">
        <is>
          <t>Founder Stage 0</t>
        </is>
      </c>
      <c r="L148" t="inlineStr">
        <is>
          <t>task verify 1,041 tests (12 new in test_tabs_component.py); task lint + security:quick + env:check pass; builder:demo minimal-blog passes (49 files); builder:demo rideshare-favourites passes (46 files); offline/deterministic, 0 model calls.</t>
        </is>
      </c>
      <c r="M148" t="inlineStr">
        <is>
          <t>Generated Next.js web application accessible reusable tabs and tabpanel components. Reconstructed from Brief Sections 26, 27, 74, 77, 92.</t>
        </is>
      </c>
    </row>
    <row r="149" ht="34" customHeight="1" s="401">
      <c r="A149" t="inlineStr">
        <is>
          <t>R-309</t>
        </is>
      </c>
      <c r="B149" t="inlineStr">
        <is>
          <t>MVP</t>
        </is>
      </c>
      <c r="C149" t="inlineStr">
        <is>
          <t>Builder</t>
        </is>
      </c>
      <c r="D149" t="inlineStr">
        <is>
          <t>Generated Accessible Reusable Pagination Component (components/pagination.tsx)</t>
        </is>
      </c>
      <c r="E149"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49" t="inlineStr">
        <is>
          <t>P1</t>
        </is>
      </c>
      <c r="G149" t="inlineStr">
        <is>
          <t>Codex</t>
        </is>
      </c>
      <c r="H149" t="inlineStr">
        <is>
          <t>Done</t>
        </is>
      </c>
      <c r="I149" t="n">
        <v>1</v>
      </c>
      <c r="J149" t="inlineStr">
        <is>
          <t>R-308</t>
        </is>
      </c>
      <c r="K149" t="inlineStr">
        <is>
          <t>Founder Stage 0</t>
        </is>
      </c>
      <c r="L149" t="inlineStr">
        <is>
          <t>task verify 1,029 tests (12 new in test_pagination_component.py); task lint + security:quick + env:check pass; builder:demo minimal-blog passes (48 files); builder:demo rideshare-favourites passes (45 files); offline/deterministic, 0 model calls.</t>
        </is>
      </c>
      <c r="M149" t="inlineStr">
        <is>
          <t>Generated Next.js web application accessible reusable pagination component. Reconstructed from Brief Sections 26, 27, 74, 77, 92.</t>
        </is>
      </c>
    </row>
    <row r="150" ht="34" customHeight="1" s="401">
      <c r="A150" t="inlineStr">
        <is>
          <t>R-308</t>
        </is>
      </c>
      <c r="B150" t="inlineStr">
        <is>
          <t>MVP</t>
        </is>
      </c>
      <c r="C150" t="inlineStr">
        <is>
          <t>Builder</t>
        </is>
      </c>
      <c r="D150" t="inlineStr">
        <is>
          <t>Generated Collection Screen JSON Data Export &amp; Bulk Selection Export Controls</t>
        </is>
      </c>
      <c r="E150" t="inlineStr">
        <is>
          <t>Add handleExportJson helper, top toolbar Export JSON button, and bulk action bar Export JSON button with 2-space formatted JSON blob download and toast notification feedback in generated Next.js collection screens.</t>
        </is>
      </c>
      <c r="F150" t="inlineStr">
        <is>
          <t>P0</t>
        </is>
      </c>
      <c r="G150" t="inlineStr">
        <is>
          <t>Codex</t>
        </is>
      </c>
      <c r="H150" t="inlineStr">
        <is>
          <t>Done</t>
        </is>
      </c>
      <c r="I150" t="n">
        <v>1</v>
      </c>
      <c r="J150" t="inlineStr">
        <is>
          <t>None</t>
        </is>
      </c>
      <c r="K150" t="inlineStr">
        <is>
          <t>Founder Stage 0</t>
        </is>
      </c>
      <c r="L150" t="inlineStr">
        <is>
          <t>task verify: PASS (1017 tests); test_collection_json_export.py passing</t>
        </is>
      </c>
      <c r="M150" t="inlineStr">
        <is>
          <t>Implemented cleanly test-first with 0 npm dependencies, diff invariance, and all gates passing.</t>
        </is>
      </c>
    </row>
    <row r="151" ht="34" customHeight="1" s="401">
      <c r="A151" t="inlineStr">
        <is>
          <t>R-307</t>
        </is>
      </c>
      <c r="B151" t="inlineStr">
        <is>
          <t>MVP</t>
        </is>
      </c>
      <c r="C151" t="inlineStr">
        <is>
          <t>Builder</t>
        </is>
      </c>
      <c r="D151" t="inlineStr">
        <is>
          <t>Generated Accessible EmptyState Component &amp; Screen Zero-State Integrations</t>
        </is>
      </c>
      <c r="E151" t="inlineStr">
        <is>
          <t>Add reusable WAI-ARIA compliant EmptyState component in apps/web/components/empty-state.tsx with vector icon choices, title, description, and primary/secondary action dispatch. Wire into overview screen zero-state fallback.</t>
        </is>
      </c>
      <c r="F151" t="inlineStr">
        <is>
          <t>P0</t>
        </is>
      </c>
      <c r="G151" t="inlineStr">
        <is>
          <t>Codex</t>
        </is>
      </c>
      <c r="H151" t="inlineStr">
        <is>
          <t>Done</t>
        </is>
      </c>
      <c r="I151" t="n">
        <v>1</v>
      </c>
      <c r="J151" t="inlineStr">
        <is>
          <t>None</t>
        </is>
      </c>
      <c r="K151" t="inlineStr">
        <is>
          <t>Founder Stage 0</t>
        </is>
      </c>
      <c r="L151" t="inlineStr">
        <is>
          <t>task verify: PASS (1009 tests); test_empty_state.py passing</t>
        </is>
      </c>
      <c r="M151" t="inlineStr">
        <is>
          <t>Implemented cleanly test-first with 0 npm dependencies, diff invariance, and all gates passing.</t>
        </is>
      </c>
    </row>
    <row r="152" ht="34" customHeight="1" s="401">
      <c r="A152" t="inlineStr">
        <is>
          <t>R-306</t>
        </is>
      </c>
      <c r="B152" t="inlineStr">
        <is>
          <t>MVP</t>
        </is>
      </c>
      <c r="C152" t="inlineStr">
        <is>
          <t>Builder</t>
        </is>
      </c>
      <c r="D152" t="inlineStr">
        <is>
          <t>Generated Accessible Breadcrumb Navigation Component &amp; Screen Hierarchy</t>
        </is>
      </c>
      <c r="E152"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52" t="inlineStr">
        <is>
          <t>P1</t>
        </is>
      </c>
      <c r="G152" t="inlineStr">
        <is>
          <t>Claude (Opus 4.8)</t>
        </is>
      </c>
      <c r="H152" t="inlineStr">
        <is>
          <t>Done</t>
        </is>
      </c>
      <c r="I152" t="n">
        <v>1</v>
      </c>
      <c r="J152" t="inlineStr">
        <is>
          <t>R-305</t>
        </is>
      </c>
      <c r="K152" t="inlineStr">
        <is>
          <t>Founder Stage 0</t>
        </is>
      </c>
      <c r="L152" t="inlineStr">
        <is>
          <t>task verify 998 tests (9 new in test_breadcrumbs.py); task lint + security:quick + env:check pass; builder:demo minimal-blog passes (46 files); components/breadcrumbs.tsx inspected; offline/deterministic, 0 model calls.</t>
        </is>
      </c>
      <c r="M152" t="inlineStr">
        <is>
          <t>Generated Next.js web application breadcrumb navigation component and screen hierarchy. Reconstructed from Brief Sections 26, 27, 74, 77, 92.</t>
        </is>
      </c>
    </row>
    <row r="153" ht="34" customHeight="1" s="401">
      <c r="A153" t="inlineStr">
        <is>
          <t>R-305</t>
        </is>
      </c>
      <c r="B153" t="inlineStr">
        <is>
          <t>MVP</t>
        </is>
      </c>
      <c r="C153" t="inlineStr">
        <is>
          <t>Builder</t>
        </is>
      </c>
      <c r="D153" t="inlineStr">
        <is>
          <t>Generated Keyboard Shortcuts Help Modal &amp; Global Discovery Affordance</t>
        </is>
      </c>
      <c r="E153"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53" t="inlineStr">
        <is>
          <t>P1</t>
        </is>
      </c>
      <c r="G153" t="inlineStr">
        <is>
          <t>Claude (Opus 4.8)</t>
        </is>
      </c>
      <c r="H153" t="inlineStr">
        <is>
          <t>Done</t>
        </is>
      </c>
      <c r="I153" t="n">
        <v>1</v>
      </c>
      <c r="J153" t="inlineStr">
        <is>
          <t>R-304</t>
        </is>
      </c>
      <c r="K153" t="inlineStr">
        <is>
          <t>Founder Stage 0</t>
        </is>
      </c>
      <c r="L153" t="inlineStr">
        <is>
          <t>task verify 989 tests (14 new in test_shortcuts_dialog.py); task lint + security:quick + env:check pass; builder:demo minimal-blog passes; components/shortcuts-dialog.tsx inspected; offline/deterministic, 0 model calls.</t>
        </is>
      </c>
      <c r="M153" t="inlineStr">
        <is>
          <t>Generated Next.js web application keyboard shortcut discovery, modal documentation, and accessibility. Reconstructed from Brief Sections 26, 27, 74, 77, 92.</t>
        </is>
      </c>
    </row>
    <row r="154" ht="34" customHeight="1" s="401">
      <c r="A154" t="inlineStr">
        <is>
          <t>R-304</t>
        </is>
      </c>
      <c r="B154" t="inlineStr">
        <is>
          <t>MVP</t>
        </is>
      </c>
      <c r="C154" t="inlineStr">
        <is>
          <t>Builder</t>
        </is>
      </c>
      <c r="D154" t="inlineStr">
        <is>
          <t>Generated Accessible Confirmation Dialog — Replace window.confirm() with ConfirmDialog Component</t>
        </is>
      </c>
      <c r="E154"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54" t="inlineStr">
        <is>
          <t>P1</t>
        </is>
      </c>
      <c r="G154" t="inlineStr">
        <is>
          <t>Claude (Opus 4.8)</t>
        </is>
      </c>
      <c r="H154" t="inlineStr">
        <is>
          <t>Done</t>
        </is>
      </c>
      <c r="I154" t="n">
        <v>1</v>
      </c>
      <c r="J154" t="inlineStr">
        <is>
          <t>R-303</t>
        </is>
      </c>
      <c r="K154" t="inlineStr">
        <is>
          <t>Founder Stage 0</t>
        </is>
      </c>
      <c r="L154" t="inlineStr">
        <is>
          <t>task verify 975 tests (31 new in test_confirm_dialog.py); task lint + security:quick + env:check pass; builder:demo minimal-blog passes; zero window.confirm() in screens; offline/deterministic, 0 model calls.</t>
        </is>
      </c>
      <c r="M154" t="inlineStr">
        <is>
          <t>Generated Next.js web application modal confirmation dialog, accessibility, and destructive action safety. Reconstructed from Brief Sections 26, 27, 74, 77, 92.</t>
        </is>
      </c>
    </row>
    <row r="155" ht="34" customHeight="1" s="401">
      <c r="A155" t="inlineStr">
        <is>
          <t>R-303</t>
        </is>
      </c>
      <c r="B155" t="inlineStr">
        <is>
          <t>MVP</t>
        </is>
      </c>
      <c r="C155" t="inlineStr">
        <is>
          <t>Builder</t>
        </is>
      </c>
      <c r="D155" t="inlineStr">
        <is>
          <t>Generated Dashboard Overview Interactive Entity Links, Operational Health Badge &amp; Metrics Chips</t>
        </is>
      </c>
      <c r="E155"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55" t="inlineStr">
        <is>
          <t>P1</t>
        </is>
      </c>
      <c r="G155" t="inlineStr">
        <is>
          <t>Claude (Opus 4.8)</t>
        </is>
      </c>
      <c r="H155" t="inlineStr">
        <is>
          <t>Done</t>
        </is>
      </c>
      <c r="I155" t="n">
        <v>1</v>
      </c>
      <c r="J155" t="inlineStr">
        <is>
          <t>R-302</t>
        </is>
      </c>
      <c r="K155" t="inlineStr">
        <is>
          <t>Founder Stage 0</t>
        </is>
      </c>
      <c r="L155"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55" t="inlineStr">
        <is>
          <t>Generated Next.js web application overview dashboard interactivity, operational health signaling, and metrics counters increment. Reconstructed from Brief Sections 26, 27, 74, 77, 92.</t>
        </is>
      </c>
    </row>
    <row r="156" ht="34" customHeight="1" s="401">
      <c r="A156" t="inlineStr">
        <is>
          <t>R-302</t>
        </is>
      </c>
      <c r="B156" t="inlineStr">
        <is>
          <t>MVP</t>
        </is>
      </c>
      <c r="C156" t="inlineStr">
        <is>
          <t>Builder</t>
        </is>
      </c>
      <c r="D156" t="inlineStr">
        <is>
          <t>Generated Collection Screen Boolean &amp; Enum Visual Status Badges &amp; Detail Screen One-Click Copy-to-Clipboard Affordances</t>
        </is>
      </c>
      <c r="E156"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56" t="inlineStr">
        <is>
          <t>P1</t>
        </is>
      </c>
      <c r="G156" t="inlineStr">
        <is>
          <t>Claude (Opus 4.8)</t>
        </is>
      </c>
      <c r="H156" t="inlineStr">
        <is>
          <t>Done</t>
        </is>
      </c>
      <c r="I156" t="n">
        <v>1</v>
      </c>
      <c r="J156" t="inlineStr">
        <is>
          <t>R-301</t>
        </is>
      </c>
      <c r="K156" t="inlineStr">
        <is>
          <t>Founder Stage 0</t>
        </is>
      </c>
      <c r="L156"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56" t="inlineStr">
        <is>
          <t>Generated Next.js web application visual hierarchy, status signaling, and detail copy workflow increment. Reconstructed from Brief Sections 26, 27, 74, 77, 92.</t>
        </is>
      </c>
    </row>
    <row r="157" ht="34" customHeight="1" s="401">
      <c r="A157" t="inlineStr">
        <is>
          <t>R-301</t>
        </is>
      </c>
      <c r="B157" t="inlineStr">
        <is>
          <t>MVP</t>
        </is>
      </c>
      <c r="C157" t="inlineStr">
        <is>
          <t>Builder</t>
        </is>
      </c>
      <c r="D157" t="inlineStr">
        <is>
          <t>Generated Web Search Input Clear Affordances &amp; Form Screen First-Field AutoFocus</t>
        </is>
      </c>
      <c r="E157"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57" t="inlineStr">
        <is>
          <t>P1</t>
        </is>
      </c>
      <c r="G157" t="inlineStr">
        <is>
          <t>Claude (Opus 4.8)</t>
        </is>
      </c>
      <c r="H157" t="inlineStr">
        <is>
          <t>Done</t>
        </is>
      </c>
      <c r="I157" t="n">
        <v>1</v>
      </c>
      <c r="J157" t="inlineStr">
        <is>
          <t>R-300</t>
        </is>
      </c>
      <c r="K157" t="inlineStr">
        <is>
          <t>Founder Stage 0</t>
        </is>
      </c>
      <c r="L157"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57" t="inlineStr">
        <is>
          <t>Generated Next.js web application accessibility, search usability, and form entry keyboard flow increment. Reconstructed from Brief Sections 26, 27, 74, 77, 92.</t>
        </is>
      </c>
    </row>
    <row r="158" ht="34" customHeight="1" s="401">
      <c r="A158" t="inlineStr">
        <is>
          <t>R-300</t>
        </is>
      </c>
      <c r="B158" t="inlineStr">
        <is>
          <t>MVP</t>
        </is>
      </c>
      <c r="C158" t="inlineStr">
        <is>
          <t>Builder</t>
        </is>
      </c>
      <c r="D158" t="inlineStr">
        <is>
          <t>Generated Form Screen Input Constraints, Native HTML Validation &amp; Live Character Counters</t>
        </is>
      </c>
      <c r="E158"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58" t="inlineStr">
        <is>
          <t>P1</t>
        </is>
      </c>
      <c r="G158" t="inlineStr">
        <is>
          <t>Claude (Opus 4.8)</t>
        </is>
      </c>
      <c r="H158" t="inlineStr">
        <is>
          <t>Done</t>
        </is>
      </c>
      <c r="I158" t="n">
        <v>1</v>
      </c>
      <c r="J158" t="inlineStr">
        <is>
          <t>R-299</t>
        </is>
      </c>
      <c r="K158" t="inlineStr">
        <is>
          <t>Founder Stage 0</t>
        </is>
      </c>
      <c r="L158"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58" t="inlineStr">
        <is>
          <t>Generated Next.js web application field validation and UX fidelity increment. Reconstructed from Brief Sections 26, 27, 74, 77, 92.</t>
        </is>
      </c>
    </row>
    <row r="159" ht="34" customHeight="1" s="401">
      <c r="A159" t="inlineStr">
        <is>
          <t>R-299</t>
        </is>
      </c>
      <c r="B159" t="inlineStr">
        <is>
          <t>MVP</t>
        </is>
      </c>
      <c r="C159" t="inlineStr">
        <is>
          <t>Builder</t>
        </is>
      </c>
      <c r="D159" t="inlineStr">
        <is>
          <t>Generated Form Screen Keyboard Shortcuts: Cmd/Ctrl+Enter, Cmd/Ctrl+S &amp; Escape Cancel</t>
        </is>
      </c>
      <c r="E159"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59" t="inlineStr">
        <is>
          <t>P1</t>
        </is>
      </c>
      <c r="G159" t="inlineStr">
        <is>
          <t>Claude (Opus 4.8)</t>
        </is>
      </c>
      <c r="H159" t="inlineStr">
        <is>
          <t>Done</t>
        </is>
      </c>
      <c r="I159" t="n">
        <v>1</v>
      </c>
      <c r="J159" t="inlineStr">
        <is>
          <t>R-298</t>
        </is>
      </c>
      <c r="K159" t="inlineStr">
        <is>
          <t>Founder Stage 0</t>
        </is>
      </c>
      <c r="L159" t="inlineStr">
        <is>
          <t>task verify 916 tests (7 new in test_form_keyboard_shortcuts.py); task lint + security:quick + env:check pass; builder:demo minimal-blog + rideshare-favourites pass; generated form screen keyboard listener and shortcuts inspected; offline/deterministic, 0 model calls.</t>
        </is>
      </c>
      <c r="M159" t="inlineStr">
        <is>
          <t>Generated Next.js web application power-user accessibility and keyboard navigation increment. Reconstructed from Brief Sections 26, 27, 74, 77, 92.</t>
        </is>
      </c>
    </row>
    <row r="160" ht="34" customHeight="1" s="401">
      <c r="A160" t="inlineStr">
        <is>
          <t>R-298</t>
        </is>
      </c>
      <c r="B160" t="inlineStr">
        <is>
          <t>MVP</t>
        </is>
      </c>
      <c r="C160" t="inlineStr">
        <is>
          <t>Builder</t>
        </is>
      </c>
      <c r="D160" t="inlineStr">
        <is>
          <t>Generated Detail Screen Keyboard Navigation &amp; Shortcuts</t>
        </is>
      </c>
      <c r="E160"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60" t="inlineStr">
        <is>
          <t>P1</t>
        </is>
      </c>
      <c r="G160" t="inlineStr">
        <is>
          <t>Claude (Opus 4.8)</t>
        </is>
      </c>
      <c r="H160" t="inlineStr">
        <is>
          <t>Done</t>
        </is>
      </c>
      <c r="I160" t="n">
        <v>1</v>
      </c>
      <c r="J160" t="inlineStr">
        <is>
          <t>R-297</t>
        </is>
      </c>
      <c r="K160" t="inlineStr">
        <is>
          <t>Founder Stage 0</t>
        </is>
      </c>
      <c r="L160"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60" t="inlineStr">
        <is>
          <t>Generated Next.js web application power-user accessibility and keyboard navigation increment. Reconstructed from Brief Sections 26, 27, 74, 77, 92.</t>
        </is>
      </c>
    </row>
    <row r="161" ht="34" customHeight="1" s="401">
      <c r="A161" s="554" t="inlineStr">
        <is>
          <t>R-297</t>
        </is>
      </c>
      <c r="B161" s="554" t="inlineStr">
        <is>
          <t>MVP</t>
        </is>
      </c>
      <c r="C161" s="554" t="inlineStr">
        <is>
          <t>Builder</t>
        </is>
      </c>
      <c r="D161" s="554" t="inlineStr">
        <is>
          <t>Generated Collection Keyboard Navigation &amp; Shortcuts</t>
        </is>
      </c>
      <c r="E161"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61" s="554" t="inlineStr">
        <is>
          <t>P1</t>
        </is>
      </c>
      <c r="G161" s="554" t="inlineStr">
        <is>
          <t>Claude (Opus 4.8)</t>
        </is>
      </c>
      <c r="H161" s="554" t="inlineStr">
        <is>
          <t>Done</t>
        </is>
      </c>
      <c r="I161" s="555" t="n">
        <v>1</v>
      </c>
      <c r="J161" s="554" t="inlineStr">
        <is>
          <t>R-296</t>
        </is>
      </c>
      <c r="K161" s="554" t="inlineStr">
        <is>
          <t>Founder Stage 0</t>
        </is>
      </c>
      <c r="L161"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61" s="554" t="inlineStr">
        <is>
          <t>Generated Next.js web application power-user accessibility and keyboard navigation increment. Reconstructed from Brief Sections 26, 27, 74, 77, 92.</t>
        </is>
      </c>
    </row>
    <row r="162" ht="34" customHeight="1" s="401">
      <c r="A162" s="554" t="inlineStr">
        <is>
          <t>R-296</t>
        </is>
      </c>
      <c r="B162" s="554" t="inlineStr">
        <is>
          <t>MVP</t>
        </is>
      </c>
      <c r="C162" s="554" t="inlineStr">
        <is>
          <t>Builder</t>
        </is>
      </c>
      <c r="D162" s="554" t="inlineStr">
        <is>
          <t>Generated Web App Accessibility Pass: Semantic ARIA Roles, Live Regions, Table Sort State &amp; Accessible Controls</t>
        </is>
      </c>
      <c r="E162"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62" s="554" t="inlineStr">
        <is>
          <t>P1</t>
        </is>
      </c>
      <c r="G162" s="554" t="inlineStr">
        <is>
          <t>Claude (Opus 4.8)</t>
        </is>
      </c>
      <c r="H162" s="554" t="inlineStr">
        <is>
          <t>Done</t>
        </is>
      </c>
      <c r="I162" s="555" t="n">
        <v>1</v>
      </c>
      <c r="J162" s="554" t="inlineStr">
        <is>
          <t>R-295</t>
        </is>
      </c>
      <c r="K162" s="554" t="inlineStr">
        <is>
          <t>Founder Stage 0</t>
        </is>
      </c>
      <c r="L162"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62" s="554" t="inlineStr">
        <is>
          <t>Founder-authorized autonomous continuation; generated-app accessibility and WCAG/WAI-ARIA robustness increment. Reconstructed from Brief Sections 26, 27, 74, 77, 92.</t>
        </is>
      </c>
    </row>
    <row r="163" ht="34" customHeight="1" s="401">
      <c r="A163" s="419" t="inlineStr">
        <is>
          <t>R-295</t>
        </is>
      </c>
      <c r="B163" s="419" t="inlineStr">
        <is>
          <t>MVP</t>
        </is>
      </c>
      <c r="C163" s="419" t="inlineStr">
        <is>
          <t>Builder</t>
        </is>
      </c>
      <c r="D163" s="419" t="inlineStr">
        <is>
          <t>Consistent Error + Retry Affordance Across Every Generated Fetch State</t>
        </is>
      </c>
      <c r="E163"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63" s="419" t="inlineStr">
        <is>
          <t>P1</t>
        </is>
      </c>
      <c r="G163" s="419" t="inlineStr">
        <is>
          <t>Claude (Opus 4.8)</t>
        </is>
      </c>
      <c r="H163" s="419" t="inlineStr">
        <is>
          <t>Done</t>
        </is>
      </c>
      <c r="I163" s="420" t="n">
        <v>1</v>
      </c>
      <c r="J163" s="419" t="inlineStr">
        <is>
          <t>R-294</t>
        </is>
      </c>
      <c r="K163" s="419" t="inlineStr">
        <is>
          <t>Founder Stage 0</t>
        </is>
      </c>
      <c r="L163"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63" s="419" t="inlineStr">
        <is>
          <t>Founder-authorized autonomous continuation; completes the error side to match the R-292/293 loading-skeleton coverage. Reconstructed from Brief Sections 26, 27, 74, 77, 92.</t>
        </is>
      </c>
    </row>
    <row r="164" ht="34" customHeight="1" s="401">
      <c r="A164" s="419" t="inlineStr">
        <is>
          <t>R-294</t>
        </is>
      </c>
      <c r="B164" s="419" t="inlineStr">
        <is>
          <t>MVP</t>
        </is>
      </c>
      <c r="C164" s="419" t="inlineStr">
        <is>
          <t>Builder</t>
        </is>
      </c>
      <c r="D164" s="419" t="inlineStr">
        <is>
          <t>Generated Next.js App Router Resilience: Error Boundary, Global Error, Not-Found &amp; Loading Fallback</t>
        </is>
      </c>
      <c r="E164"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64" s="419" t="inlineStr">
        <is>
          <t>P1</t>
        </is>
      </c>
      <c r="G164" s="419" t="inlineStr">
        <is>
          <t>Claude (Opus 4.8)</t>
        </is>
      </c>
      <c r="H164" s="419" t="inlineStr">
        <is>
          <t>Done</t>
        </is>
      </c>
      <c r="I164" s="420" t="n">
        <v>1</v>
      </c>
      <c r="J164" s="419" t="inlineStr">
        <is>
          <t>R-293</t>
        </is>
      </c>
      <c r="K164" s="419" t="inlineStr">
        <is>
          <t>Founder Stage 0</t>
        </is>
      </c>
      <c r="L164"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64" s="419" t="inlineStr">
        <is>
          <t>Founder-authorized autonomous continuation; generated-app runtime robustness increment. Reconstructed from Brief Sections 26, 27, 74, 77, 92.</t>
        </is>
      </c>
    </row>
    <row r="165" ht="34" customHeight="1" s="401">
      <c r="A165" s="419" t="inlineStr">
        <is>
          <t>R-293</t>
        </is>
      </c>
      <c r="B165" s="419" t="inlineStr">
        <is>
          <t>MVP</t>
        </is>
      </c>
      <c r="C165" s="419" t="inlineStr">
        <is>
          <t>Builder</t>
        </is>
      </c>
      <c r="D165" s="419" t="inlineStr">
        <is>
          <t>Loading Skeletons for Form Initial Load &amp; Detail Record-Selector List</t>
        </is>
      </c>
      <c r="E165"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65" s="419" t="inlineStr">
        <is>
          <t>P1</t>
        </is>
      </c>
      <c r="G165" s="419" t="inlineStr">
        <is>
          <t>Claude (Opus 4.8)</t>
        </is>
      </c>
      <c r="H165" s="419" t="inlineStr">
        <is>
          <t>Done</t>
        </is>
      </c>
      <c r="I165" s="420" t="n">
        <v>1</v>
      </c>
      <c r="J165" s="419" t="inlineStr">
        <is>
          <t>R-292</t>
        </is>
      </c>
      <c r="K165" s="419" t="inlineStr">
        <is>
          <t>Founder Stage 0</t>
        </is>
      </c>
      <c r="L165"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65" s="419" t="inlineStr">
        <is>
          <t>Founder-authorized autonomous continuation; loading-skeletons UX completion. Reconstructed from Brief Sections 26, 27, 74, 77, 92.</t>
        </is>
      </c>
    </row>
    <row r="166" ht="34" customHeight="1" s="401">
      <c r="A166" s="419" t="inlineStr">
        <is>
          <t>R-292</t>
        </is>
      </c>
      <c r="B166" s="419" t="inlineStr">
        <is>
          <t>MVP</t>
        </is>
      </c>
      <c r="C166" s="419" t="inlineStr">
        <is>
          <t>Builder</t>
        </is>
      </c>
      <c r="D166" s="419" t="inlineStr">
        <is>
          <t>Loading Skeletons for Generated Next.js Screens</t>
        </is>
      </c>
      <c r="E166"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66" s="419" t="inlineStr">
        <is>
          <t>P1</t>
        </is>
      </c>
      <c r="G166" s="419" t="inlineStr">
        <is>
          <t>Claude (Opus 4.8)</t>
        </is>
      </c>
      <c r="H166" s="419" t="inlineStr">
        <is>
          <t>Done</t>
        </is>
      </c>
      <c r="I166" s="420" t="n">
        <v>1</v>
      </c>
      <c r="J166" s="419" t="inlineStr">
        <is>
          <t>R-291</t>
        </is>
      </c>
      <c r="K166" s="419" t="inlineStr">
        <is>
          <t>Founder Stage 0</t>
        </is>
      </c>
      <c r="L166"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66" s="419" t="inlineStr">
        <is>
          <t>Founder-authorized autonomous continuation; loading-skeletons UX increment. Reconstructed from Brief Sections 26, 27, 74, 77, 92.</t>
        </is>
      </c>
    </row>
    <row r="167" ht="34" customHeight="1" s="401">
      <c r="A167" s="419" t="inlineStr">
        <is>
          <t>R-291</t>
        </is>
      </c>
      <c r="B167" s="419" t="inlineStr">
        <is>
          <t>MVP</t>
        </is>
      </c>
      <c r="C167" s="419" t="inlineStr">
        <is>
          <t>Builder</t>
        </is>
      </c>
      <c r="D167" s="419" t="inlineStr">
        <is>
          <t>Optimistic Subcollection Child Delete with Rollback in Generated Next.js Screens</t>
        </is>
      </c>
      <c r="E167"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67" s="419" t="inlineStr">
        <is>
          <t>P1</t>
        </is>
      </c>
      <c r="G167" s="419" t="inlineStr">
        <is>
          <t>Claude (Opus 4.8)</t>
        </is>
      </c>
      <c r="H167" s="419" t="inlineStr">
        <is>
          <t>Done</t>
        </is>
      </c>
      <c r="I167" s="420" t="n">
        <v>1</v>
      </c>
      <c r="J167" s="419" t="inlineStr">
        <is>
          <t>R-290</t>
        </is>
      </c>
      <c r="K167" s="419" t="inlineStr">
        <is>
          <t>Founder Stage 0</t>
        </is>
      </c>
      <c r="L167"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67" s="419" t="inlineStr">
        <is>
          <t>Completes the optimistic-delete story after R-290 (collection screen); reconstructed from Brief Sections 26, 27, 74, 77, 92.</t>
        </is>
      </c>
    </row>
    <row r="168" ht="34" customHeight="1" s="401">
      <c r="A168" s="419" t="inlineStr">
        <is>
          <t>R-290</t>
        </is>
      </c>
      <c r="B168" s="419" t="inlineStr">
        <is>
          <t>MVP</t>
        </is>
      </c>
      <c r="C168" s="419" t="inlineStr">
        <is>
          <t>Builder</t>
        </is>
      </c>
      <c r="D168" s="419" t="inlineStr">
        <is>
          <t>Optimistic Delete with Rollback in the Generated Collection Screen</t>
        </is>
      </c>
      <c r="E168"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68" s="419" t="inlineStr">
        <is>
          <t>P1</t>
        </is>
      </c>
      <c r="G168" s="419" t="inlineStr">
        <is>
          <t>Claude (Opus 4.8)</t>
        </is>
      </c>
      <c r="H168" s="419" t="inlineStr">
        <is>
          <t>Done</t>
        </is>
      </c>
      <c r="I168" s="420" t="n">
        <v>1</v>
      </c>
      <c r="J168" s="419" t="inlineStr">
        <is>
          <t>R-289</t>
        </is>
      </c>
      <c r="K168" s="419" t="inlineStr">
        <is>
          <t>Founder Stage 0</t>
        </is>
      </c>
      <c r="L168"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68" s="419" t="inlineStr">
        <is>
          <t>Founder-chosen R-290 (optimistic delete over loading skeletons); reconstructed from Brief Sections 26, 27, 74, 77, 92.</t>
        </is>
      </c>
    </row>
    <row r="169" ht="34" customHeight="1" s="401">
      <c r="A169" s="419" t="inlineStr">
        <is>
          <t>R-289</t>
        </is>
      </c>
      <c r="B169" s="419" t="inlineStr">
        <is>
          <t>MVP</t>
        </is>
      </c>
      <c r="C169" s="419" t="inlineStr">
        <is>
          <t>Builder</t>
        </is>
      </c>
      <c r="D169" s="419" t="inlineStr">
        <is>
          <t>Debounced Live Subcollection Search in Generated Next.js Web App</t>
        </is>
      </c>
      <c r="E169"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69" s="419" t="inlineStr">
        <is>
          <t>P1</t>
        </is>
      </c>
      <c r="G169" s="419" t="inlineStr">
        <is>
          <t>Claude (Opus 4.8)</t>
        </is>
      </c>
      <c r="H169" s="419" t="inlineStr">
        <is>
          <t>Done</t>
        </is>
      </c>
      <c r="I169" s="420" t="n">
        <v>1</v>
      </c>
      <c r="J169" s="419" t="inlineStr">
        <is>
          <t>R-288</t>
        </is>
      </c>
      <c r="K169" s="419" t="inlineStr">
        <is>
          <t>Founder Stage 0</t>
        </is>
      </c>
      <c r="L169"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69" s="419" t="inlineStr">
        <is>
          <t>Recommended offline R-289 candidate after R-288 (all request paths race-safe); reconstructed from Brief Sections 26, 27, 74, 77, 92.</t>
        </is>
      </c>
    </row>
    <row r="170" ht="34" customHeight="1" s="401">
      <c r="A170" s="419" t="inlineStr">
        <is>
          <t>R-288</t>
        </is>
      </c>
      <c r="B170" s="419" t="inlineStr">
        <is>
          <t>MVP</t>
        </is>
      </c>
      <c r="C170" s="419" t="inlineStr">
        <is>
          <t>Builder</t>
        </is>
      </c>
      <c r="D170" s="419" t="inlineStr">
        <is>
          <t>Deduplicated In-Flight Generated Mutation Requests in Generated Next.js Web App</t>
        </is>
      </c>
      <c r="E170"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70" s="419" t="inlineStr">
        <is>
          <t>P1</t>
        </is>
      </c>
      <c r="G170" s="419" t="inlineStr">
        <is>
          <t>Claude (Opus 4.8)</t>
        </is>
      </c>
      <c r="H170" s="419" t="inlineStr">
        <is>
          <t>Done</t>
        </is>
      </c>
      <c r="I170" s="420" t="n">
        <v>1</v>
      </c>
      <c r="J170" s="419" t="inlineStr">
        <is>
          <t>R-287</t>
        </is>
      </c>
      <c r="K170" s="419" t="inlineStr">
        <is>
          <t>Founder Stage 0</t>
        </is>
      </c>
      <c r="L170" s="419" t="inlineStr">
        <is>
          <t>task verify 829 tests (6 new in test_mutation_inflight_guard.py); task lint + security:quick + env:check pass; builder:demo minimal-blog + rideshare-favourites pass; generated useCreatePost hook inspected; impl 3d6eecf; offline/deterministic, 0 model calls.</t>
        </is>
      </c>
      <c r="M170" s="419" t="inlineStr">
        <is>
          <t>Recommended offline R-288 candidate after R-287 (all fetch paths race-safe); reconstructed from Brief Sections 26, 27, 74, 77, 92.</t>
        </is>
      </c>
    </row>
    <row r="171" ht="34" customHeight="1" s="401">
      <c r="A171" s="419" t="inlineStr">
        <is>
          <t>R-287</t>
        </is>
      </c>
      <c r="B171" s="419" t="inlineStr">
        <is>
          <t>MVP</t>
        </is>
      </c>
      <c r="C171" s="419" t="inlineStr">
        <is>
          <t>Builder</t>
        </is>
      </c>
      <c r="D171" s="419" t="inlineStr">
        <is>
          <t>Race-Safe Generated Detail Refetches in Generated Next.js Web App</t>
        </is>
      </c>
      <c r="E171"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71" s="419" t="inlineStr">
        <is>
          <t>P1</t>
        </is>
      </c>
      <c r="G171" s="419" t="inlineStr">
        <is>
          <t>Claude (Opus 4.8)</t>
        </is>
      </c>
      <c r="H171" s="419" t="inlineStr">
        <is>
          <t>Done</t>
        </is>
      </c>
      <c r="I171" s="420" t="n">
        <v>1</v>
      </c>
      <c r="J171" s="419" t="inlineStr">
        <is>
          <t>R-286</t>
        </is>
      </c>
      <c r="K171" s="419" t="inlineStr">
        <is>
          <t>Founder Stage 0</t>
        </is>
      </c>
      <c r="L171"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71" s="419" t="inlineStr">
        <is>
          <t>Recommended offline R-287 candidate from the R-286 handoff; reconstructed from Brief Sections 26, 27, 74, 77, 92.</t>
        </is>
      </c>
    </row>
    <row r="172" ht="34" customHeight="1" s="401">
      <c r="A172" s="419" t="inlineStr">
        <is>
          <t>R-286</t>
        </is>
      </c>
      <c r="B172" s="419" t="inlineStr">
        <is>
          <t>MVP</t>
        </is>
      </c>
      <c r="C172" s="419" t="inlineStr">
        <is>
          <t>Builder</t>
        </is>
      </c>
      <c r="D172" s="419" t="inlineStr">
        <is>
          <t>Race-Safe Generated Subcollection Refetches</t>
        </is>
      </c>
      <c r="E172"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72" s="419" t="inlineStr">
        <is>
          <t>P1</t>
        </is>
      </c>
      <c r="G172" s="419" t="inlineStr">
        <is>
          <t>Codex (GPT-5)</t>
        </is>
      </c>
      <c r="H172" s="419" t="inlineStr">
        <is>
          <t>Done</t>
        </is>
      </c>
      <c r="I172" s="420" t="n">
        <v>1</v>
      </c>
      <c r="J172" s="419" t="inlineStr">
        <is>
          <t>R-285</t>
        </is>
      </c>
      <c r="K172" s="419" t="inlineStr">
        <is>
          <t>Founder Stage 0</t>
        </is>
      </c>
      <c r="L172"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72" s="419" t="inlineStr">
        <is>
          <t>Founder explicitly requested continuation with R-286. Reconstructed from Brief Sections 25-27, 74, 77, 83-84, 91, and 92.</t>
        </is>
      </c>
    </row>
    <row r="173" ht="34" customHeight="1" s="401">
      <c r="A173" s="419" t="inlineStr">
        <is>
          <t>R-285</t>
        </is>
      </c>
      <c r="B173" s="419" t="inlineStr">
        <is>
          <t>MVP</t>
        </is>
      </c>
      <c r="C173" s="419" t="inlineStr">
        <is>
          <t>Builder</t>
        </is>
      </c>
      <c r="D173" s="419" t="inlineStr">
        <is>
          <t>Server-Side Subcollection Filter Wiring in Generated Next.js Screens</t>
        </is>
      </c>
      <c r="E173"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73" s="419" t="inlineStr">
        <is>
          <t>P1</t>
        </is>
      </c>
      <c r="G173" s="419" t="inlineStr">
        <is>
          <t>Codex (GPT-5)</t>
        </is>
      </c>
      <c r="H173" s="419" t="inlineStr">
        <is>
          <t>Done</t>
        </is>
      </c>
      <c r="I173" s="420" t="n">
        <v>1</v>
      </c>
      <c r="J173" s="419" t="inlineStr">
        <is>
          <t>R-284</t>
        </is>
      </c>
      <c r="K173" s="419" t="inlineStr">
        <is>
          <t>Founder Stage 0</t>
        </is>
      </c>
      <c r="L173"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73" s="419" t="inlineStr">
        <is>
          <t>Founder explicitly requested continuation with R-285. Reconstructed from Brief Sections 25-27, 74, 77, 83-84, and 92.</t>
        </is>
      </c>
    </row>
    <row r="174" ht="34" customHeight="1" s="401">
      <c r="A174" s="419" t="inlineStr">
        <is>
          <t>R-284</t>
        </is>
      </c>
      <c r="B174" s="419" t="inlineStr">
        <is>
          <t>MVP</t>
        </is>
      </c>
      <c r="C174" s="419" t="inlineStr">
        <is>
          <t>Builder</t>
        </is>
      </c>
      <c r="D174" s="419" t="inlineStr">
        <is>
          <t>Server-Side Boolean/Enum Field Filters on FK-Scoped LIST_BY Endpoints</t>
        </is>
      </c>
      <c r="E174"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74" s="419" t="inlineStr">
        <is>
          <t>P1</t>
        </is>
      </c>
      <c r="G174" s="419" t="inlineStr">
        <is>
          <t>Codex (GPT-5)</t>
        </is>
      </c>
      <c r="H174" s="419" t="inlineStr">
        <is>
          <t>Done</t>
        </is>
      </c>
      <c r="I174" s="420" t="n">
        <v>1</v>
      </c>
      <c r="J174" s="419" t="inlineStr">
        <is>
          <t>R-283</t>
        </is>
      </c>
      <c r="K174" s="419" t="inlineStr">
        <is>
          <t>Founder Stage 0</t>
        </is>
      </c>
      <c r="L174"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74" s="419" t="inlineStr">
        <is>
          <t>Founder said to continue to the next task and update completed/remaining state. Reconstructed from Brief Sections 25-27, 74, 77, 83-84, and 92.</t>
        </is>
      </c>
    </row>
    <row r="175" ht="34" customHeight="1" s="401">
      <c r="A175" s="419" t="inlineStr">
        <is>
          <t>R-283</t>
        </is>
      </c>
      <c r="B175" s="419" t="inlineStr">
        <is>
          <t>MVP</t>
        </is>
      </c>
      <c r="C175" s="419" t="inlineStr">
        <is>
          <t>Builder</t>
        </is>
      </c>
      <c r="D175" s="419" t="inlineStr">
        <is>
          <t>Wire Generated Next.js Collection Filters to Server-Side Query Parameters</t>
        </is>
      </c>
      <c r="E175"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75" s="419" t="inlineStr">
        <is>
          <t>P1</t>
        </is>
      </c>
      <c r="G175" s="419" t="inlineStr">
        <is>
          <t>Codex (GPT-5)</t>
        </is>
      </c>
      <c r="H175" s="419" t="inlineStr">
        <is>
          <t>Done</t>
        </is>
      </c>
      <c r="I175" s="420" t="n">
        <v>1</v>
      </c>
      <c r="J175" s="419" t="inlineStr">
        <is>
          <t>R-282</t>
        </is>
      </c>
      <c r="K175" s="419" t="inlineStr">
        <is>
          <t>Founder Stage 0</t>
        </is>
      </c>
      <c r="L175"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75" s="419" t="inlineStr">
        <is>
          <t>Founder supplied the exact R-283 continuation and selected recommended option 1. Reconstructed from Brief Sections 9, 25-27, 74-75, 77, 83-85, 91, and 92.</t>
        </is>
      </c>
    </row>
    <row r="176" ht="34" customHeight="1" s="401">
      <c r="A176" s="419" t="inlineStr">
        <is>
          <t>R-282</t>
        </is>
      </c>
      <c r="B176" s="419" t="inlineStr">
        <is>
          <t>MVP</t>
        </is>
      </c>
      <c r="C176" s="419" t="inlineStr">
        <is>
          <t>Builder</t>
        </is>
      </c>
      <c r="D176" s="419" t="inlineStr">
        <is>
          <t>Server-Side Boolean/Enum Field Filters on Top-Level LIST Endpoints (Go + FastAPI + OpenAPI)</t>
        </is>
      </c>
      <c r="E176"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76" s="419" t="inlineStr">
        <is>
          <t>P1</t>
        </is>
      </c>
      <c r="G176" s="419" t="inlineStr">
        <is>
          <t>Claude (Opus 4.8)</t>
        </is>
      </c>
      <c r="H176" s="419" t="inlineStr">
        <is>
          <t>Done</t>
        </is>
      </c>
      <c r="I176" s="420" t="n">
        <v>1</v>
      </c>
      <c r="J176" s="419" t="inlineStr">
        <is>
          <t>R-281</t>
        </is>
      </c>
      <c r="K176" s="419" t="inlineStr">
        <is>
          <t>Founder Stage 0</t>
        </is>
      </c>
      <c r="L176"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76" s="419" t="inlineStr">
        <is>
          <t>Founder said 'continue for the next task' and chose the offline candidate; the available Groq key was kept for a later live model-fabric verification. Reconstructed from Brief Sections 9, 26, 27, 74, 77, 92.</t>
        </is>
      </c>
    </row>
    <row r="177" ht="34" customHeight="1" s="401">
      <c r="A177" s="419" t="inlineStr">
        <is>
          <t>R-281</t>
        </is>
      </c>
      <c r="B177" s="419" t="inlineStr">
        <is>
          <t>MVP</t>
        </is>
      </c>
      <c r="C177" s="419" t="inlineStr">
        <is>
          <t>Builder</t>
        </is>
      </c>
      <c r="D177" s="419" t="inlineStr">
        <is>
          <t>Pagination, Sort &amp; Search Controls on Subcollection Master-Detail Lists in Generated Next.js Web App</t>
        </is>
      </c>
      <c r="E177"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77" s="419" t="inlineStr">
        <is>
          <t>P1</t>
        </is>
      </c>
      <c r="G177" s="419" t="inlineStr">
        <is>
          <t>Claude (Opus 4.8)</t>
        </is>
      </c>
      <c r="H177" s="419" t="inlineStr">
        <is>
          <t>Done</t>
        </is>
      </c>
      <c r="I177" s="420" t="n">
        <v>1</v>
      </c>
      <c r="J177" s="419" t="inlineStr">
        <is>
          <t>R-280</t>
        </is>
      </c>
      <c r="K177" s="419" t="inlineStr">
        <is>
          <t>Founder Stage 0</t>
        </is>
      </c>
      <c r="L177" s="419" t="inlineStr">
        <is>
          <t>task verify 774 tests (6 new in test_subcollection_list_controls.py); task lint + security:quick pass; builder:demo minimal-blog + rideshare-favourites pass; impl ad94a72; offline/deterministic, 0 cloud calls.</t>
        </is>
      </c>
      <c r="M177" s="419" t="inlineStr">
        <is>
          <t>Founder chose 'R-281 offline only' (subcollection list controls) over enabling the available Groq key this session. Reconstructed from Brief Sections 9, 26, 27, 74, 77, 92.</t>
        </is>
      </c>
    </row>
    <row r="178" ht="34" customHeight="1" s="401">
      <c r="A178" s="419" t="inlineStr">
        <is>
          <t>R-280</t>
        </is>
      </c>
      <c r="B178" s="419" t="inlineStr">
        <is>
          <t>MVP</t>
        </is>
      </c>
      <c r="C178" s="419" t="inlineStr">
        <is>
          <t>Builder</t>
        </is>
      </c>
      <c r="D178" s="419" t="inlineStr">
        <is>
          <t>Deep-Linked Collection List State + Debounced, Race-Safe Search in Generated Next.js Web App</t>
        </is>
      </c>
      <c r="E178"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78" s="419" t="inlineStr">
        <is>
          <t>P1</t>
        </is>
      </c>
      <c r="G178" s="419" t="inlineStr">
        <is>
          <t>Claude (Opus 4.8)</t>
        </is>
      </c>
      <c r="H178" s="419" t="inlineStr">
        <is>
          <t>Done</t>
        </is>
      </c>
      <c r="I178" s="420" t="n">
        <v>1</v>
      </c>
      <c r="J178" s="419" t="inlineStr">
        <is>
          <t>R-279</t>
        </is>
      </c>
      <c r="K178" s="419" t="inlineStr">
        <is>
          <t>Founder Stage 0</t>
        </is>
      </c>
      <c r="L178" s="419" t="inlineStr">
        <is>
          <t>task verify 768 tests (12 new in test_collection_deeplink_state.py); task lint + security:quick pass; builder:demo minimal-blog + rideshare-favourites pass; impl 7a6b9b5; offline/deterministic, 0 cloud calls.</t>
        </is>
      </c>
      <c r="M178" s="419" t="inlineStr">
        <is>
          <t>Founder delegated the choice ('best, optimised, futuristic; combine two if best'): deep-link + debounced/race-safe search. Reconstructed from Brief Sections 9, 26, 27, 74, 77, 92.</t>
        </is>
      </c>
    </row>
    <row r="179" ht="34" customHeight="1" s="401">
      <c r="A179" s="419" t="inlineStr">
        <is>
          <t>R-279</t>
        </is>
      </c>
      <c r="B179" s="419" t="inlineStr">
        <is>
          <t>MVP</t>
        </is>
      </c>
      <c r="C179" s="419" t="inlineStr">
        <is>
          <t>Builder</t>
        </is>
      </c>
      <c r="D179" s="419" t="inlineStr">
        <is>
          <t>Global Notification Toast System &amp; Action Feedback in Generated Next.js Web App</t>
        </is>
      </c>
      <c r="E179"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79" s="419" t="inlineStr">
        <is>
          <t>P1</t>
        </is>
      </c>
      <c r="G179" s="419" t="inlineStr">
        <is>
          <t>Claude (Opus 4.8)</t>
        </is>
      </c>
      <c r="H179" s="419" t="inlineStr">
        <is>
          <t>Done</t>
        </is>
      </c>
      <c r="I179" s="420" t="n">
        <v>1</v>
      </c>
      <c r="J179" s="419" t="inlineStr">
        <is>
          <t>R-278</t>
        </is>
      </c>
      <c r="K179" s="419" t="inlineStr">
        <is>
          <t>Founder Stage 0</t>
        </is>
      </c>
      <c r="L179" s="419" t="inlineStr">
        <is>
          <t>task verify 756 tests; impl d28fc1a; offline/deterministic, 0 cloud calls.</t>
        </is>
      </c>
      <c r="M179" s="419" t="inlineStr">
        <is>
          <t>Backfilled to reconcile the execution tracker with shipped, committed work (R-253..R-279).</t>
        </is>
      </c>
    </row>
    <row r="180" ht="34" customHeight="1" s="401">
      <c r="A180" s="419" t="inlineStr">
        <is>
          <t>R-278</t>
        </is>
      </c>
      <c r="B180" s="419" t="inlineStr">
        <is>
          <t>MVP</t>
        </is>
      </c>
      <c r="C180" s="419" t="inlineStr">
        <is>
          <t>Builder</t>
        </is>
      </c>
      <c r="D180" s="419" t="inlineStr">
        <is>
          <t>Collection Screen Boolean &amp; Enum Field Filtering, Segmented Pill Controls &amp; Filter Empty States in Generated Next.js Web App</t>
        </is>
      </c>
      <c r="E180"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80" s="419" t="inlineStr">
        <is>
          <t>P1</t>
        </is>
      </c>
      <c r="G180" s="419" t="inlineStr">
        <is>
          <t>Claude (Opus 4.8)</t>
        </is>
      </c>
      <c r="H180" s="419" t="inlineStr">
        <is>
          <t>Done</t>
        </is>
      </c>
      <c r="I180" s="420" t="n">
        <v>1</v>
      </c>
      <c r="J180" s="419" t="inlineStr">
        <is>
          <t>R-277</t>
        </is>
      </c>
      <c r="K180" s="419" t="inlineStr">
        <is>
          <t>Founder Stage 0</t>
        </is>
      </c>
      <c r="L180" s="419" t="inlineStr">
        <is>
          <t>task verify 742 tests; impl 599df7d; offline/deterministic, 0 cloud calls.</t>
        </is>
      </c>
      <c r="M180" s="419" t="inlineStr">
        <is>
          <t>Backfilled to reconcile the execution tracker with shipped, committed work (R-253..R-279).</t>
        </is>
      </c>
    </row>
    <row r="181" ht="34" customHeight="1" s="401">
      <c r="A181" s="419" t="inlineStr">
        <is>
          <t>R-277</t>
        </is>
      </c>
      <c r="B181" s="419" t="inlineStr">
        <is>
          <t>MVP</t>
        </is>
      </c>
      <c r="C181" s="419" t="inlineStr">
        <is>
          <t>Builder</t>
        </is>
      </c>
      <c r="D181" s="419" t="inlineStr">
        <is>
          <t>Form Screen Dirty State Tracking, Unsaved Changes Guard &amp; Reset Confirmation in Generated Next.js Forms</t>
        </is>
      </c>
      <c r="E181"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81" s="419" t="inlineStr">
        <is>
          <t>P1</t>
        </is>
      </c>
      <c r="G181" s="419" t="inlineStr">
        <is>
          <t>Claude (Opus 4.8)</t>
        </is>
      </c>
      <c r="H181" s="419" t="inlineStr">
        <is>
          <t>Done</t>
        </is>
      </c>
      <c r="I181" s="420" t="n">
        <v>1</v>
      </c>
      <c r="J181" s="419" t="inlineStr">
        <is>
          <t>R-276</t>
        </is>
      </c>
      <c r="K181" s="419" t="inlineStr">
        <is>
          <t>Founder Stage 0</t>
        </is>
      </c>
      <c r="L181" s="419" t="inlineStr">
        <is>
          <t>task verify 727 tests; impl 62c2283; offline/deterministic, 0 cloud calls.</t>
        </is>
      </c>
      <c r="M181" s="419" t="inlineStr">
        <is>
          <t>Backfilled to reconcile the execution tracker with shipped, committed work (R-253..R-279).</t>
        </is>
      </c>
    </row>
    <row r="182" ht="34" customHeight="1" s="401">
      <c r="A182" s="419" t="inlineStr">
        <is>
          <t>R-276</t>
        </is>
      </c>
      <c r="B182" s="419" t="inlineStr">
        <is>
          <t>MVP</t>
        </is>
      </c>
      <c r="C182" s="419" t="inlineStr">
        <is>
          <t>Builder</t>
        </is>
      </c>
      <c r="D182" s="419" t="inlineStr">
        <is>
          <t>Record Selector Dropdown, Prev/Next Record Navigation &amp; Deep-Link Sync in Generated Next.js Detail Screens</t>
        </is>
      </c>
      <c r="E182"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82" s="419" t="inlineStr">
        <is>
          <t>P1</t>
        </is>
      </c>
      <c r="G182" s="419" t="inlineStr">
        <is>
          <t>Claude (Opus 4.8)</t>
        </is>
      </c>
      <c r="H182" s="419" t="inlineStr">
        <is>
          <t>Done</t>
        </is>
      </c>
      <c r="I182" s="420" t="n">
        <v>1</v>
      </c>
      <c r="J182" s="419" t="inlineStr">
        <is>
          <t>R-275</t>
        </is>
      </c>
      <c r="K182" s="419" t="inlineStr">
        <is>
          <t>Founder Stage 0</t>
        </is>
      </c>
      <c r="L182" s="419" t="inlineStr">
        <is>
          <t>task verify pass; impl 9dd61fa; offline/deterministic, 0 cloud calls.</t>
        </is>
      </c>
      <c r="M182" s="419" t="inlineStr">
        <is>
          <t>Backfilled to reconcile the execution tracker with shipped, committed work (R-253..R-279).</t>
        </is>
      </c>
    </row>
    <row r="183" ht="34" customHeight="1" s="401">
      <c r="A183" s="419" t="inlineStr">
        <is>
          <t>R-275</t>
        </is>
      </c>
      <c r="B183" s="419" t="inlineStr">
        <is>
          <t>MVP</t>
        </is>
      </c>
      <c r="C183" s="419" t="inlineStr">
        <is>
          <t>Builder</t>
        </is>
      </c>
      <c r="D183" s="419" t="inlineStr">
        <is>
          <t>Rich App Dashboard Overview Page in Generated Next.js Web App</t>
        </is>
      </c>
      <c r="E183"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83" s="419" t="inlineStr">
        <is>
          <t>P1</t>
        </is>
      </c>
      <c r="G183" s="419" t="inlineStr">
        <is>
          <t>Claude (Opus 4.8)</t>
        </is>
      </c>
      <c r="H183" s="419" t="inlineStr">
        <is>
          <t>Done</t>
        </is>
      </c>
      <c r="I183" s="420" t="n">
        <v>1</v>
      </c>
      <c r="J183" s="419" t="inlineStr">
        <is>
          <t>R-274</t>
        </is>
      </c>
      <c r="K183" s="419" t="inlineStr">
        <is>
          <t>Founder Stage 0</t>
        </is>
      </c>
      <c r="L183" s="419" t="inlineStr">
        <is>
          <t>task verify pass; impl 95e9587; offline/deterministic, 0 cloud calls.</t>
        </is>
      </c>
      <c r="M183" s="419" t="inlineStr">
        <is>
          <t>Backfilled to reconcile the execution tracker with shipped, committed work (R-253..R-279).</t>
        </is>
      </c>
    </row>
    <row r="184" ht="34" customHeight="1" s="401">
      <c r="A184" s="419" t="inlineStr">
        <is>
          <t>R-274</t>
        </is>
      </c>
      <c r="B184" s="419" t="inlineStr">
        <is>
          <t>MVP</t>
        </is>
      </c>
      <c r="C184" s="419" t="inlineStr">
        <is>
          <t>Builder</t>
        </is>
      </c>
      <c r="D184" s="419" t="inlineStr">
        <is>
          <t>Form Screen Post-Submit Contextual CTAs, Record Navigation &amp; Cancel Actions</t>
        </is>
      </c>
      <c r="E184"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84" s="419" t="inlineStr">
        <is>
          <t>P1</t>
        </is>
      </c>
      <c r="G184" s="419" t="inlineStr">
        <is>
          <t>Claude (Opus 4.8)</t>
        </is>
      </c>
      <c r="H184" s="419" t="inlineStr">
        <is>
          <t>Done</t>
        </is>
      </c>
      <c r="I184" s="420" t="n">
        <v>1</v>
      </c>
      <c r="J184" s="419" t="inlineStr">
        <is>
          <t>R-273</t>
        </is>
      </c>
      <c r="K184" s="419" t="inlineStr">
        <is>
          <t>Founder Stage 0</t>
        </is>
      </c>
      <c r="L184" s="419" t="inlineStr">
        <is>
          <t>task verify pass; impl 2269834; offline/deterministic, 0 cloud calls.</t>
        </is>
      </c>
      <c r="M184" s="419" t="inlineStr">
        <is>
          <t>Backfilled to reconcile the execution tracker with shipped, committed work (R-253..R-279).</t>
        </is>
      </c>
    </row>
    <row r="185" ht="34" customHeight="1" s="401">
      <c r="A185" s="419" t="inlineStr">
        <is>
          <t>R-273</t>
        </is>
      </c>
      <c r="B185" s="419" t="inlineStr">
        <is>
          <t>MVP</t>
        </is>
      </c>
      <c r="C185" s="419" t="inlineStr">
        <is>
          <t>Builder</t>
        </is>
      </c>
      <c r="D185" s="419" t="inlineStr">
        <is>
          <t>Global Responsive Navigation Shell &amp; Header Navbar in Generated Next.js Web App</t>
        </is>
      </c>
      <c r="E185"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85" s="419" t="inlineStr">
        <is>
          <t>P1</t>
        </is>
      </c>
      <c r="G185" s="419" t="inlineStr">
        <is>
          <t>Claude (Opus 4.8)</t>
        </is>
      </c>
      <c r="H185" s="419" t="inlineStr">
        <is>
          <t>Done</t>
        </is>
      </c>
      <c r="I185" s="420" t="n">
        <v>1</v>
      </c>
      <c r="J185" s="419" t="inlineStr">
        <is>
          <t>R-272</t>
        </is>
      </c>
      <c r="K185" s="419" t="inlineStr">
        <is>
          <t>Founder Stage 0</t>
        </is>
      </c>
      <c r="L185" s="419" t="inlineStr">
        <is>
          <t>task verify pass; impl 82c8c7b; offline/deterministic, 0 cloud calls.</t>
        </is>
      </c>
      <c r="M185" s="419" t="inlineStr">
        <is>
          <t>Backfilled to reconcile the execution tracker with shipped, committed work (R-253..R-279).</t>
        </is>
      </c>
    </row>
    <row r="186" ht="34" customHeight="1" s="401">
      <c r="A186" s="419" t="inlineStr">
        <is>
          <t>R-272</t>
        </is>
      </c>
      <c r="B186" s="419" t="inlineStr">
        <is>
          <t>MVP</t>
        </is>
      </c>
      <c r="C186" s="419" t="inlineStr">
        <is>
          <t>Builder</t>
        </is>
      </c>
      <c r="D186" s="419" t="inlineStr">
        <is>
          <t>Deep-Linking &amp; Entity Lifecycle in Next.js Detail Screens</t>
        </is>
      </c>
      <c r="E186" s="419" t="inlineStr">
        <is>
          <t>Deep-Linking &amp; Entity Lifecycle in Next.js Detail Screens</t>
        </is>
      </c>
      <c r="F186" s="419" t="inlineStr">
        <is>
          <t>P1</t>
        </is>
      </c>
      <c r="G186" s="419" t="inlineStr">
        <is>
          <t>Claude (Opus 4.8)</t>
        </is>
      </c>
      <c r="H186" s="419" t="inlineStr">
        <is>
          <t>Done</t>
        </is>
      </c>
      <c r="I186" s="420" t="n">
        <v>1</v>
      </c>
      <c r="J186" s="419" t="inlineStr">
        <is>
          <t>R-271</t>
        </is>
      </c>
      <c r="K186" s="419" t="inlineStr">
        <is>
          <t>Founder Stage 0</t>
        </is>
      </c>
      <c r="L186" s="419" t="inlineStr">
        <is>
          <t>task verify 646 tests; impl f055958; offline/deterministic, 0 cloud calls.</t>
        </is>
      </c>
      <c r="M186" s="419" t="inlineStr">
        <is>
          <t>Backfilled to reconcile the execution tracker with shipped, committed work (R-253..R-279).</t>
        </is>
      </c>
    </row>
    <row r="187" ht="34" customHeight="1" s="401">
      <c r="A187" s="419" t="inlineStr">
        <is>
          <t>R-271</t>
        </is>
      </c>
      <c r="B187" s="419" t="inlineStr">
        <is>
          <t>MVP</t>
        </is>
      </c>
      <c r="C187" s="419" t="inlineStr">
        <is>
          <t>Builder</t>
        </is>
      </c>
      <c r="D187" s="419" t="inlineStr">
        <is>
          <t>CSV Data Export &amp; Bulk Export in Generated Next.js Collection Screens</t>
        </is>
      </c>
      <c r="E187"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87" s="419" t="inlineStr">
        <is>
          <t>P1</t>
        </is>
      </c>
      <c r="G187" s="419" t="inlineStr">
        <is>
          <t>Claude (Opus 4.8)</t>
        </is>
      </c>
      <c r="H187" s="419" t="inlineStr">
        <is>
          <t>Done</t>
        </is>
      </c>
      <c r="I187" s="420" t="n">
        <v>1</v>
      </c>
      <c r="J187" s="419" t="inlineStr">
        <is>
          <t>R-270</t>
        </is>
      </c>
      <c r="K187" s="419" t="inlineStr">
        <is>
          <t>Founder Stage 0</t>
        </is>
      </c>
      <c r="L187" s="419" t="inlineStr">
        <is>
          <t>task verify 630 tests; impl 5d34220; offline/deterministic, 0 cloud calls.</t>
        </is>
      </c>
      <c r="M187" s="419" t="inlineStr">
        <is>
          <t>Backfilled to reconcile the execution tracker with shipped, committed work (R-253..R-279).</t>
        </is>
      </c>
    </row>
    <row r="188" ht="34" customHeight="1" s="401">
      <c r="A188" s="419" t="inlineStr">
        <is>
          <t>R-270</t>
        </is>
      </c>
      <c r="B188" s="419" t="inlineStr">
        <is>
          <t>MVP</t>
        </is>
      </c>
      <c r="C188" s="419" t="inlineStr">
        <is>
          <t>Builder</t>
        </is>
      </c>
      <c r="D188" s="419" t="inlineStr">
        <is>
          <t>Bulk Selection &amp; Batch Deletion in Generated Next.js Collection Screens</t>
        </is>
      </c>
      <c r="E188"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88" s="419" t="inlineStr">
        <is>
          <t>P1</t>
        </is>
      </c>
      <c r="G188" s="419" t="inlineStr">
        <is>
          <t>Claude (Opus 4.8)</t>
        </is>
      </c>
      <c r="H188" s="419" t="inlineStr">
        <is>
          <t>Done</t>
        </is>
      </c>
      <c r="I188" s="420" t="n">
        <v>1</v>
      </c>
      <c r="J188" s="419" t="inlineStr">
        <is>
          <t>R-269</t>
        </is>
      </c>
      <c r="K188" s="419" t="inlineStr">
        <is>
          <t>Founder Stage 0</t>
        </is>
      </c>
      <c r="L188" s="419" t="inlineStr">
        <is>
          <t>task verify 614 tests; impl e0857c5; offline/deterministic, 0 cloud calls.</t>
        </is>
      </c>
      <c r="M188" s="419" t="inlineStr">
        <is>
          <t>Backfilled to reconcile the execution tracker with shipped, committed work (R-253..R-279).</t>
        </is>
      </c>
    </row>
    <row r="189">
      <c r="A189" s="419" t="inlineStr">
        <is>
          <t>R-269</t>
        </is>
      </c>
      <c r="B189" s="419" t="inlineStr">
        <is>
          <t>MVP</t>
        </is>
      </c>
      <c r="C189" s="419" t="inlineStr">
        <is>
          <t>Builder</t>
        </is>
      </c>
      <c r="D189" s="419" t="inlineStr">
        <is>
          <t>Page Size Selector &amp; Contextual Empty State CTAs in Generated Next.js Screens</t>
        </is>
      </c>
      <c r="E189"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189" s="419" t="inlineStr">
        <is>
          <t>P1</t>
        </is>
      </c>
      <c r="G189" s="419" t="inlineStr">
        <is>
          <t>Claude (Opus 4.8)</t>
        </is>
      </c>
      <c r="H189" s="419" t="inlineStr">
        <is>
          <t>Done</t>
        </is>
      </c>
      <c r="I189" s="420" t="n">
        <v>1</v>
      </c>
      <c r="J189" s="419" t="inlineStr">
        <is>
          <t>R-268</t>
        </is>
      </c>
      <c r="K189" s="419" t="inlineStr">
        <is>
          <t>Founder Stage 0</t>
        </is>
      </c>
      <c r="L189" s="419" t="inlineStr">
        <is>
          <t>task verify 598 tests; impl a34dfc8; offline/deterministic, 0 cloud calls.</t>
        </is>
      </c>
      <c r="M189" s="419" t="inlineStr">
        <is>
          <t>Backfilled to reconcile the execution tracker with shipped, committed work (R-253..R-279).</t>
        </is>
      </c>
    </row>
    <row r="190">
      <c r="A190" s="419" t="inlineStr">
        <is>
          <t>R-268</t>
        </is>
      </c>
      <c r="B190" s="419" t="inlineStr">
        <is>
          <t>MVP</t>
        </is>
      </c>
      <c r="C190" s="419" t="inlineStr">
        <is>
          <t>Builder</t>
        </is>
      </c>
      <c r="D190" s="419" t="inlineStr">
        <is>
          <t>Subcollection Child Item Deletion &amp; Mutation Feedback in Master-Detail Views</t>
        </is>
      </c>
      <c r="E190"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190" s="419" t="inlineStr">
        <is>
          <t>P1</t>
        </is>
      </c>
      <c r="G190" s="419" t="inlineStr">
        <is>
          <t>Claude (Opus 4.8)</t>
        </is>
      </c>
      <c r="H190" s="419" t="inlineStr">
        <is>
          <t>Done</t>
        </is>
      </c>
      <c r="I190" s="420" t="n">
        <v>1</v>
      </c>
      <c r="J190" s="419" t="inlineStr">
        <is>
          <t>R-267</t>
        </is>
      </c>
      <c r="K190" s="419" t="inlineStr">
        <is>
          <t>Founder Stage 0</t>
        </is>
      </c>
      <c r="L190" s="419" t="inlineStr">
        <is>
          <t>task verify pass; impl 3ae89bb; offline/deterministic, 0 cloud calls.</t>
        </is>
      </c>
      <c r="M190" s="419" t="inlineStr">
        <is>
          <t>Backfilled to reconcile the execution tracker with shipped, committed work (R-253..R-279).</t>
        </is>
      </c>
    </row>
    <row r="191">
      <c r="A191" s="419" t="inlineStr">
        <is>
          <t>R-267</t>
        </is>
      </c>
      <c r="B191" s="419" t="inlineStr">
        <is>
          <t>MVP</t>
        </is>
      </c>
      <c r="C191" s="419" t="inlineStr">
        <is>
          <t>Builder</t>
        </is>
      </c>
      <c r="D191" s="419" t="inlineStr">
        <is>
          <t>Foreign-Key Relation Selectors &amp; Parent Auto-Population in Generated Next.js Forms</t>
        </is>
      </c>
      <c r="E191"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191" s="419" t="inlineStr">
        <is>
          <t>P1</t>
        </is>
      </c>
      <c r="G191" s="419" t="inlineStr">
        <is>
          <t>Claude (Opus 4.8)</t>
        </is>
      </c>
      <c r="H191" s="419" t="inlineStr">
        <is>
          <t>Done</t>
        </is>
      </c>
      <c r="I191" s="420" t="n">
        <v>1</v>
      </c>
      <c r="J191" s="419" t="inlineStr">
        <is>
          <t>R-266</t>
        </is>
      </c>
      <c r="K191" s="419" t="inlineStr">
        <is>
          <t>Founder Stage 0</t>
        </is>
      </c>
      <c r="L191" s="419" t="inlineStr">
        <is>
          <t>task verify pass; impl 667c30a; offline/deterministic, 0 cloud calls.</t>
        </is>
      </c>
      <c r="M191" s="419" t="inlineStr">
        <is>
          <t>Backfilled to reconcile the execution tracker with shipped, committed work (R-253..R-279).</t>
        </is>
      </c>
    </row>
    <row r="192">
      <c r="A192" s="419" t="inlineStr">
        <is>
          <t>R-266</t>
        </is>
      </c>
      <c r="B192" s="419" t="inlineStr">
        <is>
          <t>MVP</t>
        </is>
      </c>
      <c r="C192" s="419" t="inlineStr">
        <is>
          <t>Builder</t>
        </is>
      </c>
      <c r="D192" s="419" t="inlineStr">
        <is>
          <t>Update/Edit Mode in Generated Next.js Forms &amp; Collection Screen Edit Actions</t>
        </is>
      </c>
      <c r="E192"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192" s="419" t="inlineStr">
        <is>
          <t>P1</t>
        </is>
      </c>
      <c r="G192" s="419" t="inlineStr">
        <is>
          <t>Claude (Opus 4.8)</t>
        </is>
      </c>
      <c r="H192" s="419" t="inlineStr">
        <is>
          <t>Done</t>
        </is>
      </c>
      <c r="I192" s="420" t="n">
        <v>1</v>
      </c>
      <c r="J192" s="419" t="inlineStr">
        <is>
          <t>R-265</t>
        </is>
      </c>
      <c r="K192" s="419" t="inlineStr">
        <is>
          <t>Founder Stage 0</t>
        </is>
      </c>
      <c r="L192" s="419" t="inlineStr">
        <is>
          <t>task verify pass; impl 9dd0095; offline/deterministic, 0 cloud calls.</t>
        </is>
      </c>
      <c r="M192" s="419" t="inlineStr">
        <is>
          <t>Backfilled to reconcile the execution tracker with shipped, committed work (R-253..R-279).</t>
        </is>
      </c>
    </row>
    <row r="193">
      <c r="A193" s="419" t="inlineStr">
        <is>
          <t>R-265</t>
        </is>
      </c>
      <c r="B193" s="419" t="inlineStr">
        <is>
          <t>MVP</t>
        </is>
      </c>
      <c r="C193" s="419" t="inlineStr">
        <is>
          <t>Builder</t>
        </is>
      </c>
      <c r="D193" s="419" t="inlineStr">
        <is>
          <t>Subcollection Navigation &amp; Master-Detail Views in Generated Screens</t>
        </is>
      </c>
      <c r="E193"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193" s="419" t="inlineStr">
        <is>
          <t>P1</t>
        </is>
      </c>
      <c r="G193" s="419" t="inlineStr">
        <is>
          <t>Claude (Opus 4.8)</t>
        </is>
      </c>
      <c r="H193" s="419" t="inlineStr">
        <is>
          <t>Done</t>
        </is>
      </c>
      <c r="I193" s="420" t="n">
        <v>1</v>
      </c>
      <c r="J193" s="419" t="inlineStr">
        <is>
          <t>R-264</t>
        </is>
      </c>
      <c r="K193" s="419" t="inlineStr">
        <is>
          <t>Founder Stage 0</t>
        </is>
      </c>
      <c r="L193" s="419" t="inlineStr">
        <is>
          <t>task verify pass; impl 0926d6e; offline/deterministic, 0 cloud calls.</t>
        </is>
      </c>
      <c r="M193" s="419" t="inlineStr">
        <is>
          <t>Backfilled to reconcile the execution tracker with shipped, committed work (R-253..R-279).</t>
        </is>
      </c>
    </row>
    <row r="194">
      <c r="A194" s="419" t="inlineStr">
        <is>
          <t>R-264</t>
        </is>
      </c>
      <c r="B194" s="419" t="inlineStr">
        <is>
          <t>MVP</t>
        </is>
      </c>
      <c r="C194" s="419" t="inlineStr">
        <is>
          <t>Builder</t>
        </is>
      </c>
      <c r="D194" s="419" t="inlineStr">
        <is>
          <t>Field-Level Validation &amp; Error Feedback in Generated Next.js Forms</t>
        </is>
      </c>
      <c r="E194"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194" s="419" t="inlineStr">
        <is>
          <t>P1</t>
        </is>
      </c>
      <c r="G194" s="419" t="inlineStr">
        <is>
          <t>Claude (Opus 4.8)</t>
        </is>
      </c>
      <c r="H194" s="419" t="inlineStr">
        <is>
          <t>Done</t>
        </is>
      </c>
      <c r="I194" s="420" t="n">
        <v>1</v>
      </c>
      <c r="J194" s="419" t="inlineStr">
        <is>
          <t>R-263</t>
        </is>
      </c>
      <c r="K194" s="419" t="inlineStr">
        <is>
          <t>Founder Stage 0</t>
        </is>
      </c>
      <c r="L194" s="419" t="inlineStr">
        <is>
          <t>task verify pass; impl 558a75a; offline/deterministic, 0 cloud calls.</t>
        </is>
      </c>
      <c r="M194" s="419" t="inlineStr">
        <is>
          <t>Backfilled to reconcile the execution tracker with shipped, committed work (R-253..R-279).</t>
        </is>
      </c>
    </row>
    <row r="195">
      <c r="A195" s="419" t="inlineStr">
        <is>
          <t>R-263</t>
        </is>
      </c>
      <c r="B195" s="419" t="inlineStr">
        <is>
          <t>MVP</t>
        </is>
      </c>
      <c r="C195" s="419" t="inlineStr">
        <is>
          <t>Builder</t>
        </is>
      </c>
      <c r="D195" s="419" t="inlineStr">
        <is>
          <t>Interactive Screen Component Generator with Real Data Binding (apps/web/app/&lt;screen&gt;/page.tsx)</t>
        </is>
      </c>
      <c r="E195"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195" s="419" t="inlineStr">
        <is>
          <t>P1</t>
        </is>
      </c>
      <c r="G195" s="419" t="inlineStr">
        <is>
          <t>Claude (Opus 4.8)</t>
        </is>
      </c>
      <c r="H195" s="419" t="inlineStr">
        <is>
          <t>Done</t>
        </is>
      </c>
      <c r="I195" s="420" t="n">
        <v>1</v>
      </c>
      <c r="J195" s="419" t="inlineStr">
        <is>
          <t>R-262</t>
        </is>
      </c>
      <c r="K195" s="419" t="inlineStr">
        <is>
          <t>Founder Stage 0</t>
        </is>
      </c>
      <c r="L195" s="419" t="inlineStr">
        <is>
          <t>task verify pass; impl da914ba; offline/deterministic, 0 cloud calls.</t>
        </is>
      </c>
      <c r="M195" s="419" t="inlineStr">
        <is>
          <t>Backfilled to reconcile the execution tracker with shipped, committed work (R-253..R-279).</t>
        </is>
      </c>
    </row>
    <row r="196">
      <c r="A196" s="419" t="inlineStr">
        <is>
          <t>R-262</t>
        </is>
      </c>
      <c r="B196" s="419" t="inlineStr">
        <is>
          <t>MVP</t>
        </is>
      </c>
      <c r="C196" s="419" t="inlineStr">
        <is>
          <t>Builder</t>
        </is>
      </c>
      <c r="D196" s="419" t="inlineStr">
        <is>
          <t>React Data-Fetching &amp; Mutation Hooks Generator (apps/web/lib/hooks.ts)</t>
        </is>
      </c>
      <c r="E196"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196" s="419" t="inlineStr">
        <is>
          <t>P1</t>
        </is>
      </c>
      <c r="G196" s="419" t="inlineStr">
        <is>
          <t>Claude (Opus 4.8)</t>
        </is>
      </c>
      <c r="H196" s="419" t="inlineStr">
        <is>
          <t>Done</t>
        </is>
      </c>
      <c r="I196" s="420" t="n">
        <v>1</v>
      </c>
      <c r="J196" s="419" t="inlineStr">
        <is>
          <t>R-261</t>
        </is>
      </c>
      <c r="K196" s="419" t="inlineStr">
        <is>
          <t>Founder Stage 0</t>
        </is>
      </c>
      <c r="L196" s="419" t="inlineStr">
        <is>
          <t>task verify pass; impl f16f64c (bundled commit R-260..R-262); offline/deterministic, 0 cloud calls.</t>
        </is>
      </c>
      <c r="M196" s="419" t="inlineStr">
        <is>
          <t>Backfilled to reconcile the execution tracker with shipped, committed work (R-253..R-279).</t>
        </is>
      </c>
    </row>
    <row r="197">
      <c r="A197" s="419" t="inlineStr">
        <is>
          <t>R-261</t>
        </is>
      </c>
      <c r="B197" s="419" t="inlineStr">
        <is>
          <t>MVP</t>
        </is>
      </c>
      <c r="C197" s="419" t="inlineStr">
        <is>
          <t>Builder</t>
        </is>
      </c>
      <c r="D197" s="419" t="inlineStr">
        <is>
          <t>Full-Text / Keyword Search Filtering on LIST Endpoints</t>
        </is>
      </c>
      <c r="E197"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197" s="419" t="inlineStr">
        <is>
          <t>P1</t>
        </is>
      </c>
      <c r="G197" s="419" t="inlineStr">
        <is>
          <t>Claude (Opus 4.8)</t>
        </is>
      </c>
      <c r="H197" s="419" t="inlineStr">
        <is>
          <t>Done</t>
        </is>
      </c>
      <c r="I197" s="420" t="n">
        <v>1</v>
      </c>
      <c r="J197" s="419" t="inlineStr">
        <is>
          <t>R-260</t>
        </is>
      </c>
      <c r="K197" s="419" t="inlineStr">
        <is>
          <t>Founder Stage 0</t>
        </is>
      </c>
      <c r="L197" s="419" t="inlineStr">
        <is>
          <t>task verify 491 tests; impl f16f64c (bundled commit R-260..R-262); offline/deterministic, 0 cloud calls.</t>
        </is>
      </c>
      <c r="M197" s="419" t="inlineStr">
        <is>
          <t>Backfilled to reconcile the execution tracker with shipped, committed work (R-253..R-279).</t>
        </is>
      </c>
    </row>
    <row r="198">
      <c r="A198" s="419" t="inlineStr">
        <is>
          <t>R-260</t>
        </is>
      </c>
      <c r="B198" s="419" t="inlineStr">
        <is>
          <t>MVP</t>
        </is>
      </c>
      <c r="C198" s="419" t="inlineStr">
        <is>
          <t>Builder</t>
        </is>
      </c>
      <c r="D198" s="419" t="inlineStr">
        <is>
          <t>OpenAPI 3.1 Specification Generation from Application IR</t>
        </is>
      </c>
      <c r="E198"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198" s="419" t="inlineStr">
        <is>
          <t>P1</t>
        </is>
      </c>
      <c r="G198" s="419" t="inlineStr">
        <is>
          <t>Claude (Opus 4.8)</t>
        </is>
      </c>
      <c r="H198" s="419" t="inlineStr">
        <is>
          <t>Done</t>
        </is>
      </c>
      <c r="I198" s="420" t="n">
        <v>1</v>
      </c>
      <c r="J198" s="419" t="inlineStr">
        <is>
          <t>R-259</t>
        </is>
      </c>
      <c r="K198" s="419" t="inlineStr">
        <is>
          <t>Founder Stage 0</t>
        </is>
      </c>
      <c r="L198" s="419" t="inlineStr">
        <is>
          <t>task verify 475 tests; impl f16f64c (bundled commit R-260..R-262); offline/deterministic, 0 cloud calls.</t>
        </is>
      </c>
      <c r="M198" s="419" t="inlineStr">
        <is>
          <t>Backfilled to reconcile the execution tracker with shipped, committed work (R-253..R-279).</t>
        </is>
      </c>
    </row>
    <row r="199">
      <c r="A199" s="419" t="inlineStr">
        <is>
          <t>R-259</t>
        </is>
      </c>
      <c r="B199" s="419" t="inlineStr">
        <is>
          <t>MVP</t>
        </is>
      </c>
      <c r="C199" s="419" t="inlineStr">
        <is>
          <t>Builder</t>
        </is>
      </c>
      <c r="D199" s="419" t="inlineStr">
        <is>
          <t>Total Count Queries &amp; `X-Total-Count` Header on LIST Endpoints</t>
        </is>
      </c>
      <c r="E199"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199" s="419" t="inlineStr">
        <is>
          <t>P1</t>
        </is>
      </c>
      <c r="G199" s="419" t="inlineStr">
        <is>
          <t>Claude (Opus 4.8)</t>
        </is>
      </c>
      <c r="H199" s="419" t="inlineStr">
        <is>
          <t>Done</t>
        </is>
      </c>
      <c r="I199" s="420" t="n">
        <v>1</v>
      </c>
      <c r="J199" s="419" t="inlineStr">
        <is>
          <t>R-258</t>
        </is>
      </c>
      <c r="K199" s="419" t="inlineStr">
        <is>
          <t>Founder Stage 0</t>
        </is>
      </c>
      <c r="L199" s="419" t="inlineStr">
        <is>
          <t>task verify 461 tests; impl f55550a; offline/deterministic, 0 cloud calls.</t>
        </is>
      </c>
      <c r="M199" s="419" t="inlineStr">
        <is>
          <t>Backfilled to reconcile the execution tracker with shipped, committed work (R-253..R-279).</t>
        </is>
      </c>
    </row>
    <row r="200">
      <c r="A200" s="419" t="inlineStr">
        <is>
          <t>R-258</t>
        </is>
      </c>
      <c r="B200" s="419" t="inlineStr">
        <is>
          <t>MVP</t>
        </is>
      </c>
      <c r="C200" s="419" t="inlineStr">
        <is>
          <t>Builder</t>
        </is>
      </c>
      <c r="D200" s="419" t="inlineStr">
        <is>
          <t>Query Parameter Sorting (`sort` &amp; `order=asc|desc`) on LIST Endpoints with SQL Injection Whitelist Protection</t>
        </is>
      </c>
      <c r="E200"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00" s="419" t="inlineStr">
        <is>
          <t>P1</t>
        </is>
      </c>
      <c r="G200" s="419" t="inlineStr">
        <is>
          <t>Claude (Opus 4.8)</t>
        </is>
      </c>
      <c r="H200" s="419" t="inlineStr">
        <is>
          <t>Done</t>
        </is>
      </c>
      <c r="I200" s="420" t="n">
        <v>1</v>
      </c>
      <c r="J200" s="419" t="inlineStr">
        <is>
          <t>R-257</t>
        </is>
      </c>
      <c r="K200" s="419" t="inlineStr">
        <is>
          <t>Founder Stage 0</t>
        </is>
      </c>
      <c r="L200" s="419" t="inlineStr">
        <is>
          <t>task verify 446 tests; impl 34b6d44 (bundled commit R-254..R-258); offline/deterministic, 0 cloud calls.</t>
        </is>
      </c>
      <c r="M200" s="419" t="inlineStr">
        <is>
          <t>Backfilled to reconcile the execution tracker with shipped, committed work (R-253..R-279).</t>
        </is>
      </c>
    </row>
    <row r="201">
      <c r="A201" s="419" t="inlineStr">
        <is>
          <t>R-257</t>
        </is>
      </c>
      <c r="B201" s="419" t="inlineStr">
        <is>
          <t>MVP</t>
        </is>
      </c>
      <c r="C201" s="419" t="inlineStr">
        <is>
          <t>Builder</t>
        </is>
      </c>
      <c r="D201" s="419" t="inlineStr">
        <is>
          <t>Full-Stack Connectivity: Next.js Typed API Client (`lib/api.ts`) &amp; Backend CORS Middleware</t>
        </is>
      </c>
      <c r="E201"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01" s="419" t="inlineStr">
        <is>
          <t>P1</t>
        </is>
      </c>
      <c r="G201" s="419" t="inlineStr">
        <is>
          <t>Claude (Opus 4.8)</t>
        </is>
      </c>
      <c r="H201" s="419" t="inlineStr">
        <is>
          <t>Done</t>
        </is>
      </c>
      <c r="I201" s="420" t="n">
        <v>1</v>
      </c>
      <c r="J201" s="419" t="inlineStr">
        <is>
          <t>R-256</t>
        </is>
      </c>
      <c r="K201" s="419" t="inlineStr">
        <is>
          <t>Founder Stage 0</t>
        </is>
      </c>
      <c r="L201" s="419" t="inlineStr">
        <is>
          <t>task verify pass; impl 34b6d44 (bundled commit R-254..R-258); offline/deterministic, 0 cloud calls.</t>
        </is>
      </c>
      <c r="M201" s="419" t="inlineStr">
        <is>
          <t>Backfilled to reconcile the execution tracker with shipped, committed work (R-253..R-279).</t>
        </is>
      </c>
    </row>
    <row r="202">
      <c r="A202" s="419" t="inlineStr">
        <is>
          <t>R-256</t>
        </is>
      </c>
      <c r="B202" s="419" t="inlineStr">
        <is>
          <t>MVP</t>
        </is>
      </c>
      <c r="C202" s="419" t="inlineStr">
        <is>
          <t>Builder</t>
        </is>
      </c>
      <c r="D202" s="419" t="inlineStr">
        <is>
          <t>Wire PUT handlers (full-replace update) with validation in Go and FastAPI backends</t>
        </is>
      </c>
      <c r="E202"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02" s="419" t="inlineStr">
        <is>
          <t>P1</t>
        </is>
      </c>
      <c r="G202" s="419" t="inlineStr">
        <is>
          <t>Claude (Opus 4.8)</t>
        </is>
      </c>
      <c r="H202" s="419" t="inlineStr">
        <is>
          <t>Done</t>
        </is>
      </c>
      <c r="I202" s="420" t="n">
        <v>1</v>
      </c>
      <c r="J202" s="419" t="inlineStr">
        <is>
          <t>R-255</t>
        </is>
      </c>
      <c r="K202" s="419" t="inlineStr">
        <is>
          <t>Founder Stage 0</t>
        </is>
      </c>
      <c r="L202" s="419" t="inlineStr">
        <is>
          <t>task verify 420 tests; impl 34b6d44 (bundled commit R-254..R-258); offline/deterministic, 0 cloud calls.</t>
        </is>
      </c>
      <c r="M202" s="419" t="inlineStr">
        <is>
          <t>Backfilled to reconcile the execution tracker with shipped, committed work (R-253..R-279).</t>
        </is>
      </c>
    </row>
    <row r="203">
      <c r="A203" s="419" t="inlineStr">
        <is>
          <t>R-255</t>
        </is>
      </c>
      <c r="B203" s="419" t="inlineStr">
        <is>
          <t>MVP</t>
        </is>
      </c>
      <c r="C203" s="419" t="inlineStr">
        <is>
          <t>Builder</t>
        </is>
      </c>
      <c r="D203" s="419" t="inlineStr">
        <is>
          <t>Query parameter pagination (limit &amp; offset) for LIST and LIST_BY in Go and FastAPI backends</t>
        </is>
      </c>
      <c r="E203"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03" s="419" t="inlineStr">
        <is>
          <t>P1</t>
        </is>
      </c>
      <c r="G203" s="419" t="inlineStr">
        <is>
          <t>Claude (Opus 4.8)</t>
        </is>
      </c>
      <c r="H203" s="419" t="inlineStr">
        <is>
          <t>Done</t>
        </is>
      </c>
      <c r="I203" s="420" t="n">
        <v>1</v>
      </c>
      <c r="J203" s="419" t="inlineStr">
        <is>
          <t>R-254</t>
        </is>
      </c>
      <c r="K203" s="419" t="inlineStr">
        <is>
          <t>Founder Stage 0</t>
        </is>
      </c>
      <c r="L203" s="419" t="inlineStr">
        <is>
          <t>task verify pass; impl 34b6d44 (bundled commit R-254..R-258); offline/deterministic, 0 cloud calls.</t>
        </is>
      </c>
      <c r="M203" s="419" t="inlineStr">
        <is>
          <t>Backfilled to reconcile the execution tracker with shipped, committed work (R-253..R-279).</t>
        </is>
      </c>
    </row>
    <row r="204">
      <c r="A204" s="419" t="inlineStr">
        <is>
          <t>R-254</t>
        </is>
      </c>
      <c r="B204" s="419" t="inlineStr">
        <is>
          <t>MVP</t>
        </is>
      </c>
      <c r="C204" s="419" t="inlineStr">
        <is>
          <t>Builder</t>
        </is>
      </c>
      <c r="D204" s="419" t="inlineStr">
        <is>
          <t>Field-level validation error bodies (structured JSON errors instead of flat string)</t>
        </is>
      </c>
      <c r="E204"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04" s="419" t="inlineStr">
        <is>
          <t>P1</t>
        </is>
      </c>
      <c r="G204" s="419" t="inlineStr">
        <is>
          <t>Claude (Opus 4.8)</t>
        </is>
      </c>
      <c r="H204" s="419" t="inlineStr">
        <is>
          <t>Done</t>
        </is>
      </c>
      <c r="I204" s="420" t="n">
        <v>1</v>
      </c>
      <c r="J204" s="419" t="inlineStr">
        <is>
          <t>R-253</t>
        </is>
      </c>
      <c r="K204" s="419" t="inlineStr">
        <is>
          <t>Founder Stage 0</t>
        </is>
      </c>
      <c r="L204" s="419" t="inlineStr">
        <is>
          <t>task verify 398 tests; impl 34b6d44 (bundled commit R-254..R-258); offline/deterministic, 0 cloud calls.</t>
        </is>
      </c>
      <c r="M204" s="419" t="inlineStr">
        <is>
          <t>Backfilled to reconcile the execution tracker with shipped, committed work (R-253..R-279).</t>
        </is>
      </c>
    </row>
    <row r="205">
      <c r="A205" s="419" t="inlineStr">
        <is>
          <t>R-253</t>
        </is>
      </c>
      <c r="B205" s="419" t="inlineStr">
        <is>
          <t>MVP</t>
        </is>
      </c>
      <c r="C205" s="419" t="inlineStr">
        <is>
          <t>Builder</t>
        </is>
      </c>
      <c r="D205" s="419" t="inlineStr">
        <is>
          <t>Wire PATCH/update handlers with validation in Go and FastAPI backends</t>
        </is>
      </c>
      <c r="E205"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05" s="419" t="inlineStr">
        <is>
          <t>P1</t>
        </is>
      </c>
      <c r="G205" s="419" t="inlineStr">
        <is>
          <t>Claude (Opus 4.8)</t>
        </is>
      </c>
      <c r="H205" s="419" t="inlineStr">
        <is>
          <t>Done</t>
        </is>
      </c>
      <c r="I205" s="420" t="n">
        <v>1</v>
      </c>
      <c r="J205" s="419" t="inlineStr">
        <is>
          <t>R-252</t>
        </is>
      </c>
      <c r="K205" s="419" t="inlineStr">
        <is>
          <t>Founder Stage 0</t>
        </is>
      </c>
      <c r="L205" s="419" t="inlineStr">
        <is>
          <t>task verify 360 tests; impl 5b2e1c1; offline/deterministic, 0 cloud calls.</t>
        </is>
      </c>
      <c r="M205" s="419" t="inlineStr">
        <is>
          <t>Backfilled to reconcile the execution tracker with shipped, committed work (R-253..R-279).</t>
        </is>
      </c>
    </row>
    <row r="206">
      <c r="A206" s="419" t="inlineStr">
        <is>
          <t>R-252</t>
        </is>
      </c>
      <c r="B206" s="419" t="inlineStr">
        <is>
          <t>MVP</t>
        </is>
      </c>
      <c r="C206" s="419" t="inlineStr">
        <is>
          <t>Builder</t>
        </is>
      </c>
      <c r="D206" s="419" t="inlineStr">
        <is>
          <t>Enforce go-playground validation in the generated Go create handlers</t>
        </is>
      </c>
      <c r="E206"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06" s="419" t="inlineStr">
        <is>
          <t>P1</t>
        </is>
      </c>
      <c r="G206" s="419" t="inlineStr">
        <is>
          <t>Claude (Opus 4.8)</t>
        </is>
      </c>
      <c r="H206" s="419" t="inlineStr">
        <is>
          <t>Done</t>
        </is>
      </c>
      <c r="I206" s="420" t="n">
        <v>1</v>
      </c>
      <c r="J206" s="419" t="inlineStr">
        <is>
          <t>R-251</t>
        </is>
      </c>
      <c r="K206" s="419" t="inlineStr">
        <is>
          <t>Founder Stage 0</t>
        </is>
      </c>
      <c r="L206"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06" s="419" t="inlineStr">
        <is>
          <t>Founder chose option 1 after R-251 (wire enforcement, not static/seed rendering). Reconstructed with founder approval from Brief Sections 9, 26, 27, 34, 42, 74, 77, and 92.</t>
        </is>
      </c>
    </row>
    <row r="207">
      <c r="A207" s="419" t="inlineStr">
        <is>
          <t>R-251</t>
        </is>
      </c>
      <c r="B207" s="419" t="inlineStr">
        <is>
          <t>MVP</t>
        </is>
      </c>
      <c r="C207" s="419" t="inlineStr">
        <is>
          <t>Builder</t>
        </is>
      </c>
      <c r="D207" s="419" t="inlineStr">
        <is>
          <t>Field validation for Go + numeric min/max (all schema/model targets)</t>
        </is>
      </c>
      <c r="E207"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07" s="419" t="inlineStr">
        <is>
          <t>P1</t>
        </is>
      </c>
      <c r="G207" s="419" t="inlineStr">
        <is>
          <t>Claude (Opus 4.8)</t>
        </is>
      </c>
      <c r="H207" s="419" t="inlineStr">
        <is>
          <t>Done</t>
        </is>
      </c>
      <c r="I207" s="420" t="n">
        <v>1</v>
      </c>
      <c r="J207" s="419" t="inlineStr">
        <is>
          <t>R-250</t>
        </is>
      </c>
      <c r="K207" s="419" t="inlineStr">
        <is>
          <t>Founder Stage 0</t>
        </is>
      </c>
      <c r="L207" s="419" t="inlineStr">
        <is>
          <t>Done 2060a21 — 345 tests (8 new); task verify + security:quick + env:check pass; numeric CHECK + Pydantic ge/le + Go validate tags across all targets; rule-free fields unchanged; no go.mod dep, no DB connection.</t>
        </is>
      </c>
      <c r="M207" s="419" t="inlineStr">
        <is>
          <t>Reconstructed with founder approval (extend field validation to Go + numeric bounds) from Brief Sections 9, 26, 27, 34, 42, 74, 77, and 92.</t>
        </is>
      </c>
    </row>
    <row r="208">
      <c r="A208" s="419" t="inlineStr">
        <is>
          <t>R-250</t>
        </is>
      </c>
      <c r="B208" s="419" t="inlineStr">
        <is>
          <t>MVP</t>
        </is>
      </c>
      <c r="C208" s="419" t="inlineStr">
        <is>
          <t>Builder</t>
        </is>
      </c>
      <c r="D208" s="419" t="inlineStr">
        <is>
          <t>Richer field validation (max_length + enum) into schema + FastAPI models</t>
        </is>
      </c>
      <c r="E208"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08" s="419" t="inlineStr">
        <is>
          <t>P1</t>
        </is>
      </c>
      <c r="G208" s="419" t="inlineStr">
        <is>
          <t>Claude (Opus 4.8)</t>
        </is>
      </c>
      <c r="H208" s="419" t="inlineStr">
        <is>
          <t>Done</t>
        </is>
      </c>
      <c r="I208" s="420" t="n">
        <v>1</v>
      </c>
      <c r="J208" s="419" t="inlineStr">
        <is>
          <t>R-249</t>
        </is>
      </c>
      <c r="K208" s="419" t="inlineStr">
        <is>
          <t>Founder Stage 0</t>
        </is>
      </c>
      <c r="L208" s="419" t="inlineStr">
        <is>
          <t>Done 1eed171 — 337 tests (10 new); task verify + security:quick + env:check pass; STRING max_length -&gt; VARCHAR(n), enum -&gt; CHECK, Pydantic Field(max_length)/Literal; unknown rules ignored; examples unchanged; no DB connection.</t>
        </is>
      </c>
      <c r="M208" s="419" t="inlineStr">
        <is>
          <t>Reconstructed with founder approval (richer field validation into models + schema) from Brief Sections 9, 26, 27, 34, 42, 74, 77, and 92.</t>
        </is>
      </c>
    </row>
    <row r="209">
      <c r="A209" s="419" t="inlineStr">
        <is>
          <t>R-249</t>
        </is>
      </c>
      <c r="B209" s="419" t="inlineStr">
        <is>
          <t>MVP</t>
        </is>
      </c>
      <c r="C209" s="419" t="inlineStr">
        <is>
          <t>Builder</t>
        </is>
      </c>
      <c r="D209" s="419" t="inlineStr">
        <is>
          <t>IR indexes + unique constraints in the generated PostgreSQL schema</t>
        </is>
      </c>
      <c r="E209"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09" s="419" t="inlineStr">
        <is>
          <t>P1</t>
        </is>
      </c>
      <c r="G209" s="419" t="inlineStr">
        <is>
          <t>Claude (Opus 4.8)</t>
        </is>
      </c>
      <c r="H209" s="419" t="inlineStr">
        <is>
          <t>Done</t>
        </is>
      </c>
      <c r="I209" s="420" t="n">
        <v>1</v>
      </c>
      <c r="J209" s="419" t="inlineStr">
        <is>
          <t>R-248</t>
        </is>
      </c>
      <c r="K209" s="419" t="inlineStr">
        <is>
          <t>Founder Stage 0</t>
        </is>
      </c>
      <c r="L209" s="419" t="inlineStr">
        <is>
          <t>Done 28e7cd5 — 327 tests (11 new); task verify + security:quick + env:check pass; UNIQUE columns + CREATE [UNIQUE] INDEX rendered, id never unique, bad index field is a construction error, IR round-trips; no DB connection.</t>
        </is>
      </c>
      <c r="M209" s="419" t="inlineStr">
        <is>
          <t>Reconstructed with founder approval (deeper IR/adapter coverage: indexes + unique constraints) from Brief Sections 9, 34, 35, 42, 74, 77, and 92.</t>
        </is>
      </c>
    </row>
    <row r="210">
      <c r="A210" s="419" t="inlineStr">
        <is>
          <t>R-248</t>
        </is>
      </c>
      <c r="B210" s="419" t="inlineStr">
        <is>
          <t>MVP</t>
        </is>
      </c>
      <c r="C210" s="419" t="inlineStr">
        <is>
          <t>Builder</t>
        </is>
      </c>
      <c r="D210" s="419" t="inlineStr">
        <is>
          <t>Application IR fixtures + honest migrations/0002_seed.sql</t>
        </is>
      </c>
      <c r="E210"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10" s="419" t="inlineStr">
        <is>
          <t>P1</t>
        </is>
      </c>
      <c r="G210" s="419" t="inlineStr">
        <is>
          <t>Claude (Opus 4.8)</t>
        </is>
      </c>
      <c r="H210" s="419" t="inlineStr">
        <is>
          <t>Done</t>
        </is>
      </c>
      <c r="I210" s="420" t="n">
        <v>1</v>
      </c>
      <c r="J210" s="419" t="inlineStr">
        <is>
          <t>R-247</t>
        </is>
      </c>
      <c r="K210" s="419" t="inlineStr">
        <is>
          <t>Founder Stage 0</t>
        </is>
      </c>
      <c r="L210"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10" s="419" t="inlineStr">
        <is>
          <t>Reconstructed with founder approval (honest seed data from explicit IR fixtures) from Brief Sections 9, 26, 27, 34, 35, 42, 74, 77, and 92.</t>
        </is>
      </c>
    </row>
    <row r="211">
      <c r="A211" s="419" t="inlineStr">
        <is>
          <t>R-247</t>
        </is>
      </c>
      <c r="B211" s="419" t="inlineStr">
        <is>
          <t>MVP</t>
        </is>
      </c>
      <c r="C211" s="419" t="inlineStr">
        <is>
          <t>Console</t>
        </is>
      </c>
      <c r="D211" s="419" t="inlineStr">
        <is>
          <t>Render the project plan and unified edit patch in the static console</t>
        </is>
      </c>
      <c r="E211"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11" s="419" t="inlineStr">
        <is>
          <t>P1</t>
        </is>
      </c>
      <c r="G211" s="419" t="inlineStr">
        <is>
          <t>Codex (GPT-5)</t>
        </is>
      </c>
      <c r="H211" s="419" t="inlineStr">
        <is>
          <t>Done</t>
        </is>
      </c>
      <c r="I211" s="420" t="n">
        <v>1</v>
      </c>
      <c r="J211" s="419" t="inlineStr">
        <is>
          <t>R-246</t>
        </is>
      </c>
      <c r="K211" s="419" t="inlineStr">
        <is>
          <t>Founder Stage 0</t>
        </is>
      </c>
      <c r="L211" s="419" t="inlineStr">
        <is>
          <t>Done 6a82056 — 302 tests (5 new); task verify + security:quick + env:check pass; deterministic snapshot; node --check; live local visual review shows 2-app plan + 5-file hunk patch; 1 local / 0 cloud model calls.</t>
        </is>
      </c>
      <c r="M211" s="419" t="inlineStr">
        <is>
          <t>Founder instructed continuation from R-247; selected the smallest visible offline console slice from the approved options. Brief Sections 6, 9, 15, 25-27, 34, 51, 74, 77, 83-85, and 92.</t>
        </is>
      </c>
    </row>
    <row r="212">
      <c r="A212" s="419" t="inlineStr">
        <is>
          <t>R-246</t>
        </is>
      </c>
      <c r="B212" s="419" t="inlineStr">
        <is>
          <t>MVP</t>
        </is>
      </c>
      <c r="C212" s="419" t="inlineStr">
        <is>
          <t>Builder</t>
        </is>
      </c>
      <c r="D212" s="419" t="inlineStr">
        <is>
          <t>Richer edit-loop diffs (hunk-level + rename detection)</t>
        </is>
      </c>
      <c r="E212"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12" s="419" t="inlineStr">
        <is>
          <t>P2</t>
        </is>
      </c>
      <c r="G212" s="419" t="inlineStr">
        <is>
          <t>Claude (Opus 4.8)</t>
        </is>
      </c>
      <c r="H212" s="419" t="inlineStr">
        <is>
          <t>Done</t>
        </is>
      </c>
      <c r="I212" s="420" t="n">
        <v>1</v>
      </c>
      <c r="J212" s="419" t="inlineStr">
        <is>
          <t>R-237</t>
        </is>
      </c>
      <c r="K212" s="419" t="inlineStr">
        <is>
          <t>Founder Stage 0</t>
        </is>
      </c>
      <c r="L212" s="419" t="inlineStr">
        <is>
          <t>Done eebab68 — 297 tests (6 new); task verify + security:quick + env:check pass; diff_report gives hunk diffs + rename detection; unified_patch byte-stable; additive, nothing run.</t>
        </is>
      </c>
      <c r="M212" s="419" t="inlineStr">
        <is>
          <t>Reconstructed with founder approval (edits read as focused patches) from Brief Sections 6, 9, 27, 34, 74, 77, and 92.</t>
        </is>
      </c>
    </row>
    <row r="213">
      <c r="A213" s="419" t="inlineStr">
        <is>
          <t>R-245</t>
        </is>
      </c>
      <c r="B213" s="419" t="inlineStr">
        <is>
          <t>MVP</t>
        </is>
      </c>
      <c r="C213" s="419" t="inlineStr">
        <is>
          <t>Runtime</t>
        </is>
      </c>
      <c r="D213" s="419" t="inlineStr">
        <is>
          <t>Combined project-plan surface (preview + verify + deploy per app)</t>
        </is>
      </c>
      <c r="E213"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13" s="419" t="inlineStr">
        <is>
          <t>P1</t>
        </is>
      </c>
      <c r="G213" s="419" t="inlineStr">
        <is>
          <t>Claude (Opus 4.8)</t>
        </is>
      </c>
      <c r="H213" s="419" t="inlineStr">
        <is>
          <t>Done</t>
        </is>
      </c>
      <c r="I213" s="420" t="n">
        <v>1</v>
      </c>
      <c r="J213" s="419" t="inlineStr">
        <is>
          <t>R-235</t>
        </is>
      </c>
      <c r="K213" s="419" t="inlineStr">
        <is>
          <t>Founder Stage 0</t>
        </is>
      </c>
      <c r="L213" s="419" t="inlineStr">
        <is>
          <t>Done 891144d — 291 tests (6 new); task verify + security:quick + env:check pass; task plan:show renders preview+verify per app; deploy opt-in; JSON secret-free; nothing run.</t>
        </is>
      </c>
      <c r="M213" s="419" t="inlineStr">
        <is>
          <t>Reconstructed with founder approval (one plan surface tying runtime + verify + deploy) from Brief Sections 15, 26, 27, 51, 74, 75, 77, and 92.</t>
        </is>
      </c>
    </row>
    <row r="214">
      <c r="A214" s="419" t="inlineStr">
        <is>
          <t>R-244</t>
        </is>
      </c>
      <c r="B214" s="419" t="inlineStr">
        <is>
          <t>MVP</t>
        </is>
      </c>
      <c r="C214" s="419" t="inlineStr">
        <is>
          <t>Builder</t>
        </is>
      </c>
      <c r="D214" s="419" t="inlineStr">
        <is>
          <t>Sub-collection route wiring (parent-scoped lists)</t>
        </is>
      </c>
      <c r="E214"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14" s="419" t="inlineStr">
        <is>
          <t>P0</t>
        </is>
      </c>
      <c r="G214" s="419" t="inlineStr">
        <is>
          <t>Claude (Opus 4.8)</t>
        </is>
      </c>
      <c r="H214" s="419" t="inlineStr">
        <is>
          <t>Done</t>
        </is>
      </c>
      <c r="I214" s="420" t="n">
        <v>1</v>
      </c>
      <c r="J214" s="419" t="inlineStr">
        <is>
          <t>R-243</t>
        </is>
      </c>
      <c r="K214" s="419" t="inlineStr">
        <is>
          <t>Founder Stage 0</t>
        </is>
      </c>
      <c r="L214" s="419" t="inlineStr">
        <is>
          <t>Done b886d72 — 285 tests (11 new); task verify + security:quick + env:check pass; GET /posts/{postId}/comments wired to list_comment_by_post (Py) / ListCommentByPost (Go); ambiguous routes stay 501; nothing run.</t>
        </is>
      </c>
      <c r="M214" s="419" t="inlineStr">
        <is>
          <t>Reconstructed with founder approval (finish the CRUD story via sub-collection lists) from Brief Sections 9, 27, 34, 35, 42, 74, 77, and 92.</t>
        </is>
      </c>
    </row>
    <row r="215">
      <c r="A215" s="419" t="inlineStr">
        <is>
          <t>R-243</t>
        </is>
      </c>
      <c r="B215" s="419" t="inlineStr">
        <is>
          <t>MVP</t>
        </is>
      </c>
      <c r="C215" s="419" t="inlineStr">
        <is>
          <t>Builder</t>
        </is>
      </c>
      <c r="D215" s="419" t="inlineStr">
        <is>
          <t>Per-endpoint role enforcement (IR required_roles -&gt; 403)</t>
        </is>
      </c>
      <c r="E215"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15" s="419" t="inlineStr">
        <is>
          <t>P0</t>
        </is>
      </c>
      <c r="G215" s="419" t="inlineStr">
        <is>
          <t>Claude (Opus 4.8)</t>
        </is>
      </c>
      <c r="H215" s="419" t="inlineStr">
        <is>
          <t>Done</t>
        </is>
      </c>
      <c r="I215" s="420" t="n">
        <v>1</v>
      </c>
      <c r="J215" s="419" t="inlineStr">
        <is>
          <t>R-242</t>
        </is>
      </c>
      <c r="K215" s="419" t="inlineStr">
        <is>
          <t>Founder Stage 0</t>
        </is>
      </c>
      <c r="L215" s="419" t="inlineStr">
        <is>
          <t>Done 1faea2c — 274 tests (6 new); task verify + security:quick + env:check pass; IR required_roles validated+serialized, Python require_roles + Go RequireRoles -&gt; 403; validate_ir errors on unknown role; nothing run.</t>
        </is>
      </c>
      <c r="M215" s="419" t="inlineStr">
        <is>
          <t>Reconstructed with founder approval (per-endpoint roles after JWT verification) from Brief Sections 9, 27, 34, 55, 64, 74, 77, and 92.</t>
        </is>
      </c>
    </row>
    <row r="216">
      <c r="A216" s="419" t="inlineStr">
        <is>
          <t>R-242</t>
        </is>
      </c>
      <c r="B216" s="419" t="inlineStr">
        <is>
          <t>MVP</t>
        </is>
      </c>
      <c r="C216" s="419" t="inlineStr">
        <is>
          <t>Builder</t>
        </is>
      </c>
      <c r="D216" s="419" t="inlineStr">
        <is>
          <t>Real JWT verification in the generated auth guard (HS256)</t>
        </is>
      </c>
      <c r="E216"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16" s="419" t="inlineStr">
        <is>
          <t>P0</t>
        </is>
      </c>
      <c r="G216" s="419" t="inlineStr">
        <is>
          <t>Claude (Opus 4.8)</t>
        </is>
      </c>
      <c r="H216" s="419" t="inlineStr">
        <is>
          <t>Done</t>
        </is>
      </c>
      <c r="I216" s="420" t="n">
        <v>1</v>
      </c>
      <c r="J216" s="419" t="inlineStr">
        <is>
          <t>R-241</t>
        </is>
      </c>
      <c r="K216" s="419" t="inlineStr">
        <is>
          <t>Founder Stage 0</t>
        </is>
      </c>
      <c r="L216" s="419" t="inlineStr">
        <is>
          <t>Done e0d8af3 — 268 tests (3 new); task verify + security:quick + env:check pass; Python require_auth uses PyJWT HS256, Go RequireAuth uses golang-jwt; JWT_SECRET from env only; nothing run.</t>
        </is>
      </c>
      <c r="M216" s="419" t="inlineStr">
        <is>
          <t>Reconstructed with founder approval (real token verification after the R-241 auth guard) from Brief Sections 9, 27, 34, 55, 64, 74, 77, 90, and 92.</t>
        </is>
      </c>
    </row>
    <row r="217">
      <c r="A217" s="419" t="inlineStr">
        <is>
          <t>R-241</t>
        </is>
      </c>
      <c r="B217" s="419" t="inlineStr">
        <is>
          <t>MVP</t>
        </is>
      </c>
      <c r="C217" s="419" t="inlineStr">
        <is>
          <t>Builder</t>
        </is>
      </c>
      <c r="D217" s="419" t="inlineStr">
        <is>
          <t>Authentication guards from the IR (enforce endpoint auth flag)</t>
        </is>
      </c>
      <c r="E217"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17" s="419" t="inlineStr">
        <is>
          <t>P0</t>
        </is>
      </c>
      <c r="G217" s="419" t="inlineStr">
        <is>
          <t>Claude (Opus 4.8)</t>
        </is>
      </c>
      <c r="H217" s="419" t="inlineStr">
        <is>
          <t>Done</t>
        </is>
      </c>
      <c r="I217" s="420" t="n">
        <v>1</v>
      </c>
      <c r="J217" s="419" t="inlineStr">
        <is>
          <t>R-240</t>
        </is>
      </c>
      <c r="K217" s="419" t="inlineStr">
        <is>
          <t>Founder Stage 0</t>
        </is>
      </c>
      <c r="L217" s="419" t="inlineStr">
        <is>
          <t>Done 4db716b — 265 tests (9 new); task verify + security:quick + env:check pass; auth=true routes guarded (Python Depends, Go RequireAuth), public routes untouched; token verification is a documented TODO.</t>
        </is>
      </c>
      <c r="M217" s="419" t="inlineStr">
        <is>
          <t>Reconstructed with founder approval (enforce the IR auth flag; a core real-app feature) from Brief Sections 9, 27, 34, 35, 55, 64, 74, 77, and 92.</t>
        </is>
      </c>
    </row>
    <row r="218">
      <c r="A218" s="419" t="inlineStr">
        <is>
          <t>R-240</t>
        </is>
      </c>
      <c r="B218" s="419" t="inlineStr">
        <is>
          <t>MVP</t>
        </is>
      </c>
      <c r="C218" s="419" t="inlineStr">
        <is>
          <t>Builder</t>
        </is>
      </c>
      <c r="D218" s="419" t="inlineStr">
        <is>
          <t>Route wiring: handlers call the repositories (real CRUD)</t>
        </is>
      </c>
      <c r="E218"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18" s="419" t="inlineStr">
        <is>
          <t>P0</t>
        </is>
      </c>
      <c r="G218" s="419" t="inlineStr">
        <is>
          <t>Claude (Opus 4.8)</t>
        </is>
      </c>
      <c r="H218" s="419" t="inlineStr">
        <is>
          <t>Done</t>
        </is>
      </c>
      <c r="I218" s="420" t="n">
        <v>1</v>
      </c>
      <c r="J218" s="419" t="inlineStr">
        <is>
          <t>R-239</t>
        </is>
      </c>
      <c r="K218" s="419" t="inlineStr">
        <is>
          <t>Founder Stage 0</t>
        </is>
      </c>
      <c r="L218" s="419" t="inlineStr">
        <is>
          <t>Done 013dfc4 — 256 tests (12 new); task verify + security:quick + env:check pass; Python routers call repositories, Go main opens store.Open()+handlers.New(db); ambiguous routes stay 501; nothing run.</t>
        </is>
      </c>
      <c r="M218" s="419" t="inlineStr">
        <is>
          <t>Reconstructed with founder approval (turn the 501 stubs into real CRUD over the data-access layer) from Brief Sections 9, 27, 34, 35, 42, 74, 77, and 92.</t>
        </is>
      </c>
    </row>
    <row r="219">
      <c r="A219" s="419" t="inlineStr">
        <is>
          <t>R-239</t>
        </is>
      </c>
      <c r="B219" s="419" t="inlineStr">
        <is>
          <t>MVP</t>
        </is>
      </c>
      <c r="C219" s="419" t="inlineStr">
        <is>
          <t>Builder</t>
        </is>
      </c>
      <c r="D219" s="419" t="inlineStr">
        <is>
          <t>Data-access/repository layer for the generated backends</t>
        </is>
      </c>
      <c r="E219"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19" s="419" t="inlineStr">
        <is>
          <t>P0</t>
        </is>
      </c>
      <c r="G219" s="419" t="inlineStr">
        <is>
          <t>Claude (Opus 4.8)</t>
        </is>
      </c>
      <c r="H219" s="419" t="inlineStr">
        <is>
          <t>Done</t>
        </is>
      </c>
      <c r="I219" s="420" t="n">
        <v>1</v>
      </c>
      <c r="J219" s="419" t="inlineStr">
        <is>
          <t>R-238</t>
        </is>
      </c>
      <c r="K219" s="419" t="inlineStr">
        <is>
          <t>Founder Stage 0</t>
        </is>
      </c>
      <c r="L219" s="419" t="inlineStr">
        <is>
          <t>Done f6792fa — 244 tests (7 new); task verify + security:quick + env:check pass; python repos parse + go store scans model structs; parameterized SQL; no DB connection.</t>
        </is>
      </c>
      <c r="M219" s="419" t="inlineStr">
        <is>
          <t>Reconstructed with founder approval (make the generated backend use the schema) from Brief Sections 9, 34, 35, 42, 74, 77, 90, and 92.</t>
        </is>
      </c>
    </row>
    <row r="220">
      <c r="A220" s="419" t="inlineStr">
        <is>
          <t>R-238</t>
        </is>
      </c>
      <c r="B220" s="419" t="inlineStr">
        <is>
          <t>MVP</t>
        </is>
      </c>
      <c r="C220" s="419" t="inlineStr">
        <is>
          <t>Builder</t>
        </is>
      </c>
      <c r="D220" s="419" t="inlineStr">
        <is>
          <t>PostgreSQL schema/migration generation from the Application IR</t>
        </is>
      </c>
      <c r="E220"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20" s="419" t="inlineStr">
        <is>
          <t>P0</t>
        </is>
      </c>
      <c r="G220" s="419" t="inlineStr">
        <is>
          <t>Claude (Opus 4.8)</t>
        </is>
      </c>
      <c r="H220" s="419" t="inlineStr">
        <is>
          <t>Done</t>
        </is>
      </c>
      <c r="I220" s="420" t="n">
        <v>1</v>
      </c>
      <c r="J220" s="419" t="inlineStr">
        <is>
          <t>R-232</t>
        </is>
      </c>
      <c r="K220" s="419" t="inlineStr">
        <is>
          <t>Founder Stage 0</t>
        </is>
      </c>
      <c r="L220" s="419" t="inlineStr">
        <is>
          <t>Done c6a4c6e — 237 tests (11 new); task verify + security:quick + env:check pass; schema demoed for rideshare (driver + favourite_driver FK); no DB connection/run.</t>
        </is>
      </c>
      <c r="M220" s="419" t="inlineStr">
        <is>
          <t>Reconstructed with founder approval (real persistence layer for the generated backend) from Brief Sections 9, 34, 35, 42, 74, 77, and 92.</t>
        </is>
      </c>
    </row>
    <row r="221">
      <c r="A221" s="419" t="inlineStr">
        <is>
          <t>R-237</t>
        </is>
      </c>
      <c r="B221" s="419" t="inlineStr">
        <is>
          <t>MVP</t>
        </is>
      </c>
      <c r="C221" s="419" t="inlineStr">
        <is>
          <t>Builder</t>
        </is>
      </c>
      <c r="D221" s="419" t="inlineStr">
        <is>
          <t>IR-diff -&gt; patch-apply edit loop (edit an existing app)</t>
        </is>
      </c>
      <c r="E221"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21" s="419" t="inlineStr">
        <is>
          <t>P0</t>
        </is>
      </c>
      <c r="G221" s="419" t="inlineStr">
        <is>
          <t>Claude (Opus 4.8)</t>
        </is>
      </c>
      <c r="H221" s="419" t="inlineStr">
        <is>
          <t>Done</t>
        </is>
      </c>
      <c r="I221" s="420" t="n">
        <v>1</v>
      </c>
      <c r="J221" s="419" t="inlineStr">
        <is>
          <t>R-232</t>
        </is>
      </c>
      <c r="K221" s="419" t="inlineStr">
        <is>
          <t>Founder Stage 0</t>
        </is>
      </c>
      <c r="L221" s="419" t="inlineStr">
        <is>
          <t>Done a0a494a — 226 tests (9 new); task verify + security:quick + env:check pass; apply round-trip + commit_edit history proven; no network/exec, no write outside target.</t>
        </is>
      </c>
      <c r="M221" s="419" t="inlineStr">
        <is>
          <t>Reconstructed with founder approval (edit-an-app motion after generate + verify) from Brief Sections 6, 9, 27, 34, 35, 74, 77, and 92.</t>
        </is>
      </c>
    </row>
    <row r="222">
      <c r="A222" s="419" t="inlineStr">
        <is>
          <t>R-236</t>
        </is>
      </c>
      <c r="B222" s="419" t="inlineStr">
        <is>
          <t>MVP</t>
        </is>
      </c>
      <c r="C222" s="419" t="inlineStr">
        <is>
          <t>Model Fabric</t>
        </is>
      </c>
      <c r="D222" s="419" t="inlineStr">
        <is>
          <t>Expand model-provider catalog + custom OpenAI-compatible providers</t>
        </is>
      </c>
      <c r="E222"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22" s="419" t="inlineStr">
        <is>
          <t>P0</t>
        </is>
      </c>
      <c r="G222" s="419" t="inlineStr">
        <is>
          <t>Claude (Opus 4.8)</t>
        </is>
      </c>
      <c r="H222" s="419" t="inlineStr">
        <is>
          <t>Done</t>
        </is>
      </c>
      <c r="I222" s="420" t="n">
        <v>1</v>
      </c>
      <c r="J222" s="419" t="inlineStr">
        <is>
          <t>R-223</t>
        </is>
      </c>
      <c r="K222" s="419" t="inlineStr">
        <is>
          <t>Founder Stage 0</t>
        </is>
      </c>
      <c r="L222" s="419" t="inlineStr">
        <is>
          <t>Done e6326bf — 217 tests (14 new); task verify + security:quick + env:check pass; overview demoed 12-provider catalog incl. custom myco; no key value shown.</t>
        </is>
      </c>
      <c r="M222" s="419" t="inlineStr">
        <is>
          <t>Reconstructed with founder approval (add DeepSeek/Grok/etc. + custom/local providers, done the platform's way) from Brief Sections 10, 11, 12, 13, 55, 64, 69, 70, 74, 77, 90, and 92.</t>
        </is>
      </c>
    </row>
    <row r="223">
      <c r="A223" s="419" t="inlineStr">
        <is>
          <t>R-235</t>
        </is>
      </c>
      <c r="B223" s="419" t="inlineStr">
        <is>
          <t>MVP</t>
        </is>
      </c>
      <c r="C223" s="419" t="inlineStr">
        <is>
          <t>Verify</t>
        </is>
      </c>
      <c r="D223" s="419" t="inlineStr">
        <is>
          <t>Verifiable-engineering verify plans (per-target gate ladders)</t>
        </is>
      </c>
      <c r="E223"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23" s="419" t="inlineStr">
        <is>
          <t>P0</t>
        </is>
      </c>
      <c r="G223" s="419" t="inlineStr">
        <is>
          <t>Claude (Opus 4.8)</t>
        </is>
      </c>
      <c r="H223" s="419" t="inlineStr">
        <is>
          <t>Done</t>
        </is>
      </c>
      <c r="I223" s="420" t="n">
        <v>1</v>
      </c>
      <c r="J223" s="419" t="inlineStr">
        <is>
          <t>R-232</t>
        </is>
      </c>
      <c r="K223" s="419" t="inlineStr">
        <is>
          <t>Founder Stage 0</t>
        </is>
      </c>
      <c r="L223" s="419" t="inlineStr">
        <is>
          <t>Done cb74d0c — 203 tests (9 new); task verify + security:quick + env:check pass; verify-plan demoed for backend-go/nextjs-web; nothing installed/built/run.</t>
        </is>
      </c>
      <c r="M223" s="419" t="inlineStr">
        <is>
          <t>Reconstructed with founder approval (verifiable engineering backbone) from Brief Sections 26, 27, 42, 44, 74, 77, 83, 84, 85, and 92.</t>
        </is>
      </c>
    </row>
    <row r="224">
      <c r="A224" s="419" t="inlineStr">
        <is>
          <t>R-234</t>
        </is>
      </c>
      <c r="B224" s="419" t="inlineStr">
        <is>
          <t>MVP</t>
        </is>
      </c>
      <c r="C224" s="419" t="inlineStr">
        <is>
          <t>Runtime</t>
        </is>
      </c>
      <c r="D224" s="419" t="inlineStr">
        <is>
          <t>Tier switch + cloud provider drivers</t>
        </is>
      </c>
      <c r="E224"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24" s="419" t="inlineStr">
        <is>
          <t>P0</t>
        </is>
      </c>
      <c r="G224" s="419" t="inlineStr">
        <is>
          <t>Claude (Opus 4.8)</t>
        </is>
      </c>
      <c r="H224" s="419" t="inlineStr">
        <is>
          <t>Done</t>
        </is>
      </c>
      <c r="I224" s="420" t="n">
        <v>1</v>
      </c>
      <c r="J224" s="419" t="inlineStr">
        <is>
          <t>R-233</t>
        </is>
      </c>
      <c r="K224" s="419" t="inlineStr">
        <is>
          <t>Founder Stage 0</t>
        </is>
      </c>
      <c r="L224" s="419" t="inlineStr">
        <is>
          <t>Done dcb7d2d — 194 tests (13 new); task verify + security:quick + env:check pass; platform:status demoed tier 0 and tier 2.</t>
        </is>
      </c>
      <c r="M224" s="419" t="inlineStr">
        <is>
          <t>Reconstructed with founder approval (one knob to switch tiers; all cloud providers get drivers) from Brief Sections 15, 51, 55, 64, 75, 91, and 92.</t>
        </is>
      </c>
    </row>
    <row r="225">
      <c r="A225" s="419" t="inlineStr">
        <is>
          <t>R-233</t>
        </is>
      </c>
      <c r="B225" s="419" t="inlineStr">
        <is>
          <t>MVP</t>
        </is>
      </c>
      <c r="C225" s="419" t="inlineStr">
        <is>
          <t>Runtime</t>
        </is>
      </c>
      <c r="D225" s="419" t="inlineStr">
        <is>
          <t>Runtime &amp; deploy provider layer (Tier 0-3)</t>
        </is>
      </c>
      <c r="E225"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25" s="419" t="inlineStr">
        <is>
          <t>P0</t>
        </is>
      </c>
      <c r="G225" s="419" t="inlineStr">
        <is>
          <t>Claude (Opus 4.8)</t>
        </is>
      </c>
      <c r="H225" s="419" t="inlineStr">
        <is>
          <t>Done</t>
        </is>
      </c>
      <c r="I225" s="420" t="n">
        <v>1</v>
      </c>
      <c r="J225" s="419" t="inlineStr">
        <is>
          <t>R-232</t>
        </is>
      </c>
      <c r="K225" s="419" t="inlineStr">
        <is>
          <t>Founder Stage 0</t>
        </is>
      </c>
      <c r="L225" s="419" t="inlineStr">
        <is>
          <t>Implementation ae11bac55fb9d865dbc6281c26f7df260edc3477; task verify passed with 181 agent-engine tests (12 new); local runtime works (Tier 0/1), cloud sandbox/deploy providers activate by key (Tier 2/3); no run/deploy, no secret leak; cloud_calls=0.</t>
        </is>
      </c>
      <c r="M225" s="419" t="inlineStr">
        <is>
          <t>Reconstructed with founder approval (wire Tier 0-3, keys plug in) from Brief Sections 15, 51, 55, 64, 75, 91, and 92.</t>
        </is>
      </c>
    </row>
    <row r="226">
      <c r="A226" s="419" t="inlineStr">
        <is>
          <t>R-232</t>
        </is>
      </c>
      <c r="B226" s="419" t="inlineStr">
        <is>
          <t>MVP</t>
        </is>
      </c>
      <c r="C226" s="419" t="inlineStr">
        <is>
          <t>Product</t>
        </is>
      </c>
      <c r="D226" s="419" t="inlineStr">
        <is>
          <t>Customer project assembler (IR -&gt; monorepo)</t>
        </is>
      </c>
      <c r="E226"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26" s="419" t="inlineStr">
        <is>
          <t>P0</t>
        </is>
      </c>
      <c r="G226" s="419" t="inlineStr">
        <is>
          <t>Claude (Opus 4.8)</t>
        </is>
      </c>
      <c r="H226" s="419" t="inlineStr">
        <is>
          <t>Done</t>
        </is>
      </c>
      <c r="I226" s="420" t="n">
        <v>1</v>
      </c>
      <c r="J226" s="419" t="inlineStr">
        <is>
          <t>R-228</t>
        </is>
      </c>
      <c r="K226" s="419" t="inlineStr">
        <is>
          <t>Founder Stage 0</t>
        </is>
      </c>
      <c r="L226" s="419" t="inlineStr">
        <is>
          <t>Implementation cf28cb0f46ae1f66b9f87b59232eceb2a113b508; task verify passed with 169 agent-engine tests (6 new); one IR -&gt; 24-file customer monorepo (apps/web + services/api) -&gt; owned Git repo in one commit; no install/build/disk; cloud_calls=0.</t>
        </is>
      </c>
      <c r="M226" s="419" t="inlineStr">
        <is>
          <t>Reconstructed with founder approval from Brief Sections 6, 34, 35, 46, 74, 91, and 92.</t>
        </is>
      </c>
    </row>
    <row r="227">
      <c r="A227" s="419" t="inlineStr">
        <is>
          <t>R-231</t>
        </is>
      </c>
      <c r="B227" s="419" t="inlineStr">
        <is>
          <t>MVP</t>
        </is>
      </c>
      <c r="C227" s="419" t="inlineStr">
        <is>
          <t>Product</t>
        </is>
      </c>
      <c r="D227" s="419" t="inlineStr">
        <is>
          <t>IR validator/normalizer + example fixtures</t>
        </is>
      </c>
      <c r="E227"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27" s="419" t="inlineStr">
        <is>
          <t>P1</t>
        </is>
      </c>
      <c r="G227" s="419" t="inlineStr">
        <is>
          <t>Claude (Opus 4.8)</t>
        </is>
      </c>
      <c r="H227" s="419" t="inlineStr">
        <is>
          <t>Done</t>
        </is>
      </c>
      <c r="I227" s="420" t="n">
        <v>1</v>
      </c>
      <c r="J227" s="419" t="inlineStr">
        <is>
          <t>R-225</t>
        </is>
      </c>
      <c r="K227" s="419" t="inlineStr">
        <is>
          <t>Founder Stage 0</t>
        </is>
      </c>
      <c r="L227" s="419" t="inlineStr">
        <is>
          <t>Implementation f2027a6a7bc6bae37b14226838519c86657f8ff3; task verify passed with 163 agent-engine tests (9 new); validator + normalizer + 2 example fixtures; no dependency/network/model call; cloud_calls=0.</t>
        </is>
      </c>
      <c r="M227" s="419" t="inlineStr">
        <is>
          <t>Reconstructed with founder approval from Brief Sections 9, 12, 19, 66, 74, 91, and 92.</t>
        </is>
      </c>
    </row>
    <row r="228">
      <c r="A228" s="419" t="inlineStr">
        <is>
          <t>R-230</t>
        </is>
      </c>
      <c r="B228" s="419" t="inlineStr">
        <is>
          <t>MVP</t>
        </is>
      </c>
      <c r="C228" s="419" t="inlineStr">
        <is>
          <t>Product</t>
        </is>
      </c>
      <c r="D228" s="419" t="inlineStr">
        <is>
          <t>Go backend adapter (IR -&gt; Go net/http service)</t>
        </is>
      </c>
      <c r="E228"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28" s="419" t="inlineStr">
        <is>
          <t>P0</t>
        </is>
      </c>
      <c r="G228" s="419" t="inlineStr">
        <is>
          <t>Claude (Opus 4.8)</t>
        </is>
      </c>
      <c r="H228" s="419" t="inlineStr">
        <is>
          <t>Done</t>
        </is>
      </c>
      <c r="I228" s="420" t="n">
        <v>1</v>
      </c>
      <c r="J228" s="419" t="inlineStr">
        <is>
          <t>R-226</t>
        </is>
      </c>
      <c r="K228" s="419" t="inlineStr">
        <is>
          <t>Founder Stage 0</t>
        </is>
      </c>
      <c r="L228" s="419" t="inlineStr">
        <is>
          <t>Implementation e2515a8f1b0314ec287a02cdaf25e72a17b9da3f; task verify passed with 154 agent-engine tests (7 new); one IR -&gt; 12-file Next.js + 11-file FastAPI + 8-file Go service; no install/build/disk; cloud_calls=0.</t>
        </is>
      </c>
      <c r="M228" s="419" t="inlineStr">
        <is>
          <t>Reconstructed with founder approval (multi-target from one IR) from Brief Sections 9, 16, 42, 43, 46, 47, 74, 91, and 92.</t>
        </is>
      </c>
    </row>
    <row r="229">
      <c r="A229" s="419" t="inlineStr">
        <is>
          <t>R-229</t>
        </is>
      </c>
      <c r="B229" s="419" t="inlineStr">
        <is>
          <t>MVP</t>
        </is>
      </c>
      <c r="C229" s="419" t="inlineStr">
        <is>
          <t>Product</t>
        </is>
      </c>
      <c r="D229" s="419" t="inlineStr">
        <is>
          <t>Python (FastAPI) backend adapter (IR -&gt; backend)</t>
        </is>
      </c>
      <c r="E229"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29" s="419" t="inlineStr">
        <is>
          <t>P0</t>
        </is>
      </c>
      <c r="G229" s="419" t="inlineStr">
        <is>
          <t>Claude (Opus 4.8)</t>
        </is>
      </c>
      <c r="H229" s="419" t="inlineStr">
        <is>
          <t>Done</t>
        </is>
      </c>
      <c r="I229" s="420" t="n">
        <v>1</v>
      </c>
      <c r="J229" s="419" t="inlineStr">
        <is>
          <t>R-226</t>
        </is>
      </c>
      <c r="K229" s="419" t="inlineStr">
        <is>
          <t>Founder Stage 0</t>
        </is>
      </c>
      <c r="L229" s="419" t="inlineStr">
        <is>
          <t>Implementation 04f1e6ad03ff52522efda81845ea3ee73e736a7d; task verify passed with 147 agent-engine tests (7 new); demo IR -&gt; 12-file Next.js web + 11-file FastAPI backend; no install/build/disk; cloud_calls=0.</t>
        </is>
      </c>
      <c r="M229" s="419" t="inlineStr">
        <is>
          <t>Reconstructed with founder approval (multi-target from one IR) from Brief Sections 9, 16, 42, 43, 46, 47, 74, 91, and 92.</t>
        </is>
      </c>
    </row>
    <row r="230">
      <c r="A230" s="419" t="inlineStr">
        <is>
          <t>R-228</t>
        </is>
      </c>
      <c r="B230" s="419" t="inlineStr">
        <is>
          <t>MVP</t>
        </is>
      </c>
      <c r="C230" s="419" t="inlineStr">
        <is>
          <t>Product</t>
        </is>
      </c>
      <c r="D230" s="419" t="inlineStr">
        <is>
          <t>Git service (materialize project -&gt; owned repo)</t>
        </is>
      </c>
      <c r="E230"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30" s="419" t="inlineStr">
        <is>
          <t>P0</t>
        </is>
      </c>
      <c r="G230" s="419" t="inlineStr">
        <is>
          <t>Claude (Opus 4.8)</t>
        </is>
      </c>
      <c r="H230" s="419" t="inlineStr">
        <is>
          <t>Done</t>
        </is>
      </c>
      <c r="I230" s="420" t="n">
        <v>1</v>
      </c>
      <c r="J230" s="419" t="inlineStr">
        <is>
          <t>R-227</t>
        </is>
      </c>
      <c r="K230" s="419" t="inlineStr">
        <is>
          <t>Founder Stage 0</t>
        </is>
      </c>
      <c r="L230"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30" s="419" t="inlineStr">
        <is>
          <t>Reconstructed with founder approval from Brief Sections 6, 20, 34, 71, 74, 75, 91, and 92.</t>
        </is>
      </c>
    </row>
    <row r="231">
      <c r="A231" s="419" t="inlineStr">
        <is>
          <t>R-227</t>
        </is>
      </c>
      <c r="B231" s="419" t="inlineStr">
        <is>
          <t>MVP</t>
        </is>
      </c>
      <c r="C231" s="419" t="inlineStr">
        <is>
          <t>Product</t>
        </is>
      </c>
      <c r="D231" s="419" t="inlineStr">
        <is>
          <t>Next.js web code adapter (IR -&gt; app)</t>
        </is>
      </c>
      <c r="E231"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31" s="419" t="inlineStr">
        <is>
          <t>P0</t>
        </is>
      </c>
      <c r="G231" s="419" t="inlineStr">
        <is>
          <t>Claude (Opus 4.8)</t>
        </is>
      </c>
      <c r="H231" s="419" t="inlineStr">
        <is>
          <t>Done</t>
        </is>
      </c>
      <c r="I231" s="420" t="n">
        <v>1</v>
      </c>
      <c r="J231" s="419" t="inlineStr">
        <is>
          <t>R-226</t>
        </is>
      </c>
      <c r="K231" s="419" t="inlineStr">
        <is>
          <t>Founder Stage 0</t>
        </is>
      </c>
      <c r="L231" s="419" t="inlineStr">
        <is>
          <t>Implementation 1a4f8a9b8cc2ca59be32142bb6c16992cb4dbd40; task verify passed with 134 agent-engine tests (9 new adapter/path tests); generates a 13-file Next.js app from the demo IR (entities-&gt;interfaces, {param}-&gt;[param] routes); no install/build/disk; cloud_calls=0.</t>
        </is>
      </c>
      <c r="M231" s="419" t="inlineStr">
        <is>
          <t>Reconstructed with founder approval from Brief Sections 9, 16, 40, 43, 46, 47, 74, 91, and 92.</t>
        </is>
      </c>
    </row>
    <row r="232">
      <c r="A232" s="419" t="inlineStr">
        <is>
          <t>R-226</t>
        </is>
      </c>
      <c r="B232" s="419" t="inlineStr">
        <is>
          <t>MVP</t>
        </is>
      </c>
      <c r="C232" s="419" t="inlineStr">
        <is>
          <t>Product</t>
        </is>
      </c>
      <c r="D232" s="419" t="inlineStr">
        <is>
          <t>Framework adapter contract + file-set model</t>
        </is>
      </c>
      <c r="E232"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32" s="419" t="inlineStr">
        <is>
          <t>P0</t>
        </is>
      </c>
      <c r="G232" s="419" t="inlineStr">
        <is>
          <t>Claude (Opus 4.8)</t>
        </is>
      </c>
      <c r="H232" s="419" t="inlineStr">
        <is>
          <t>Done</t>
        </is>
      </c>
      <c r="I232" s="420" t="n">
        <v>1</v>
      </c>
      <c r="J232" s="419" t="inlineStr">
        <is>
          <t>R-225</t>
        </is>
      </c>
      <c r="K232" s="419" t="inlineStr">
        <is>
          <t>Founder Stage 0</t>
        </is>
      </c>
      <c r="L232" s="419" t="inlineStr">
        <is>
          <t>Implementation f27bf416e99423d281e1c4e6f3eabc363848f95f; task verify passed with 125 agent-engine tests (10 new codegen-contract tests); pure in-memory file-set + adapter contract + registry; no disk writes; cloud_calls=0.</t>
        </is>
      </c>
      <c r="M232" s="419" t="inlineStr">
        <is>
          <t>Reconstructed with founder approval from Brief Sections 16, 17, 46, 47, 74, 75, 91, and 92.</t>
        </is>
      </c>
    </row>
    <row r="233">
      <c r="A233" s="419" t="inlineStr">
        <is>
          <t>R-225</t>
        </is>
      </c>
      <c r="B233" s="419" t="inlineStr">
        <is>
          <t>MVP</t>
        </is>
      </c>
      <c r="C233" s="419" t="inlineStr">
        <is>
          <t>Product</t>
        </is>
      </c>
      <c r="D233" s="419" t="inlineStr">
        <is>
          <t>Application IR v1 (framework-neutral)</t>
        </is>
      </c>
      <c r="E233"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33" s="419" t="inlineStr">
        <is>
          <t>P0</t>
        </is>
      </c>
      <c r="G233" s="419" t="inlineStr">
        <is>
          <t>Claude (Opus 4.8)</t>
        </is>
      </c>
      <c r="H233" s="419" t="inlineStr">
        <is>
          <t>Done</t>
        </is>
      </c>
      <c r="I233" s="420" t="n">
        <v>1</v>
      </c>
      <c r="J233" s="419" t="inlineStr">
        <is>
          <t>R-004</t>
        </is>
      </c>
      <c r="K233" s="419" t="inlineStr">
        <is>
          <t>Founder Stage 0</t>
        </is>
      </c>
      <c r="L233" s="419" t="inlineStr">
        <is>
          <t>Implementation ad5e4ddf5918ddf3e4005c21a07c21601faf2ee6; task verify passed with 115 agent-engine tests (17 new IR tests); validated, versioned, framework-neutral Application IR with lossless serialization; cloud_calls=0.</t>
        </is>
      </c>
      <c r="M233" s="419" t="inlineStr">
        <is>
          <t>Reconstructed with founder approval to begin the actual product per Brief Sections 2, 9, 24, 47, 77, 91, and 92.</t>
        </is>
      </c>
    </row>
    <row r="234">
      <c r="A234" s="419" t="inlineStr">
        <is>
          <t>R-224</t>
        </is>
      </c>
      <c r="B234" s="419" t="inlineStr">
        <is>
          <t>MVP</t>
        </is>
      </c>
      <c r="C234" s="419" t="inlineStr">
        <is>
          <t>Console</t>
        </is>
      </c>
      <c r="D234" s="419" t="inlineStr">
        <is>
          <t>Next.js console upgrade</t>
        </is>
      </c>
      <c r="E234" s="419" t="inlineStr">
        <is>
          <t>Upgrade the static console to a real Next.js (App Router, TypeScript) app, preserving the overview.json data contract and design, with security headers and a production build.</t>
        </is>
      </c>
      <c r="F234" s="419" t="inlineStr">
        <is>
          <t>P1</t>
        </is>
      </c>
      <c r="G234" s="419" t="inlineStr">
        <is>
          <t>Claude (Opus 4.8)</t>
        </is>
      </c>
      <c r="H234" s="419" t="inlineStr">
        <is>
          <t>Deferred</t>
        </is>
      </c>
      <c r="I234" s="420" t="n">
        <v>0</v>
      </c>
      <c r="J234" s="419" t="inlineStr">
        <is>
          <t>R-222</t>
        </is>
      </c>
      <c r="K234" s="419" t="inlineStr">
        <is>
          <t>Founder Stage 0</t>
        </is>
      </c>
      <c r="L234" s="419" t="inlineStr">
        <is>
          <t>Deferred: Next.js SWC binary install times out in this sandbox (attempted 3x, incl. standalone with 10-min timeout). Static console (R-222) remains the working slice; resume plan recorded in .ai/tasks/R-224.md. No code committed; cloud_calls=0.</t>
        </is>
      </c>
      <c r="M234" s="419" t="inlineStr">
        <is>
          <t>Reconstructed with founder approval; DEFERRED because the Next.js SWC binary install times out in this sandbox (attempted 3x). Static console (R-222) remains the working slice.</t>
        </is>
      </c>
    </row>
    <row r="235">
      <c r="A235" s="419" t="inlineStr">
        <is>
          <t>R-223</t>
        </is>
      </c>
      <c r="B235" s="419" t="inlineStr">
        <is>
          <t>MVP</t>
        </is>
      </c>
      <c r="C235" s="419" t="inlineStr">
        <is>
          <t>Models</t>
        </is>
      </c>
      <c r="D235" s="419" t="inlineStr">
        <is>
          <t>Env-driven fallback &amp; circuit-breaker wiring</t>
        </is>
      </c>
      <c r="E235"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35" s="419" t="inlineStr">
        <is>
          <t>P1</t>
        </is>
      </c>
      <c r="G235" s="419" t="inlineStr">
        <is>
          <t>Claude (Opus 4.8)</t>
        </is>
      </c>
      <c r="H235" s="419" t="inlineStr">
        <is>
          <t>Done</t>
        </is>
      </c>
      <c r="I235" s="420" t="n">
        <v>1</v>
      </c>
      <c r="J235" s="419" t="inlineStr">
        <is>
          <t>R-221</t>
        </is>
      </c>
      <c r="K235" s="419" t="inlineStr">
        <is>
          <t>Founder Stage 0</t>
        </is>
      </c>
      <c r="L235" s="419" t="inlineStr">
        <is>
          <t>Implementation 9ec809149ab91ebaa13b88ff0a15ebd382d7a728; task verify passed with 98 agent-engine tests (6 new); env-driven fallback chain + circuit breaker; default single-provider unchanged; cloud_calls=0.</t>
        </is>
      </c>
      <c r="M235" s="419" t="inlineStr">
        <is>
          <t>Reconstructed with founder approval (complete remaining items one by one) from Brief Sections 18.3, 84, 87, 89, 91, and 92.</t>
        </is>
      </c>
    </row>
    <row r="236">
      <c r="A236" s="419" t="inlineStr">
        <is>
          <t>R-222</t>
        </is>
      </c>
      <c r="B236" s="419" t="inlineStr">
        <is>
          <t>MVP</t>
        </is>
      </c>
      <c r="C236" s="419" t="inlineStr">
        <is>
          <t>Console</t>
        </is>
      </c>
      <c r="D236" s="419" t="inlineStr">
        <is>
          <t>Platform console slice (model &amp; cost overview)</t>
        </is>
      </c>
      <c r="E236"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36" s="419" t="inlineStr">
        <is>
          <t>P0</t>
        </is>
      </c>
      <c r="G236" s="419" t="inlineStr">
        <is>
          <t>Claude (Opus 4.8)</t>
        </is>
      </c>
      <c r="H236" s="419" t="inlineStr">
        <is>
          <t>Done</t>
        </is>
      </c>
      <c r="I236" s="420" t="n">
        <v>1</v>
      </c>
      <c r="J236" s="419" t="inlineStr">
        <is>
          <t>R-221</t>
        </is>
      </c>
      <c r="K236" s="419" t="inlineStr">
        <is>
          <t>Founder Stage 0</t>
        </is>
      </c>
      <c r="L236"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36" s="419" t="inlineStr">
        <is>
          <t>Reconstructed with founder approval (advanced, smooth, secure platform) from Brief Sections 8, 15.2, 40, 41, 77, 90, 91, and 92.</t>
        </is>
      </c>
    </row>
    <row r="237">
      <c r="A237" s="419" t="inlineStr">
        <is>
          <t>R-221</t>
        </is>
      </c>
      <c r="B237" s="419" t="inlineStr">
        <is>
          <t>MVP</t>
        </is>
      </c>
      <c r="C237" s="419" t="inlineStr">
        <is>
          <t>Models</t>
        </is>
      </c>
      <c r="D237" s="419" t="inlineStr">
        <is>
          <t>Cross-provider fallback and circuit breaking</t>
        </is>
      </c>
      <c r="E237"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37" s="419" t="inlineStr">
        <is>
          <t>P0</t>
        </is>
      </c>
      <c r="G237" s="419" t="inlineStr">
        <is>
          <t>Claude (Opus 4.8)</t>
        </is>
      </c>
      <c r="H237" s="419" t="inlineStr">
        <is>
          <t>Done</t>
        </is>
      </c>
      <c r="I237" s="420" t="n">
        <v>1</v>
      </c>
      <c r="J237" s="419" t="inlineStr">
        <is>
          <t>R-220</t>
        </is>
      </c>
      <c r="K237" s="419" t="inlineStr">
        <is>
          <t>Founder Stage 0</t>
        </is>
      </c>
      <c r="L237" s="419" t="inlineStr">
        <is>
          <t>Implementation d0ee9f75b0d124fe60f1121b7f2a70d3b73040de; task verify passed with 86 agent-engine tests (8 new fallback/circuit-breaker tests); explicit allowlist fail-over + per-provider breaker; cloud_calls=0; Compose unchanged (postgres, control-plane).</t>
        </is>
      </c>
      <c r="M237" s="419" t="inlineStr">
        <is>
          <t>Reconstructed with founder approval (complete both required items one by one) from Brief Sections 18, 18.3, 84, 89, 90, 91, and 92.</t>
        </is>
      </c>
    </row>
    <row r="238">
      <c r="A238" s="419" t="inlineStr">
        <is>
          <t>R-220</t>
        </is>
      </c>
      <c r="B238" s="419" t="inlineStr">
        <is>
          <t>MVP</t>
        </is>
      </c>
      <c r="C238" s="419" t="inlineStr">
        <is>
          <t>Models</t>
        </is>
      </c>
      <c r="D238" s="419" t="inlineStr">
        <is>
          <t>Cloud streaming (Server-Sent Events)</t>
        </is>
      </c>
      <c r="E238" s="419" t="inlineStr">
        <is>
          <t>Replace the single-event cloud stream wrapper with true incremental SSE streaming for OpenAI-compatible, Anthropic, and Gemini adapters; ordered delta events plus a final event with measured usage, reusing the HTTP-safety bounds.</t>
        </is>
      </c>
      <c r="F238" s="419" t="inlineStr">
        <is>
          <t>P0</t>
        </is>
      </c>
      <c r="G238" s="419" t="inlineStr">
        <is>
          <t>Claude (Opus 4.8)</t>
        </is>
      </c>
      <c r="H238" s="419" t="inlineStr">
        <is>
          <t>Done</t>
        </is>
      </c>
      <c r="I238" s="420" t="n">
        <v>1</v>
      </c>
      <c r="J238" s="419" t="inlineStr">
        <is>
          <t>R-009</t>
        </is>
      </c>
      <c r="K238" s="419" t="inlineStr">
        <is>
          <t>Founder Stage 0</t>
        </is>
      </c>
      <c r="L238" s="419" t="inlineStr">
        <is>
          <t>Implementation 4e31841e730a6466da55843ff352f7144dd763e9; task verify passed with 78 agent-engine tests (5 new SSE streaming tests); true incremental streaming for OpenAI/Anthropic/Gemini; cloud_calls=0; Compose unchanged (postgres, control-plane).</t>
        </is>
      </c>
      <c r="M238" s="419" t="inlineStr">
        <is>
          <t>Reconstructed with founder approval (complete both required items one by one) from Brief Sections 18, 57, 84, 85, 90, 91, and 92.</t>
        </is>
      </c>
    </row>
    <row r="239">
      <c r="A239" s="419" t="inlineStr">
        <is>
          <t>R-009</t>
        </is>
      </c>
      <c r="B239" s="419" t="inlineStr">
        <is>
          <t>MVP</t>
        </is>
      </c>
      <c r="C239" s="419" t="inlineStr">
        <is>
          <t>Models</t>
        </is>
      </c>
      <c r="D239" s="419" t="inlineStr">
        <is>
          <t>Usage and cost accounting</t>
        </is>
      </c>
      <c r="E239"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39" s="419" t="inlineStr">
        <is>
          <t>P0</t>
        </is>
      </c>
      <c r="G239" s="419" t="inlineStr">
        <is>
          <t>Claude (Opus 4.8)</t>
        </is>
      </c>
      <c r="H239" s="419" t="inlineStr">
        <is>
          <t>Done</t>
        </is>
      </c>
      <c r="I239" s="420" t="n">
        <v>1</v>
      </c>
      <c r="J239" s="419" t="inlineStr">
        <is>
          <t>R-008</t>
        </is>
      </c>
      <c r="K239" s="419" t="inlineStr">
        <is>
          <t>Founder Stage 0</t>
        </is>
      </c>
      <c r="L239"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39" s="419" t="inlineStr">
        <is>
          <t>Reconstructed with founder approval (best-in-class usage/cost accounting) from Brief Sections 18.4, 23, 68, 84, 85, 90, 91, and 92.</t>
        </is>
      </c>
    </row>
    <row r="240">
      <c r="A240" s="419" t="inlineStr">
        <is>
          <t>R-008</t>
        </is>
      </c>
      <c r="B240" s="419" t="inlineStr">
        <is>
          <t>MVP</t>
        </is>
      </c>
      <c r="C240" s="419" t="inlineStr">
        <is>
          <t>Models</t>
        </is>
      </c>
      <c r="D240" s="419" t="inlineStr">
        <is>
          <t>Cloud API-key provider adapters</t>
        </is>
      </c>
      <c r="E240"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40" s="419" t="inlineStr">
        <is>
          <t>P0</t>
        </is>
      </c>
      <c r="G240" s="419" t="inlineStr">
        <is>
          <t>Claude (Opus 4.8)</t>
        </is>
      </c>
      <c r="H240" s="419" t="inlineStr">
        <is>
          <t>Done</t>
        </is>
      </c>
      <c r="I240" s="420" t="n">
        <v>1</v>
      </c>
      <c r="J240" s="419" t="inlineStr">
        <is>
          <t>R-007</t>
        </is>
      </c>
      <c r="K240" s="419" t="inlineStr">
        <is>
          <t>Founder Stage 0</t>
        </is>
      </c>
      <c r="L240"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40" s="419" t="inlineStr">
        <is>
          <t>Reconstructed with founder approval (configure each provider; run locally on Ollama until keys are added) from Brief Sections 18, 18.3, 84, 85, 87, 90, 91, and 92.</t>
        </is>
      </c>
    </row>
    <row r="241">
      <c r="A241" s="419" t="inlineStr">
        <is>
          <t>R-007</t>
        </is>
      </c>
      <c r="B241" s="419" t="inlineStr">
        <is>
          <t>MVP</t>
        </is>
      </c>
      <c r="C241" s="419" t="inlineStr">
        <is>
          <t>Models</t>
        </is>
      </c>
      <c r="D241" s="419" t="inlineStr">
        <is>
          <t>Balanced Model Gateway router</t>
        </is>
      </c>
      <c r="E241" s="419" t="inlineStr">
        <is>
          <t>Route model work under Balanced policy: reject L0 deterministic work, send sub-L3 work to the local Ollama provider, escalate L3/L4 to a cloud provider only when one is registered, guard the context budget, and never silently fall back to cloud.</t>
        </is>
      </c>
      <c r="F241" s="419" t="inlineStr">
        <is>
          <t>P0</t>
        </is>
      </c>
      <c r="G241" s="419" t="inlineStr">
        <is>
          <t>Claude (Opus 4.8)</t>
        </is>
      </c>
      <c r="H241" s="419" t="inlineStr">
        <is>
          <t>Done</t>
        </is>
      </c>
      <c r="I241" s="420" t="n">
        <v>1</v>
      </c>
      <c r="J241" s="419" t="inlineStr">
        <is>
          <t>R-006</t>
        </is>
      </c>
      <c r="K241" s="419" t="inlineStr">
        <is>
          <t>Founder Stage 0</t>
        </is>
      </c>
      <c r="L241"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41" s="419" t="inlineStr">
        <is>
          <t>Reconstructed with founder approval from Brief Sections 18, 18.1, 18.2, 18.3, 84, 85, 91, and 92; founder intent to support both cloud API-key and local providers one at a time.</t>
        </is>
      </c>
    </row>
    <row r="242">
      <c r="A242" s="419" t="inlineStr">
        <is>
          <t>R-006</t>
        </is>
      </c>
      <c r="B242" s="419" t="inlineStr">
        <is>
          <t>MVP</t>
        </is>
      </c>
      <c r="C242" s="419" t="inlineStr">
        <is>
          <t>Models</t>
        </is>
      </c>
      <c r="D242" s="419" t="inlineStr">
        <is>
          <t>Loopback Ollama provider adapter</t>
        </is>
      </c>
      <c r="E242" s="419" t="inlineStr">
        <is>
          <t>Implement bounded health, discovery, chat generation, and NDJSON streaming against the accepted ModelProvider contract.</t>
        </is>
      </c>
      <c r="F242" s="419" t="inlineStr">
        <is>
          <t>P0</t>
        </is>
      </c>
      <c r="G242" s="419" t="inlineStr">
        <is>
          <t>Codex</t>
        </is>
      </c>
      <c r="H242" s="419" t="inlineStr">
        <is>
          <t>Done</t>
        </is>
      </c>
      <c r="I242" s="420" t="n">
        <v>1</v>
      </c>
      <c r="J242" s="419" t="inlineStr">
        <is>
          <t>R-005</t>
        </is>
      </c>
      <c r="K242" s="419" t="inlineStr">
        <is>
          <t>Founder Stage 0</t>
        </is>
      </c>
      <c r="L242" s="419" t="inlineStr">
        <is>
          <t>Implementation 8061ca3b129539ada4b0838d7d70c8acd3df1ea3; task verify, adapter tests, and live loopback conformance passed; local_calls=3, cloud_calls=0</t>
        </is>
      </c>
      <c r="M242" s="419" t="inlineStr">
        <is>
          <t>Reconstructed with founder approval from Brief Sections 18.3, 75, 84, 85, 91, and 92.</t>
        </is>
      </c>
    </row>
    <row r="243">
      <c r="A243" s="419" t="inlineStr">
        <is>
          <t>R-005</t>
        </is>
      </c>
      <c r="B243" s="419" t="inlineStr">
        <is>
          <t>MVP</t>
        </is>
      </c>
      <c r="C243" s="419" t="inlineStr">
        <is>
          <t>Models</t>
        </is>
      </c>
      <c r="D243" s="419" t="inlineStr">
        <is>
          <t>ModelProvider contract and registry</t>
        </is>
      </c>
      <c r="E243" s="419" t="inlineStr">
        <is>
          <t>Define the vendor-neutral Python provider protocol, typed model-call records, and deterministic registry before any adapter exists.</t>
        </is>
      </c>
      <c r="F243" s="419" t="inlineStr">
        <is>
          <t>P0</t>
        </is>
      </c>
      <c r="G243" s="419" t="inlineStr">
        <is>
          <t>Codex</t>
        </is>
      </c>
      <c r="H243" s="419" t="inlineStr">
        <is>
          <t>Done</t>
        </is>
      </c>
      <c r="I243" s="420" t="n">
        <v>1</v>
      </c>
      <c r="J243" s="419" t="inlineStr">
        <is>
          <t>R-004</t>
        </is>
      </c>
      <c r="K243" s="419" t="inlineStr">
        <is>
          <t>Founder Stage 0</t>
        </is>
      </c>
      <c r="L243" s="419" t="inlineStr">
        <is>
          <t>Implementation afdc4ba9c14b231dece9533dbdd39e1e79e9ace3; task verify and 13 contract tests passed; local_calls=2 inconclusive, cloud_calls=0</t>
        </is>
      </c>
      <c r="M243" s="419" t="inlineStr">
        <is>
          <t>Reconstructed with founder approval from Brief Sections 18.3, 75, 83, 84, and 91.</t>
        </is>
      </c>
    </row>
    <row r="244">
      <c r="A244" s="419" t="inlineStr">
        <is>
          <t>R-004</t>
        </is>
      </c>
      <c r="B244" s="419" t="inlineStr">
        <is>
          <t>MVP</t>
        </is>
      </c>
      <c r="C244" s="419" t="inlineStr">
        <is>
          <t>Backend</t>
        </is>
      </c>
      <c r="D244" s="419" t="inlineStr">
        <is>
          <t>Go control-plane foundation</t>
        </is>
      </c>
      <c r="E244" s="419" t="inlineStr">
        <is>
          <t>Add the minimal Go modular-monolith service with typed configuration, liveness, PostgreSQL readiness, and graceful shutdown.</t>
        </is>
      </c>
      <c r="F244" s="419" t="inlineStr">
        <is>
          <t>P0</t>
        </is>
      </c>
      <c r="G244" s="419" t="inlineStr">
        <is>
          <t>Codex</t>
        </is>
      </c>
      <c r="H244" s="419" t="inlineStr">
        <is>
          <t>Done</t>
        </is>
      </c>
      <c r="I244" s="420" t="n">
        <v>1</v>
      </c>
      <c r="J244" s="419" t="inlineStr">
        <is>
          <t>R-003</t>
        </is>
      </c>
      <c r="K244" s="419" t="inlineStr">
        <is>
          <t>Founder Stage 0</t>
        </is>
      </c>
      <c r="L244" s="419" t="inlineStr">
        <is>
          <t>Implementation c44fd8d013e3ec1497ccb4ab55f1433df042aeb5; task verify, race tests, and live health/readiness passed; local_calls=1, cloud_calls=0</t>
        </is>
      </c>
      <c r="M244" s="419" t="inlineStr">
        <is>
          <t>Reconstructed with founder approval from Brief Sections 33, 74, and 84.1.</t>
        </is>
      </c>
    </row>
    <row r="245">
      <c r="A245" s="419" t="inlineStr">
        <is>
          <t>R-003</t>
        </is>
      </c>
      <c r="B245" s="419" t="inlineStr">
        <is>
          <t>MVP</t>
        </is>
      </c>
      <c r="C245" s="419" t="inlineStr">
        <is>
          <t>Models</t>
        </is>
      </c>
      <c r="D245" s="419" t="inlineStr">
        <is>
          <t>Local Ollama Stage 0 bootstrap</t>
        </is>
      </c>
      <c r="E245" s="419" t="inlineStr">
        <is>
          <t>Validate a loopback-only Ollama runtime, discover the configured local coder, and run a deterministic inference smoke test.</t>
        </is>
      </c>
      <c r="F245" s="419" t="inlineStr">
        <is>
          <t>P0</t>
        </is>
      </c>
      <c r="G245" s="419" t="inlineStr">
        <is>
          <t>Codex</t>
        </is>
      </c>
      <c r="H245" s="419" t="inlineStr">
        <is>
          <t>Done</t>
        </is>
      </c>
      <c r="I245" s="420" t="n">
        <v>1</v>
      </c>
      <c r="J245" s="419" t="inlineStr">
        <is>
          <t>R-002</t>
        </is>
      </c>
      <c r="K245" s="419" t="inlineStr">
        <is>
          <t>Founder Stage 0</t>
        </is>
      </c>
      <c r="L245" s="419" t="inlineStr">
        <is>
          <t>task verify: PASS; task ollama:verify: qwen2.5-coder:14b generated 6 tokens, cloud calls 0; implementation commit 822db27aa9c9e6ab836c28abba10f41dc27918d7</t>
        </is>
      </c>
      <c r="M245" s="419" t="inlineStr">
        <is>
          <t>Reconstructed with founder approval from Brief Sections 79 and 84.1.</t>
        </is>
      </c>
    </row>
    <row r="246">
      <c r="A246" s="419" t="inlineStr">
        <is>
          <t>R-002</t>
        </is>
      </c>
      <c r="B246" s="419" t="inlineStr">
        <is>
          <t>MVP</t>
        </is>
      </c>
      <c r="C246" s="419" t="inlineStr">
        <is>
          <t>Data</t>
        </is>
      </c>
      <c r="D246" s="419" t="inlineStr">
        <is>
          <t>PostgreSQL + pgvector local bootstrap</t>
        </is>
      </c>
      <c r="E246" s="419" t="inlineStr">
        <is>
          <t>Add local Docker Compose PostgreSQL with pgvector and a versioned initial migration.</t>
        </is>
      </c>
      <c r="F246" s="419" t="inlineStr">
        <is>
          <t>P0</t>
        </is>
      </c>
      <c r="G246" s="419" t="inlineStr">
        <is>
          <t>Codex</t>
        </is>
      </c>
      <c r="H246" s="419" t="inlineStr">
        <is>
          <t>Done</t>
        </is>
      </c>
      <c r="I246" s="420" t="n">
        <v>1</v>
      </c>
      <c r="J246" s="419" t="inlineStr">
        <is>
          <t>R-001</t>
        </is>
      </c>
      <c r="K246" s="419" t="inlineStr">
        <is>
          <t>Founder Stage 0</t>
        </is>
      </c>
      <c r="L246" s="419" t="inlineStr">
        <is>
          <t>task verify: PASS; task db:verify: PostgreSQL healthy, pgvector 0.8.6, migration 1; implementation commit 56bf4b0dea5486f8d6dcde0c7b1054249ebbb064</t>
        </is>
      </c>
      <c r="M246" s="419" t="inlineStr">
        <is>
          <t>Reconstructed with founder approval from the kickoff kit's canonical R-002 example.</t>
        </is>
      </c>
    </row>
    <row r="247">
      <c r="A247" s="419" t="inlineStr">
        <is>
          <t>R-001</t>
        </is>
      </c>
      <c r="B247" s="419" t="inlineStr">
        <is>
          <t>MVP</t>
        </is>
      </c>
      <c r="C247" s="419" t="inlineStr">
        <is>
          <t>Foundation</t>
        </is>
      </c>
      <c r="D247" s="419" t="inlineStr">
        <is>
          <t>Platform monorepo bootstrap</t>
        </is>
      </c>
      <c r="E247" s="419" t="inlineStr">
        <is>
          <t>Bootstrap the Section 74 skeleton and Stage 0 portable onboarding, verification, state, and handoff contract without implementing services or infrastructure.</t>
        </is>
      </c>
      <c r="F247" s="419" t="inlineStr">
        <is>
          <t>P0</t>
        </is>
      </c>
      <c r="G247" s="419" t="inlineStr">
        <is>
          <t>Codex</t>
        </is>
      </c>
      <c r="H247" s="419" t="inlineStr">
        <is>
          <t>Done</t>
        </is>
      </c>
      <c r="I247" s="420" t="n">
        <v>1</v>
      </c>
      <c r="J247" s="419" t="inlineStr">
        <is>
          <t>None</t>
        </is>
      </c>
      <c r="K247" s="419" t="inlineStr">
        <is>
          <t>Founder Stage 0</t>
        </is>
      </c>
      <c r="L247" s="419" t="inlineStr">
        <is>
          <t>task verify: PASS; implementation commit 655f01fa0425e8df9022ce6bb1d2040f56b1cb73</t>
        </is>
      </c>
      <c r="M247" s="419" t="inlineStr">
        <is>
          <t>Reconstructed with founder approval because R-001 through R-009 were absent from the supplied workbook.</t>
        </is>
      </c>
    </row>
    <row r="248">
      <c r="A248" s="419" t="inlineStr">
        <is>
          <t>R-010</t>
        </is>
      </c>
      <c r="B248" s="419" t="inlineStr">
        <is>
          <t>MVP</t>
        </is>
      </c>
      <c r="C248" s="419" t="inlineStr">
        <is>
          <t>Agents</t>
        </is>
      </c>
      <c r="D248" s="419" t="inlineStr">
        <is>
          <t>Native iOS Agent</t>
        </is>
      </c>
      <c r="E248" s="419" t="inlineStr">
        <is>
          <t>Activated only for native iOS targets or native modules; generates Swift + SwiftUI using project conventions.</t>
        </is>
      </c>
      <c r="F248" s="419" t="inlineStr">
        <is>
          <t>P0</t>
        </is>
      </c>
      <c r="G248" s="419" t="n"/>
      <c r="H248" s="419" t="inlineStr">
        <is>
          <t>Not Started</t>
        </is>
      </c>
      <c r="I248" s="420" t="n">
        <v>0</v>
      </c>
      <c r="J248" s="419" t="n"/>
      <c r="K248" s="419" t="n"/>
      <c r="L248" s="419" t="n"/>
      <c r="M248" s="419" t="n"/>
    </row>
    <row r="249">
      <c r="A249" s="419" t="inlineStr">
        <is>
          <t>R-011</t>
        </is>
      </c>
      <c r="B249" s="419" t="inlineStr">
        <is>
          <t>MVP</t>
        </is>
      </c>
      <c r="C249" s="419" t="inlineStr">
        <is>
          <t>Agents</t>
        </is>
      </c>
      <c r="D249" s="419" t="inlineStr">
        <is>
          <t>Web/Admin Agent</t>
        </is>
      </c>
      <c r="E249" s="419" t="inlineStr">
        <is>
          <t>Generate/modify React/Next.js TypeScript.</t>
        </is>
      </c>
      <c r="F249" s="419" t="inlineStr">
        <is>
          <t>P0</t>
        </is>
      </c>
      <c r="G249" s="419" t="n"/>
      <c r="H249" s="419" t="inlineStr">
        <is>
          <t>Not Started</t>
        </is>
      </c>
      <c r="I249" s="420" t="n">
        <v>0</v>
      </c>
      <c r="J249" s="419" t="n"/>
      <c r="K249" s="419" t="n"/>
      <c r="L249" s="419" t="n"/>
      <c r="M249" s="419" t="n"/>
    </row>
    <row r="250">
      <c r="A250" s="419" t="inlineStr">
        <is>
          <t>R-012</t>
        </is>
      </c>
      <c r="B250" s="419" t="inlineStr">
        <is>
          <t>MVP</t>
        </is>
      </c>
      <c r="C250" s="419" t="inlineStr">
        <is>
          <t>Agents</t>
        </is>
      </c>
      <c r="D250" s="419" t="inlineStr">
        <is>
          <t>Backend Agent</t>
        </is>
      </c>
      <c r="E250" s="419" t="inlineStr">
        <is>
          <t>Generate/modify backend services; platform default Go/Python, generated app backend selectable.</t>
        </is>
      </c>
      <c r="F250" s="419" t="inlineStr">
        <is>
          <t>P0</t>
        </is>
      </c>
      <c r="G250" s="419" t="n"/>
      <c r="H250" s="419" t="inlineStr">
        <is>
          <t>Not Started</t>
        </is>
      </c>
      <c r="I250" s="420" t="n">
        <v>0</v>
      </c>
      <c r="J250" s="419" t="n"/>
      <c r="K250" s="419" t="n"/>
      <c r="L250" s="419" t="n"/>
      <c r="M250" s="419" t="n"/>
    </row>
    <row r="251">
      <c r="A251" s="419" t="inlineStr">
        <is>
          <t>R-013</t>
        </is>
      </c>
      <c r="B251" s="419" t="inlineStr">
        <is>
          <t>MVP</t>
        </is>
      </c>
      <c r="C251" s="419" t="inlineStr">
        <is>
          <t>Agents</t>
        </is>
      </c>
      <c r="D251" s="419" t="inlineStr">
        <is>
          <t>Database Agent</t>
        </is>
      </c>
      <c r="E251" s="419" t="inlineStr">
        <is>
          <t>Schema, indexes, migrations, rollback strategy and query checks.</t>
        </is>
      </c>
      <c r="F251" s="419" t="inlineStr">
        <is>
          <t>P0</t>
        </is>
      </c>
      <c r="G251" s="419" t="n"/>
      <c r="H251" s="419" t="inlineStr">
        <is>
          <t>Not Started</t>
        </is>
      </c>
      <c r="I251" s="420" t="n">
        <v>0</v>
      </c>
      <c r="J251" s="419" t="n"/>
      <c r="K251" s="419" t="n"/>
      <c r="L251" s="419" t="n"/>
      <c r="M251" s="419" t="n"/>
    </row>
    <row r="252">
      <c r="A252" s="419" t="inlineStr">
        <is>
          <t>R-014</t>
        </is>
      </c>
      <c r="B252" s="419" t="inlineStr">
        <is>
          <t>MVP</t>
        </is>
      </c>
      <c r="C252" s="419" t="inlineStr">
        <is>
          <t>Agents</t>
        </is>
      </c>
      <c r="D252" s="419" t="inlineStr">
        <is>
          <t>QA Agent</t>
        </is>
      </c>
      <c r="E252" s="419" t="inlineStr">
        <is>
          <t>Select tests from impact graph and add tests for new behavior.</t>
        </is>
      </c>
      <c r="F252" s="419" t="inlineStr">
        <is>
          <t>P0</t>
        </is>
      </c>
      <c r="G252" s="419" t="n"/>
      <c r="H252" s="419" t="inlineStr">
        <is>
          <t>Not Started</t>
        </is>
      </c>
      <c r="I252" s="420" t="n">
        <v>0</v>
      </c>
      <c r="J252" s="419" t="n"/>
      <c r="K252" s="419" t="n"/>
      <c r="L252" s="419" t="n"/>
      <c r="M252" s="419" t="n"/>
    </row>
    <row r="253">
      <c r="A253" s="419" t="inlineStr">
        <is>
          <t>R-015</t>
        </is>
      </c>
      <c r="B253" s="419" t="inlineStr">
        <is>
          <t>MVP</t>
        </is>
      </c>
      <c r="C253" s="419" t="inlineStr">
        <is>
          <t>Agents</t>
        </is>
      </c>
      <c r="D253" s="419" t="inlineStr">
        <is>
          <t>Security Review Agent</t>
        </is>
      </c>
      <c r="E253" s="419" t="inlineStr">
        <is>
          <t>Scan change for auth, secrets, input validation and dependency risk.</t>
        </is>
      </c>
      <c r="F253" s="419" t="inlineStr">
        <is>
          <t>P0</t>
        </is>
      </c>
      <c r="G253" s="419" t="n"/>
      <c r="H253" s="419" t="inlineStr">
        <is>
          <t>Not Started</t>
        </is>
      </c>
      <c r="I253" s="420" t="n">
        <v>0</v>
      </c>
      <c r="J253" s="419" t="n"/>
      <c r="K253" s="419" t="n"/>
      <c r="L253" s="419" t="n"/>
      <c r="M253" s="419" t="n"/>
    </row>
    <row r="254">
      <c r="A254" s="419" t="inlineStr">
        <is>
          <t>R-016</t>
        </is>
      </c>
      <c r="B254" s="419" t="inlineStr">
        <is>
          <t>MVP</t>
        </is>
      </c>
      <c r="C254" s="419" t="inlineStr">
        <is>
          <t>Change Safety</t>
        </is>
      </c>
      <c r="D254" s="419" t="inlineStr">
        <is>
          <t>Change Impact Engine v1</t>
        </is>
      </c>
      <c r="E254" s="419" t="inlineStr">
        <is>
          <t>Identify affected modules/APIs/schema/tests before edits.</t>
        </is>
      </c>
      <c r="F254" s="419" t="inlineStr">
        <is>
          <t>P0</t>
        </is>
      </c>
      <c r="G254" s="419" t="n"/>
      <c r="H254" s="419" t="inlineStr">
        <is>
          <t>Not Started</t>
        </is>
      </c>
      <c r="I254" s="420" t="n">
        <v>0</v>
      </c>
      <c r="J254" s="419" t="n"/>
      <c r="K254" s="419" t="n"/>
      <c r="L254" s="419" t="n"/>
      <c r="M254" s="419" t="n"/>
    </row>
    <row r="255">
      <c r="A255" s="419" t="inlineStr">
        <is>
          <t>R-017</t>
        </is>
      </c>
      <c r="B255" s="419" t="inlineStr">
        <is>
          <t>MVP</t>
        </is>
      </c>
      <c r="C255" s="419" t="inlineStr">
        <is>
          <t>Change Safety</t>
        </is>
      </c>
      <c r="D255" s="419" t="inlineStr">
        <is>
          <t>Blast-radius policy</t>
        </is>
      </c>
      <c r="E255" s="419" t="inlineStr">
        <is>
          <t>Reject or require review when changed files exceed expected scope.</t>
        </is>
      </c>
      <c r="F255" s="419" t="inlineStr">
        <is>
          <t>P0</t>
        </is>
      </c>
      <c r="G255" s="419" t="n"/>
      <c r="H255" s="419" t="inlineStr">
        <is>
          <t>Not Started</t>
        </is>
      </c>
      <c r="I255" s="420" t="n">
        <v>0</v>
      </c>
      <c r="J255" s="419" t="n"/>
      <c r="K255" s="419" t="n"/>
      <c r="L255" s="419" t="n"/>
      <c r="M255" s="419" t="n"/>
    </row>
    <row r="256">
      <c r="A256" s="419" t="inlineStr">
        <is>
          <t>R-018</t>
        </is>
      </c>
      <c r="B256" s="419" t="inlineStr">
        <is>
          <t>MVP</t>
        </is>
      </c>
      <c r="C256" s="419" t="inlineStr">
        <is>
          <t>Code Intelligence</t>
        </is>
      </c>
      <c r="D256" s="419" t="inlineStr">
        <is>
          <t>Repository index</t>
        </is>
      </c>
      <c r="E256" s="419" t="inlineStr">
        <is>
          <t>Symbols, imports, routes, schemas and dependencies indexed per commit.</t>
        </is>
      </c>
      <c r="F256" s="419" t="inlineStr">
        <is>
          <t>P0</t>
        </is>
      </c>
      <c r="G256" s="419" t="n"/>
      <c r="H256" s="419" t="inlineStr">
        <is>
          <t>Not Started</t>
        </is>
      </c>
      <c r="I256" s="420" t="n">
        <v>0</v>
      </c>
      <c r="J256" s="419" t="n"/>
      <c r="K256" s="419" t="n"/>
      <c r="L256" s="419" t="n"/>
      <c r="M256" s="419" t="n"/>
    </row>
    <row r="257">
      <c r="A257" s="419" t="inlineStr">
        <is>
          <t>R-019</t>
        </is>
      </c>
      <c r="B257" s="419" t="inlineStr">
        <is>
          <t>MVP</t>
        </is>
      </c>
      <c r="C257" s="419" t="inlineStr">
        <is>
          <t>Code Intelligence</t>
        </is>
      </c>
      <c r="D257" s="419" t="inlineStr">
        <is>
          <t>Semantic context retrieval</t>
        </is>
      </c>
      <c r="E257" s="419" t="inlineStr">
        <is>
          <t>Send only relevant code/context to models.</t>
        </is>
      </c>
      <c r="F257" s="419" t="inlineStr">
        <is>
          <t>P0</t>
        </is>
      </c>
      <c r="G257" s="419" t="n"/>
      <c r="H257" s="419" t="inlineStr">
        <is>
          <t>Not Started</t>
        </is>
      </c>
      <c r="I257" s="420" t="n">
        <v>0</v>
      </c>
      <c r="J257" s="419" t="n"/>
      <c r="K257" s="419" t="n"/>
      <c r="L257" s="419" t="n"/>
      <c r="M257" s="419" t="n"/>
    </row>
    <row r="258">
      <c r="A258" s="419" t="inlineStr">
        <is>
          <t>R-020</t>
        </is>
      </c>
      <c r="B258" s="419" t="inlineStr">
        <is>
          <t>MVP</t>
        </is>
      </c>
      <c r="C258" s="419" t="inlineStr">
        <is>
          <t>Code Editing</t>
        </is>
      </c>
      <c r="D258" s="419" t="inlineStr">
        <is>
          <t>Structured patch engine</t>
        </is>
      </c>
      <c r="E258" s="419" t="inlineStr">
        <is>
          <t>Prefer symbol/AST-aware targeted patches over full-file rewrites.</t>
        </is>
      </c>
      <c r="F258" s="419" t="inlineStr">
        <is>
          <t>P0</t>
        </is>
      </c>
      <c r="G258" s="419" t="n"/>
      <c r="H258" s="419" t="inlineStr">
        <is>
          <t>Not Started</t>
        </is>
      </c>
      <c r="I258" s="420" t="n">
        <v>0</v>
      </c>
      <c r="J258" s="419" t="n"/>
      <c r="K258" s="419" t="n"/>
      <c r="L258" s="419" t="n"/>
      <c r="M258" s="419" t="n"/>
    </row>
    <row r="259">
      <c r="A259" s="419" t="inlineStr">
        <is>
          <t>R-021</t>
        </is>
      </c>
      <c r="B259" s="419" t="inlineStr">
        <is>
          <t>MVP</t>
        </is>
      </c>
      <c r="C259" s="419" t="inlineStr">
        <is>
          <t>Git</t>
        </is>
      </c>
      <c r="D259" s="419" t="inlineStr">
        <is>
          <t>Branch per task</t>
        </is>
      </c>
      <c r="E259" s="419" t="inlineStr">
        <is>
          <t>Every AI task runs on its own branch/checkpoint.</t>
        </is>
      </c>
      <c r="F259" s="419" t="inlineStr">
        <is>
          <t>P0</t>
        </is>
      </c>
      <c r="G259" s="419" t="n"/>
      <c r="H259" s="419" t="inlineStr">
        <is>
          <t>Not Started</t>
        </is>
      </c>
      <c r="I259" s="420" t="n">
        <v>0</v>
      </c>
      <c r="J259" s="419" t="n"/>
      <c r="K259" s="419" t="n"/>
      <c r="L259" s="419" t="n"/>
      <c r="M259" s="419" t="n"/>
    </row>
    <row r="260">
      <c r="A260" s="419" t="inlineStr">
        <is>
          <t>R-022</t>
        </is>
      </c>
      <c r="B260" s="419" t="inlineStr">
        <is>
          <t>MVP</t>
        </is>
      </c>
      <c r="C260" s="419" t="inlineStr">
        <is>
          <t>Git</t>
        </is>
      </c>
      <c r="D260" s="419" t="inlineStr">
        <is>
          <t>Non-destructive rollback</t>
        </is>
      </c>
      <c r="E260" s="419" t="inlineStr">
        <is>
          <t>Use Git revert/cherry-pick; never destroy later work as the only rollback method.</t>
        </is>
      </c>
      <c r="F260" s="419" t="inlineStr">
        <is>
          <t>P0</t>
        </is>
      </c>
      <c r="G260" s="419" t="n"/>
      <c r="H260" s="419" t="inlineStr">
        <is>
          <t>Not Started</t>
        </is>
      </c>
      <c r="I260" s="420" t="n">
        <v>0</v>
      </c>
      <c r="J260" s="419" t="n"/>
      <c r="K260" s="419" t="n"/>
      <c r="L260" s="419" t="n"/>
      <c r="M260" s="419" t="n"/>
    </row>
    <row r="261">
      <c r="A261" s="419" t="inlineStr">
        <is>
          <t>R-023</t>
        </is>
      </c>
      <c r="B261" s="419" t="inlineStr">
        <is>
          <t>MVP</t>
        </is>
      </c>
      <c r="C261" s="419" t="inlineStr">
        <is>
          <t>Models</t>
        </is>
      </c>
      <c r="D261" s="419" t="inlineStr">
        <is>
          <t>Model gateway</t>
        </is>
      </c>
      <c r="E261" s="419" t="inlineStr">
        <is>
          <t>One internal API for OpenAI/Anthropic/Gemini and future models.</t>
        </is>
      </c>
      <c r="F261" s="419" t="inlineStr">
        <is>
          <t>P0</t>
        </is>
      </c>
      <c r="G261" s="419" t="n"/>
      <c r="H261" s="419" t="inlineStr">
        <is>
          <t>Not Started</t>
        </is>
      </c>
      <c r="I261" s="420" t="n">
        <v>0</v>
      </c>
      <c r="J261" s="419" t="n"/>
      <c r="K261" s="419" t="n"/>
      <c r="L261" s="419" t="n"/>
      <c r="M261" s="419" t="n"/>
    </row>
    <row r="262">
      <c r="A262" s="419" t="inlineStr">
        <is>
          <t>R-024</t>
        </is>
      </c>
      <c r="B262" s="419" t="inlineStr">
        <is>
          <t>MVP</t>
        </is>
      </c>
      <c r="C262" s="419" t="inlineStr">
        <is>
          <t>Models</t>
        </is>
      </c>
      <c r="D262" s="419" t="inlineStr">
        <is>
          <t>Routing + fallback</t>
        </is>
      </c>
      <c r="E262" s="419" t="inlineStr">
        <is>
          <t>Route by task quality/cost/latency; retry on another approved model after provider failure.</t>
        </is>
      </c>
      <c r="F262" s="419" t="inlineStr">
        <is>
          <t>P0</t>
        </is>
      </c>
      <c r="G262" s="419" t="n"/>
      <c r="H262" s="419" t="inlineStr">
        <is>
          <t>Not Started</t>
        </is>
      </c>
      <c r="I262" s="420" t="n">
        <v>0</v>
      </c>
      <c r="J262" s="419" t="n"/>
      <c r="K262" s="419" t="n"/>
      <c r="L262" s="419" t="n"/>
      <c r="M262" s="419" t="n"/>
    </row>
    <row r="263">
      <c r="A263" s="419" t="inlineStr">
        <is>
          <t>R-025</t>
        </is>
      </c>
      <c r="B263" s="419" t="inlineStr">
        <is>
          <t>MVP</t>
        </is>
      </c>
      <c r="C263" s="419" t="inlineStr">
        <is>
          <t>Models</t>
        </is>
      </c>
      <c r="D263" s="419" t="inlineStr">
        <is>
          <t>Per-task budgets</t>
        </is>
      </c>
      <c r="E263" s="419" t="inlineStr">
        <is>
          <t>Token/tool/time/retry limits prevent runaway loops.</t>
        </is>
      </c>
      <c r="F263" s="419" t="inlineStr">
        <is>
          <t>P0</t>
        </is>
      </c>
      <c r="G263" s="419" t="n"/>
      <c r="H263" s="419" t="inlineStr">
        <is>
          <t>Not Started</t>
        </is>
      </c>
      <c r="I263" s="420" t="n">
        <v>0</v>
      </c>
      <c r="J263" s="419" t="n"/>
      <c r="K263" s="419" t="n"/>
      <c r="L263" s="419" t="n"/>
      <c r="M263" s="419" t="n"/>
    </row>
    <row r="264">
      <c r="A264" s="419" t="inlineStr">
        <is>
          <t>R-026</t>
        </is>
      </c>
      <c r="B264" s="419" t="inlineStr">
        <is>
          <t>MVP</t>
        </is>
      </c>
      <c r="C264" s="419" t="inlineStr">
        <is>
          <t>Data</t>
        </is>
      </c>
      <c r="D264" s="419" t="inlineStr">
        <is>
          <t>PostgreSQL</t>
        </is>
      </c>
      <c r="E264" s="419" t="inlineStr">
        <is>
          <t>Platform metadata, users, projects, billing, IR and audit records.</t>
        </is>
      </c>
      <c r="F264" s="419" t="inlineStr">
        <is>
          <t>P0</t>
        </is>
      </c>
      <c r="G264" s="419" t="n"/>
      <c r="H264" s="419" t="inlineStr">
        <is>
          <t>Not Started</t>
        </is>
      </c>
      <c r="I264" s="420" t="n">
        <v>0</v>
      </c>
      <c r="J264" s="419" t="n"/>
      <c r="K264" s="419" t="n"/>
      <c r="L264" s="419" t="n"/>
      <c r="M264" s="419" t="n"/>
    </row>
    <row r="265">
      <c r="A265" s="419" t="inlineStr">
        <is>
          <t>R-027</t>
        </is>
      </c>
      <c r="B265" s="419" t="inlineStr">
        <is>
          <t>MVP</t>
        </is>
      </c>
      <c r="C265" s="419" t="inlineStr">
        <is>
          <t>Data</t>
        </is>
      </c>
      <c r="D265" s="419" t="inlineStr">
        <is>
          <t>pgvector initially</t>
        </is>
      </c>
      <c r="E265" s="419" t="inlineStr">
        <is>
          <t>Project/code embeddings in PostgreSQL to avoid operating a separate vector DB too early.</t>
        </is>
      </c>
      <c r="F265" s="419" t="inlineStr">
        <is>
          <t>P0</t>
        </is>
      </c>
      <c r="G265" s="419" t="n"/>
      <c r="H265" s="419" t="inlineStr">
        <is>
          <t>Not Started</t>
        </is>
      </c>
      <c r="I265" s="420" t="n">
        <v>0</v>
      </c>
      <c r="J265" s="419" t="n"/>
      <c r="K265" s="419" t="n"/>
      <c r="L265" s="419" t="n"/>
      <c r="M265" s="419" t="n"/>
    </row>
    <row r="266">
      <c r="A266" s="419" t="inlineStr">
        <is>
          <t>R-028</t>
        </is>
      </c>
      <c r="B266" s="419" t="inlineStr">
        <is>
          <t>MVP</t>
        </is>
      </c>
      <c r="C266" s="419" t="inlineStr">
        <is>
          <t>Data</t>
        </is>
      </c>
      <c r="D266" s="419" t="inlineStr">
        <is>
          <t>Redis</t>
        </is>
      </c>
      <c r="E266" s="419" t="inlineStr">
        <is>
          <t>Cache, short-lived agent state, rate limits and queues where appropriate.</t>
        </is>
      </c>
      <c r="F266" s="419" t="inlineStr">
        <is>
          <t>P0</t>
        </is>
      </c>
      <c r="G266" s="419" t="n"/>
      <c r="H266" s="419" t="inlineStr">
        <is>
          <t>Not Started</t>
        </is>
      </c>
      <c r="I266" s="420" t="n">
        <v>0</v>
      </c>
      <c r="J266" s="419" t="n"/>
      <c r="K266" s="419" t="n"/>
      <c r="L266" s="419" t="n"/>
      <c r="M266" s="419" t="n"/>
    </row>
    <row r="267">
      <c r="A267" s="419" t="inlineStr">
        <is>
          <t>R-029</t>
        </is>
      </c>
      <c r="B267" s="419" t="inlineStr">
        <is>
          <t>MVP</t>
        </is>
      </c>
      <c r="C267" s="419" t="inlineStr">
        <is>
          <t>Data</t>
        </is>
      </c>
      <c r="D267" s="419" t="inlineStr">
        <is>
          <t>NATS / managed queue</t>
        </is>
      </c>
      <c r="E267" s="419" t="inlineStr">
        <is>
          <t>Agent/build events with simpler operations than Kafka for MVP.</t>
        </is>
      </c>
      <c r="F267" s="419" t="inlineStr">
        <is>
          <t>P0</t>
        </is>
      </c>
      <c r="G267" s="419" t="n"/>
      <c r="H267" s="419" t="inlineStr">
        <is>
          <t>Not Started</t>
        </is>
      </c>
      <c r="I267" s="420" t="n">
        <v>0</v>
      </c>
      <c r="J267" s="419" t="n"/>
      <c r="K267" s="419" t="n"/>
      <c r="L267" s="419" t="n"/>
      <c r="M267" s="419" t="n"/>
    </row>
    <row r="268">
      <c r="A268" s="419" t="inlineStr">
        <is>
          <t>R-030</t>
        </is>
      </c>
      <c r="B268" s="419" t="inlineStr">
        <is>
          <t>MVP</t>
        </is>
      </c>
      <c r="C268" s="419" t="inlineStr">
        <is>
          <t>Data</t>
        </is>
      </c>
      <c r="D268" s="419" t="inlineStr">
        <is>
          <t>S3-compatible object storage</t>
        </is>
      </c>
      <c r="E268" s="419" t="inlineStr">
        <is>
          <t>Builds, screenshots, archives, test artifacts and logs.</t>
        </is>
      </c>
      <c r="F268" s="419" t="inlineStr">
        <is>
          <t>P0</t>
        </is>
      </c>
      <c r="G268" s="419" t="n"/>
      <c r="H268" s="419" t="inlineStr">
        <is>
          <t>Not Started</t>
        </is>
      </c>
      <c r="I268" s="420" t="n">
        <v>0</v>
      </c>
      <c r="J268" s="419" t="n"/>
      <c r="K268" s="419" t="n"/>
      <c r="L268" s="419" t="n"/>
      <c r="M268" s="419" t="n"/>
    </row>
    <row r="269">
      <c r="A269" s="419" t="inlineStr">
        <is>
          <t>R-031</t>
        </is>
      </c>
      <c r="B269" s="419" t="inlineStr">
        <is>
          <t>MVP</t>
        </is>
      </c>
      <c r="C269" s="419" t="inlineStr">
        <is>
          <t>Sandbox</t>
        </is>
      </c>
      <c r="D269" s="419" t="inlineStr">
        <is>
          <t>Ephemeral Linux sandbox</t>
        </is>
      </c>
      <c r="E269" s="419" t="inlineStr">
        <is>
          <t>Isolated build/run environment with CPU/RAM/disk/network limits.</t>
        </is>
      </c>
      <c r="F269" s="419" t="inlineStr">
        <is>
          <t>P0</t>
        </is>
      </c>
      <c r="G269" s="419" t="n"/>
      <c r="H269" s="419" t="inlineStr">
        <is>
          <t>Not Started</t>
        </is>
      </c>
      <c r="I269" s="420" t="n">
        <v>0</v>
      </c>
      <c r="J269" s="419" t="n"/>
      <c r="K269" s="419" t="n"/>
      <c r="L269" s="419" t="n"/>
      <c r="M269" s="419" t="n"/>
    </row>
    <row r="270">
      <c r="A270" s="419" t="inlineStr">
        <is>
          <t>R-032</t>
        </is>
      </c>
      <c r="B270" s="419" t="inlineStr">
        <is>
          <t>MVP</t>
        </is>
      </c>
      <c r="C270" s="419" t="inlineStr">
        <is>
          <t>Sandbox</t>
        </is>
      </c>
      <c r="D270" s="419" t="inlineStr">
        <is>
          <t>Secret broker</t>
        </is>
      </c>
      <c r="E270" s="419" t="inlineStr">
        <is>
          <t>Give tasks short-lived scoped credentials, never raw master secrets.</t>
        </is>
      </c>
      <c r="F270" s="419" t="inlineStr">
        <is>
          <t>P0</t>
        </is>
      </c>
      <c r="G270" s="419" t="n"/>
      <c r="H270" s="419" t="inlineStr">
        <is>
          <t>Not Started</t>
        </is>
      </c>
      <c r="I270" s="420" t="n">
        <v>0</v>
      </c>
      <c r="J270" s="419" t="n"/>
      <c r="K270" s="419" t="n"/>
      <c r="L270" s="419" t="n"/>
      <c r="M270" s="419" t="n"/>
    </row>
    <row r="271">
      <c r="A271" s="419" t="inlineStr">
        <is>
          <t>R-033</t>
        </is>
      </c>
      <c r="B271" s="419" t="inlineStr">
        <is>
          <t>MVP</t>
        </is>
      </c>
      <c r="C271" s="419" t="inlineStr">
        <is>
          <t>Preview</t>
        </is>
      </c>
      <c r="D271" s="419" t="inlineStr">
        <is>
          <t>Application-IR browser preview</t>
        </is>
      </c>
      <c r="E271" s="419" t="inlineStr">
        <is>
          <t>Fast Android/iOS-like UI preview from same canonical IR.</t>
        </is>
      </c>
      <c r="F271" s="419" t="inlineStr">
        <is>
          <t>P0</t>
        </is>
      </c>
      <c r="G271" s="419" t="n"/>
      <c r="H271" s="419" t="inlineStr">
        <is>
          <t>Not Started</t>
        </is>
      </c>
      <c r="I271" s="420" t="n">
        <v>0</v>
      </c>
      <c r="J271" s="419" t="n"/>
      <c r="K271" s="419" t="n"/>
      <c r="L271" s="419" t="n"/>
      <c r="M271" s="419" t="n"/>
    </row>
    <row r="272">
      <c r="A272" s="419" t="inlineStr">
        <is>
          <t>R-034</t>
        </is>
      </c>
      <c r="B272" s="419" t="inlineStr">
        <is>
          <t>MVP</t>
        </is>
      </c>
      <c r="C272" s="419" t="inlineStr">
        <is>
          <t>Preview</t>
        </is>
      </c>
      <c r="D272" s="419" t="inlineStr">
        <is>
          <t>Web/Admin live preview</t>
        </is>
      </c>
      <c r="E272" s="419" t="inlineStr">
        <is>
          <t>Run generated web apps in isolated preview containers.</t>
        </is>
      </c>
      <c r="F272" s="419" t="inlineStr">
        <is>
          <t>P0</t>
        </is>
      </c>
      <c r="G272" s="419" t="n"/>
      <c r="H272" s="419" t="inlineStr">
        <is>
          <t>Not Started</t>
        </is>
      </c>
      <c r="I272" s="420" t="n">
        <v>0</v>
      </c>
      <c r="J272" s="419" t="n"/>
      <c r="K272" s="419" t="n"/>
      <c r="L272" s="419" t="n"/>
      <c r="M272" s="419" t="n"/>
    </row>
    <row r="273">
      <c r="A273" s="419" t="inlineStr">
        <is>
          <t>R-035</t>
        </is>
      </c>
      <c r="B273" s="419" t="inlineStr">
        <is>
          <t>MVP</t>
        </is>
      </c>
      <c r="C273" s="419" t="inlineStr">
        <is>
          <t>Android</t>
        </is>
      </c>
      <c r="D273" s="419" t="inlineStr">
        <is>
          <t>Android build verification</t>
        </is>
      </c>
      <c r="E273" s="419" t="inlineStr">
        <is>
          <t>Compile generated Kotlin/Compose on Linux workers.</t>
        </is>
      </c>
      <c r="F273" s="419" t="inlineStr">
        <is>
          <t>P0</t>
        </is>
      </c>
      <c r="G273" s="419" t="n"/>
      <c r="H273" s="419" t="inlineStr">
        <is>
          <t>Not Started</t>
        </is>
      </c>
      <c r="I273" s="420" t="n">
        <v>0</v>
      </c>
      <c r="J273" s="419" t="n"/>
      <c r="K273" s="419" t="n"/>
      <c r="L273" s="419" t="n"/>
      <c r="M273" s="419" t="n"/>
    </row>
    <row r="274">
      <c r="A274" s="419" t="inlineStr">
        <is>
          <t>R-036</t>
        </is>
      </c>
      <c r="B274" s="419" t="inlineStr">
        <is>
          <t>MVP</t>
        </is>
      </c>
      <c r="C274" s="419" t="inlineStr">
        <is>
          <t>iOS</t>
        </is>
      </c>
      <c r="D274" s="419" t="inlineStr">
        <is>
          <t>Cloud macOS compile verification</t>
        </is>
      </c>
      <c r="E274" s="419" t="inlineStr">
        <is>
          <t>Compile Swift/SwiftUI on a Mac pool when needed; user OS irrelevant.</t>
        </is>
      </c>
      <c r="F274" s="419" t="inlineStr">
        <is>
          <t>P0</t>
        </is>
      </c>
      <c r="G274" s="419" t="n"/>
      <c r="H274" s="419" t="inlineStr">
        <is>
          <t>Not Started</t>
        </is>
      </c>
      <c r="I274" s="420" t="n">
        <v>0</v>
      </c>
      <c r="J274" s="419" t="n"/>
      <c r="K274" s="419" t="n"/>
      <c r="L274" s="419" t="n"/>
      <c r="M274" s="419" t="n"/>
    </row>
    <row r="275">
      <c r="A275" s="419" t="inlineStr">
        <is>
          <t>R-037</t>
        </is>
      </c>
      <c r="B275" s="419" t="inlineStr">
        <is>
          <t>MVP</t>
        </is>
      </c>
      <c r="C275" s="419" t="inlineStr">
        <is>
          <t>Testing</t>
        </is>
      </c>
      <c r="D275" s="419" t="inlineStr">
        <is>
          <t>Unit + integration baseline</t>
        </is>
      </c>
      <c r="E275" s="419" t="inlineStr">
        <is>
          <t>Generated changes require relevant tests.</t>
        </is>
      </c>
      <c r="F275" s="419" t="inlineStr">
        <is>
          <t>P0</t>
        </is>
      </c>
      <c r="G275" s="419" t="n"/>
      <c r="H275" s="419" t="inlineStr">
        <is>
          <t>Not Started</t>
        </is>
      </c>
      <c r="I275" s="420" t="n">
        <v>0</v>
      </c>
      <c r="J275" s="419" t="n"/>
      <c r="K275" s="419" t="n"/>
      <c r="L275" s="419" t="n"/>
      <c r="M275" s="419" t="n"/>
    </row>
    <row r="276">
      <c r="A276" s="419" t="inlineStr">
        <is>
          <t>R-038</t>
        </is>
      </c>
      <c r="B276" s="419" t="inlineStr">
        <is>
          <t>MVP</t>
        </is>
      </c>
      <c r="C276" s="419" t="inlineStr">
        <is>
          <t>Testing</t>
        </is>
      </c>
      <c r="D276" s="419" t="inlineStr">
        <is>
          <t>Regression gate</t>
        </is>
      </c>
      <c r="E276" s="419" t="inlineStr">
        <is>
          <t>Existing passing tests must stay passing before merge.</t>
        </is>
      </c>
      <c r="F276" s="419" t="inlineStr">
        <is>
          <t>P0</t>
        </is>
      </c>
      <c r="G276" s="419" t="n"/>
      <c r="H276" s="419" t="inlineStr">
        <is>
          <t>Not Started</t>
        </is>
      </c>
      <c r="I276" s="420" t="n">
        <v>0</v>
      </c>
      <c r="J276" s="419" t="n"/>
      <c r="K276" s="419" t="n"/>
      <c r="L276" s="419" t="n"/>
      <c r="M276" s="419" t="n"/>
    </row>
    <row r="277">
      <c r="A277" s="419" t="inlineStr">
        <is>
          <t>R-039</t>
        </is>
      </c>
      <c r="B277" s="419" t="inlineStr">
        <is>
          <t>MVP</t>
        </is>
      </c>
      <c r="C277" s="419" t="inlineStr">
        <is>
          <t>Testing</t>
        </is>
      </c>
      <c r="D277" s="419" t="inlineStr">
        <is>
          <t>API contract tests</t>
        </is>
      </c>
      <c r="E277" s="419" t="inlineStr">
        <is>
          <t>Catch backend/mobile/web contract drift.</t>
        </is>
      </c>
      <c r="F277" s="419" t="inlineStr">
        <is>
          <t>P0</t>
        </is>
      </c>
      <c r="G277" s="419" t="n"/>
      <c r="H277" s="419" t="inlineStr">
        <is>
          <t>Not Started</t>
        </is>
      </c>
      <c r="I277" s="420" t="n">
        <v>0</v>
      </c>
      <c r="J277" s="419" t="n"/>
      <c r="K277" s="419" t="n"/>
      <c r="L277" s="419" t="n"/>
      <c r="M277" s="419" t="n"/>
    </row>
    <row r="278">
      <c r="A278" s="419" t="inlineStr">
        <is>
          <t>R-040</t>
        </is>
      </c>
      <c r="B278" s="419" t="inlineStr">
        <is>
          <t>MVP</t>
        </is>
      </c>
      <c r="C278" s="419" t="inlineStr">
        <is>
          <t>Testing</t>
        </is>
      </c>
      <c r="D278" s="419" t="inlineStr">
        <is>
          <t>Migration safety checks</t>
        </is>
      </c>
      <c r="E278" s="419" t="inlineStr">
        <is>
          <t>Detect destructive schema changes and require explicit migration plan.</t>
        </is>
      </c>
      <c r="F278" s="419" t="inlineStr">
        <is>
          <t>P0</t>
        </is>
      </c>
      <c r="G278" s="419" t="n"/>
      <c r="H278" s="419" t="inlineStr">
        <is>
          <t>Not Started</t>
        </is>
      </c>
      <c r="I278" s="420" t="n">
        <v>0</v>
      </c>
      <c r="J278" s="419" t="n"/>
      <c r="K278" s="419" t="n"/>
      <c r="L278" s="419" t="n"/>
      <c r="M278" s="419" t="n"/>
    </row>
    <row r="279">
      <c r="A279" s="419" t="inlineStr">
        <is>
          <t>R-041</t>
        </is>
      </c>
      <c r="B279" s="419" t="inlineStr">
        <is>
          <t>MVP</t>
        </is>
      </c>
      <c r="C279" s="419" t="inlineStr">
        <is>
          <t>Security</t>
        </is>
      </c>
      <c r="D279" s="419" t="inlineStr">
        <is>
          <t>SAST + dependency scanning</t>
        </is>
      </c>
      <c r="E279" s="419" t="inlineStr">
        <is>
          <t>Scan generated and modified code before deploy.</t>
        </is>
      </c>
      <c r="F279" s="419" t="inlineStr">
        <is>
          <t>P0</t>
        </is>
      </c>
      <c r="G279" s="419" t="n"/>
      <c r="H279" s="419" t="inlineStr">
        <is>
          <t>Not Started</t>
        </is>
      </c>
      <c r="I279" s="420" t="n">
        <v>0</v>
      </c>
      <c r="J279" s="419" t="n"/>
      <c r="K279" s="419" t="n"/>
      <c r="L279" s="419" t="n"/>
      <c r="M279" s="419" t="n"/>
    </row>
    <row r="280">
      <c r="A280" s="419" t="inlineStr">
        <is>
          <t>R-042</t>
        </is>
      </c>
      <c r="B280" s="419" t="inlineStr">
        <is>
          <t>MVP</t>
        </is>
      </c>
      <c r="C280" s="419" t="inlineStr">
        <is>
          <t>Security</t>
        </is>
      </c>
      <c r="D280" s="419" t="inlineStr">
        <is>
          <t>Prompt/tool policy</t>
        </is>
      </c>
      <c r="E280" s="419" t="inlineStr">
        <is>
          <t>Repo content cannot silently override system policy or exfiltrate secrets.</t>
        </is>
      </c>
      <c r="F280" s="419" t="inlineStr">
        <is>
          <t>P0</t>
        </is>
      </c>
      <c r="G280" s="419" t="n"/>
      <c r="H280" s="419" t="inlineStr">
        <is>
          <t>Not Started</t>
        </is>
      </c>
      <c r="I280" s="420" t="n">
        <v>0</v>
      </c>
      <c r="J280" s="419" t="n"/>
      <c r="K280" s="419" t="n"/>
      <c r="L280" s="419" t="n"/>
      <c r="M280" s="419" t="n"/>
    </row>
    <row r="281">
      <c r="A281" s="419" t="inlineStr">
        <is>
          <t>R-043</t>
        </is>
      </c>
      <c r="B281" s="419" t="inlineStr">
        <is>
          <t>MVP</t>
        </is>
      </c>
      <c r="C281" s="419" t="inlineStr">
        <is>
          <t>Observability</t>
        </is>
      </c>
      <c r="D281" s="419" t="inlineStr">
        <is>
          <t>Task trace</t>
        </is>
      </c>
      <c r="E281" s="419" t="inlineStr">
        <is>
          <t>Trace prompt -&gt; plan -&gt; tools -&gt; patches -&gt; tests -&gt; cost -&gt; result.</t>
        </is>
      </c>
      <c r="F281" s="419" t="inlineStr">
        <is>
          <t>P0</t>
        </is>
      </c>
      <c r="G281" s="419" t="n"/>
      <c r="H281" s="419" t="inlineStr">
        <is>
          <t>Not Started</t>
        </is>
      </c>
      <c r="I281" s="420" t="n">
        <v>0</v>
      </c>
      <c r="J281" s="419" t="n"/>
      <c r="K281" s="419" t="n"/>
      <c r="L281" s="419" t="n"/>
      <c r="M281" s="419" t="n"/>
    </row>
    <row r="282">
      <c r="A282" s="419" t="inlineStr">
        <is>
          <t>R-044</t>
        </is>
      </c>
      <c r="B282" s="419" t="inlineStr">
        <is>
          <t>MVP</t>
        </is>
      </c>
      <c r="C282" s="419" t="inlineStr">
        <is>
          <t>Observability</t>
        </is>
      </c>
      <c r="D282" s="419" t="inlineStr">
        <is>
          <t>Platform logs/metrics</t>
        </is>
      </c>
      <c r="E282" s="419" t="inlineStr">
        <is>
          <t>OpenTelemetry plus central logs and core service metrics.</t>
        </is>
      </c>
      <c r="F282" s="419" t="inlineStr">
        <is>
          <t>P0</t>
        </is>
      </c>
      <c r="G282" s="419" t="n"/>
      <c r="H282" s="419" t="inlineStr">
        <is>
          <t>Not Started</t>
        </is>
      </c>
      <c r="I282" s="420" t="n">
        <v>0</v>
      </c>
      <c r="J282" s="419" t="n"/>
      <c r="K282" s="419" t="n"/>
      <c r="L282" s="419" t="n"/>
      <c r="M282" s="419" t="n"/>
    </row>
    <row r="283">
      <c r="A283" s="419" t="inlineStr">
        <is>
          <t>R-045</t>
        </is>
      </c>
      <c r="B283" s="419" t="inlineStr">
        <is>
          <t>MVP</t>
        </is>
      </c>
      <c r="C283" s="419" t="inlineStr">
        <is>
          <t>Billing</t>
        </is>
      </c>
      <c r="D283" s="419" t="inlineStr">
        <is>
          <t>Usage ledger</t>
        </is>
      </c>
      <c r="E283" s="419" t="inlineStr">
        <is>
          <t>Track model tokens, build minutes, storage and Mac minutes per task/project.</t>
        </is>
      </c>
      <c r="F283" s="419" t="inlineStr">
        <is>
          <t>P0</t>
        </is>
      </c>
      <c r="G283" s="419" t="n"/>
      <c r="H283" s="419" t="inlineStr">
        <is>
          <t>Not Started</t>
        </is>
      </c>
      <c r="I283" s="420" t="n">
        <v>0</v>
      </c>
      <c r="J283" s="419" t="n"/>
      <c r="K283" s="419" t="n"/>
      <c r="L283" s="419" t="n"/>
      <c r="M283" s="419" t="n"/>
    </row>
    <row r="284">
      <c r="A284" s="419" t="inlineStr">
        <is>
          <t>R-046</t>
        </is>
      </c>
      <c r="B284" s="419" t="inlineStr">
        <is>
          <t>MVP</t>
        </is>
      </c>
      <c r="C284" s="419" t="inlineStr">
        <is>
          <t>Billing</t>
        </is>
      </c>
      <c r="D284" s="419" t="inlineStr">
        <is>
          <t>Pre-task estimate</t>
        </is>
      </c>
      <c r="E284" s="419" t="inlineStr">
        <is>
          <t>Show estimated credit range before expensive tasks/native sessions.</t>
        </is>
      </c>
      <c r="F284" s="419" t="inlineStr">
        <is>
          <t>P0</t>
        </is>
      </c>
      <c r="G284" s="419" t="n"/>
      <c r="H284" s="419" t="inlineStr">
        <is>
          <t>Not Started</t>
        </is>
      </c>
      <c r="I284" s="420" t="n">
        <v>0</v>
      </c>
      <c r="J284" s="419" t="n"/>
      <c r="K284" s="419" t="n"/>
      <c r="L284" s="419" t="n"/>
      <c r="M284" s="419" t="n"/>
    </row>
    <row r="285">
      <c r="A285" s="419" t="inlineStr">
        <is>
          <t>R-047</t>
        </is>
      </c>
      <c r="B285" s="419" t="inlineStr">
        <is>
          <t>MVP</t>
        </is>
      </c>
      <c r="C285" s="419" t="inlineStr">
        <is>
          <t>Billing</t>
        </is>
      </c>
      <c r="D285" s="419" t="inlineStr">
        <is>
          <t>No charge for internal failed retries</t>
        </is>
      </c>
      <c r="E285" s="419" t="inlineStr">
        <is>
          <t>Customer pays intended task budget, not repeated agent mistakes within policy.</t>
        </is>
      </c>
      <c r="F285" s="419" t="inlineStr">
        <is>
          <t>P0</t>
        </is>
      </c>
      <c r="G285" s="419" t="n"/>
      <c r="H285" s="419" t="inlineStr">
        <is>
          <t>Not Started</t>
        </is>
      </c>
      <c r="I285" s="420" t="n">
        <v>0</v>
      </c>
      <c r="J285" s="419" t="n"/>
      <c r="K285" s="419" t="n"/>
      <c r="L285" s="419" t="n"/>
      <c r="M285" s="419" t="n"/>
    </row>
    <row r="286">
      <c r="A286" s="419" t="inlineStr">
        <is>
          <t>R-048</t>
        </is>
      </c>
      <c r="B286" s="419" t="inlineStr">
        <is>
          <t>MVP</t>
        </is>
      </c>
      <c r="C286" s="419" t="inlineStr">
        <is>
          <t>Deployment</t>
        </is>
      </c>
      <c r="D286" s="419" t="inlineStr">
        <is>
          <t>Web/backend deployment</t>
        </is>
      </c>
      <c r="E286" s="419" t="inlineStr">
        <is>
          <t>Immutable versioned deployments with health checks and rollback.</t>
        </is>
      </c>
      <c r="F286" s="419" t="inlineStr">
        <is>
          <t>P0</t>
        </is>
      </c>
      <c r="G286" s="419" t="n"/>
      <c r="H286" s="419" t="inlineStr">
        <is>
          <t>Not Started</t>
        </is>
      </c>
      <c r="I286" s="420" t="n">
        <v>0</v>
      </c>
      <c r="J286" s="419" t="n"/>
      <c r="K286" s="419" t="n"/>
      <c r="L286" s="419" t="n"/>
      <c r="M286" s="419" t="n"/>
    </row>
    <row r="287">
      <c r="A287" s="419" t="inlineStr">
        <is>
          <t>R-049</t>
        </is>
      </c>
      <c r="B287" s="419" t="inlineStr">
        <is>
          <t>MVP</t>
        </is>
      </c>
      <c r="C287" s="419" t="inlineStr">
        <is>
          <t>Deployment</t>
        </is>
      </c>
      <c r="D287" s="419" t="inlineStr">
        <is>
          <t>Android APK/AAB build</t>
        </is>
      </c>
      <c r="E287" s="419" t="inlineStr">
        <is>
          <t>Generate signed artifacts using customer-owned signing configuration.</t>
        </is>
      </c>
      <c r="F287" s="419" t="inlineStr">
        <is>
          <t>P0</t>
        </is>
      </c>
      <c r="G287" s="419" t="n"/>
      <c r="H287" s="419" t="inlineStr">
        <is>
          <t>Not Started</t>
        </is>
      </c>
      <c r="I287" s="420" t="n">
        <v>0</v>
      </c>
      <c r="J287" s="419" t="n"/>
      <c r="K287" s="419" t="n"/>
      <c r="L287" s="419" t="n"/>
      <c r="M287" s="419" t="n"/>
    </row>
    <row r="288">
      <c r="A288" s="419" t="inlineStr">
        <is>
          <t>R-050</t>
        </is>
      </c>
      <c r="B288" s="419" t="inlineStr">
        <is>
          <t>MVP</t>
        </is>
      </c>
      <c r="C288" s="419" t="inlineStr">
        <is>
          <t>Deployment</t>
        </is>
      </c>
      <c r="D288" s="419" t="inlineStr">
        <is>
          <t>iOS IPA build pipeline</t>
        </is>
      </c>
      <c r="E288" s="419" t="inlineStr">
        <is>
          <t>Secure Mac signing worker; certificate/profile stored in vault.</t>
        </is>
      </c>
      <c r="F288" s="419" t="inlineStr">
        <is>
          <t>P0</t>
        </is>
      </c>
      <c r="G288" s="419" t="n"/>
      <c r="H288" s="419" t="inlineStr">
        <is>
          <t>Not Started</t>
        </is>
      </c>
      <c r="I288" s="420" t="n">
        <v>0</v>
      </c>
      <c r="J288" s="419" t="n"/>
      <c r="K288" s="419" t="n"/>
      <c r="L288" s="419" t="n"/>
      <c r="M288" s="419" t="n"/>
    </row>
    <row r="289">
      <c r="A289" s="419" t="inlineStr">
        <is>
          <t>R-051</t>
        </is>
      </c>
      <c r="B289" s="419" t="inlineStr">
        <is>
          <t>MVP</t>
        </is>
      </c>
      <c r="C289" s="419" t="inlineStr">
        <is>
          <t>Analytics</t>
        </is>
      </c>
      <c r="D289" s="419" t="inlineStr">
        <is>
          <t>Core product KPIs</t>
        </is>
      </c>
      <c r="E289" s="419" t="inlineStr">
        <is>
          <t>Track build success, regression, deployment, cost/task and user success.</t>
        </is>
      </c>
      <c r="F289" s="419" t="inlineStr">
        <is>
          <t>P0</t>
        </is>
      </c>
      <c r="G289" s="419" t="n"/>
      <c r="H289" s="419" t="inlineStr">
        <is>
          <t>Not Started</t>
        </is>
      </c>
      <c r="I289" s="420" t="n">
        <v>0</v>
      </c>
      <c r="J289" s="419" t="n"/>
      <c r="K289" s="419" t="n"/>
      <c r="L289" s="419" t="n"/>
      <c r="M289" s="419" t="n"/>
    </row>
    <row r="290">
      <c r="A290" s="419" t="inlineStr">
        <is>
          <t>R-052</t>
        </is>
      </c>
      <c r="B290" s="419" t="inlineStr">
        <is>
          <t>MID</t>
        </is>
      </c>
      <c r="C290" s="419" t="inlineStr">
        <is>
          <t>Preview</t>
        </is>
      </c>
      <c r="D290" s="419" t="inlineStr">
        <is>
          <t>Interactive Android emulator streaming</t>
        </is>
      </c>
      <c r="E290" s="419" t="inlineStr">
        <is>
          <t>Real Android runtime streamed into browser.</t>
        </is>
      </c>
      <c r="F290" s="419" t="inlineStr">
        <is>
          <t>P1</t>
        </is>
      </c>
      <c r="G290" s="419" t="n"/>
      <c r="H290" s="419" t="inlineStr">
        <is>
          <t>Not Started</t>
        </is>
      </c>
      <c r="I290" s="420" t="n">
        <v>0</v>
      </c>
      <c r="J290" s="419" t="n"/>
      <c r="K290" s="419" t="n"/>
      <c r="L290" s="419" t="n"/>
      <c r="M290" s="419" t="n"/>
    </row>
    <row r="291">
      <c r="A291" s="419" t="inlineStr">
        <is>
          <t>R-053</t>
        </is>
      </c>
      <c r="B291" s="419" t="inlineStr">
        <is>
          <t>MID</t>
        </is>
      </c>
      <c r="C291" s="419" t="inlineStr">
        <is>
          <t>Preview</t>
        </is>
      </c>
      <c r="D291" s="419" t="inlineStr">
        <is>
          <t>Interactive iOS simulator streaming</t>
        </is>
      </c>
      <c r="E291" s="419" t="inlineStr">
        <is>
          <t>Remote Mac+iOS Simulator streamed through browser; metered credits.</t>
        </is>
      </c>
      <c r="F291" s="419" t="inlineStr">
        <is>
          <t>P1</t>
        </is>
      </c>
      <c r="G291" s="419" t="n"/>
      <c r="H291" s="419" t="inlineStr">
        <is>
          <t>Not Started</t>
        </is>
      </c>
      <c r="I291" s="420" t="n">
        <v>0</v>
      </c>
      <c r="J291" s="419" t="n"/>
      <c r="K291" s="419" t="n"/>
      <c r="L291" s="419" t="n"/>
      <c r="M291" s="419" t="n"/>
    </row>
    <row r="292">
      <c r="A292" s="419" t="inlineStr">
        <is>
          <t>R-054</t>
        </is>
      </c>
      <c r="B292" s="419" t="inlineStr">
        <is>
          <t>MID</t>
        </is>
      </c>
      <c r="C292" s="419" t="inlineStr">
        <is>
          <t>iOS</t>
        </is>
      </c>
      <c r="D292" s="419" t="inlineStr">
        <is>
          <t>Local Mac Agent</t>
        </is>
      </c>
      <c r="E292" s="419" t="inlineStr">
        <is>
          <t>Opt-in desktop helper uses customer Mac/Xcode instead of cloud Mac.</t>
        </is>
      </c>
      <c r="F292" s="419" t="inlineStr">
        <is>
          <t>P1</t>
        </is>
      </c>
      <c r="G292" s="419" t="n"/>
      <c r="H292" s="419" t="inlineStr">
        <is>
          <t>Not Started</t>
        </is>
      </c>
      <c r="I292" s="420" t="n">
        <v>0</v>
      </c>
      <c r="J292" s="419" t="n"/>
      <c r="K292" s="419" t="n"/>
      <c r="L292" s="419" t="n"/>
      <c r="M292" s="419" t="n"/>
    </row>
    <row r="293">
      <c r="A293" s="419" t="inlineStr">
        <is>
          <t>R-055</t>
        </is>
      </c>
      <c r="B293" s="419" t="inlineStr">
        <is>
          <t>MID</t>
        </is>
      </c>
      <c r="C293" s="419" t="inlineStr">
        <is>
          <t>Integrations</t>
        </is>
      </c>
      <c r="D293" s="419" t="inlineStr">
        <is>
          <t>Verified integration catalog</t>
        </is>
      </c>
      <c r="E293" s="419" t="inlineStr">
        <is>
          <t>Tested templates for payments, maps, auth, messaging, analytics and storage.</t>
        </is>
      </c>
      <c r="F293" s="419" t="inlineStr">
        <is>
          <t>P1</t>
        </is>
      </c>
      <c r="G293" s="419" t="n"/>
      <c r="H293" s="419" t="inlineStr">
        <is>
          <t>Not Started</t>
        </is>
      </c>
      <c r="I293" s="420" t="n">
        <v>0</v>
      </c>
      <c r="J293" s="419" t="n"/>
      <c r="K293" s="419" t="n"/>
      <c r="L293" s="419" t="n"/>
      <c r="M293" s="419" t="n"/>
    </row>
    <row r="294">
      <c r="A294" s="419" t="inlineStr">
        <is>
          <t>R-056</t>
        </is>
      </c>
      <c r="B294" s="419" t="inlineStr">
        <is>
          <t>MID</t>
        </is>
      </c>
      <c r="C294" s="419" t="inlineStr">
        <is>
          <t>Integrations</t>
        </is>
      </c>
      <c r="D294" s="419" t="inlineStr">
        <is>
          <t>Integration health tests</t>
        </is>
      </c>
      <c r="E294" s="419" t="inlineStr">
        <is>
          <t>Credentials/scopes/webhooks verified automatically.</t>
        </is>
      </c>
      <c r="F294" s="419" t="inlineStr">
        <is>
          <t>P1</t>
        </is>
      </c>
      <c r="G294" s="419" t="n"/>
      <c r="H294" s="419" t="inlineStr">
        <is>
          <t>Not Started</t>
        </is>
      </c>
      <c r="I294" s="420" t="n">
        <v>0</v>
      </c>
      <c r="J294" s="419" t="n"/>
      <c r="K294" s="419" t="n"/>
      <c r="L294" s="419" t="n"/>
      <c r="M294" s="419" t="n"/>
    </row>
    <row r="295">
      <c r="A295" s="419" t="inlineStr">
        <is>
          <t>R-057</t>
        </is>
      </c>
      <c r="B295" s="419" t="inlineStr">
        <is>
          <t>MID</t>
        </is>
      </c>
      <c r="C295" s="419" t="inlineStr">
        <is>
          <t>Context</t>
        </is>
      </c>
      <c r="D295" s="419" t="inlineStr">
        <is>
          <t>Long-project memory compaction</t>
        </is>
      </c>
      <c r="E295" s="419" t="inlineStr">
        <is>
          <t>Summaries + graph + ADRs replace dependence on raw chat history.</t>
        </is>
      </c>
      <c r="F295" s="419" t="inlineStr">
        <is>
          <t>P1</t>
        </is>
      </c>
      <c r="G295" s="419" t="n"/>
      <c r="H295" s="419" t="inlineStr">
        <is>
          <t>Not Started</t>
        </is>
      </c>
      <c r="I295" s="420" t="n">
        <v>0</v>
      </c>
      <c r="J295" s="419" t="n"/>
      <c r="K295" s="419" t="n"/>
      <c r="L295" s="419" t="n"/>
      <c r="M295" s="419" t="n"/>
    </row>
    <row r="296">
      <c r="A296" s="419" t="inlineStr">
        <is>
          <t>R-058</t>
        </is>
      </c>
      <c r="B296" s="419" t="inlineStr">
        <is>
          <t>MID</t>
        </is>
      </c>
      <c r="C296" s="419" t="inlineStr">
        <is>
          <t>Code Editing</t>
        </is>
      </c>
      <c r="D296" s="419" t="inlineStr">
        <is>
          <t>Language-specific structured editors</t>
        </is>
      </c>
      <c r="E296" s="419" t="inlineStr">
        <is>
          <t>SwiftSyntax, Kotlin PSI/tree-sitter, TS compiler APIs, Python LibCST, Go AST.</t>
        </is>
      </c>
      <c r="F296" s="419" t="inlineStr">
        <is>
          <t>P1</t>
        </is>
      </c>
      <c r="G296" s="419" t="n"/>
      <c r="H296" s="419" t="inlineStr">
        <is>
          <t>Not Started</t>
        </is>
      </c>
      <c r="I296" s="420" t="n">
        <v>0</v>
      </c>
      <c r="J296" s="419" t="n"/>
      <c r="K296" s="419" t="n"/>
      <c r="L296" s="419" t="n"/>
      <c r="M296" s="419" t="n"/>
    </row>
    <row r="297">
      <c r="A297" s="419" t="inlineStr">
        <is>
          <t>R-059</t>
        </is>
      </c>
      <c r="B297" s="419" t="inlineStr">
        <is>
          <t>MID</t>
        </is>
      </c>
      <c r="C297" s="419" t="inlineStr">
        <is>
          <t>Quality</t>
        </is>
      </c>
      <c r="D297" s="419" t="inlineStr">
        <is>
          <t>Visual regression</t>
        </is>
      </c>
      <c r="E297" s="419" t="inlineStr">
        <is>
          <t>Screenshot comparison with approved baselines.</t>
        </is>
      </c>
      <c r="F297" s="419" t="inlineStr">
        <is>
          <t>P1</t>
        </is>
      </c>
      <c r="G297" s="419" t="n"/>
      <c r="H297" s="419" t="inlineStr">
        <is>
          <t>Not Started</t>
        </is>
      </c>
      <c r="I297" s="420" t="n">
        <v>0</v>
      </c>
      <c r="J297" s="419" t="n"/>
      <c r="K297" s="419" t="n"/>
      <c r="L297" s="419" t="n"/>
      <c r="M297" s="419" t="n"/>
    </row>
    <row r="298">
      <c r="A298" s="419" t="inlineStr">
        <is>
          <t>R-060</t>
        </is>
      </c>
      <c r="B298" s="419" t="inlineStr">
        <is>
          <t>MID</t>
        </is>
      </c>
      <c r="C298" s="419" t="inlineStr">
        <is>
          <t>Quality</t>
        </is>
      </c>
      <c r="D298" s="419" t="inlineStr">
        <is>
          <t>Performance budgets</t>
        </is>
      </c>
      <c r="E298" s="419" t="inlineStr">
        <is>
          <t>Build size, API latency, query, memory and frontend performance gates.</t>
        </is>
      </c>
      <c r="F298" s="419" t="inlineStr">
        <is>
          <t>P1</t>
        </is>
      </c>
      <c r="G298" s="419" t="n"/>
      <c r="H298" s="419" t="inlineStr">
        <is>
          <t>Not Started</t>
        </is>
      </c>
      <c r="I298" s="420" t="n">
        <v>0</v>
      </c>
      <c r="J298" s="419" t="n"/>
      <c r="K298" s="419" t="n"/>
      <c r="L298" s="419" t="n"/>
      <c r="M298" s="419" t="n"/>
    </row>
    <row r="299">
      <c r="A299" s="419" t="inlineStr">
        <is>
          <t>R-061</t>
        </is>
      </c>
      <c r="B299" s="419" t="inlineStr">
        <is>
          <t>MID</t>
        </is>
      </c>
      <c r="C299" s="419" t="inlineStr">
        <is>
          <t>Deployment</t>
        </is>
      </c>
      <c r="D299" s="419" t="inlineStr">
        <is>
          <t>Environment parity</t>
        </is>
      </c>
      <c r="E299" s="419" t="inlineStr">
        <is>
          <t>Preview/staging/production share same container and config contract.</t>
        </is>
      </c>
      <c r="F299" s="419" t="inlineStr">
        <is>
          <t>P1</t>
        </is>
      </c>
      <c r="G299" s="419" t="n"/>
      <c r="H299" s="419" t="inlineStr">
        <is>
          <t>Not Started</t>
        </is>
      </c>
      <c r="I299" s="420" t="n">
        <v>0</v>
      </c>
      <c r="J299" s="419" t="n"/>
      <c r="K299" s="419" t="n"/>
      <c r="L299" s="419" t="n"/>
      <c r="M299" s="419" t="n"/>
    </row>
    <row r="300">
      <c r="A300" s="419" t="inlineStr">
        <is>
          <t>R-062</t>
        </is>
      </c>
      <c r="B300" s="419" t="inlineStr">
        <is>
          <t>MID</t>
        </is>
      </c>
      <c r="C300" s="419" t="inlineStr">
        <is>
          <t>Deployment</t>
        </is>
      </c>
      <c r="D300" s="419" t="inlineStr">
        <is>
          <t>App Store / TestFlight automation</t>
        </is>
      </c>
      <c r="E300" s="419" t="inlineStr">
        <is>
          <t>Prepare/upload builds with explicit user approval.</t>
        </is>
      </c>
      <c r="F300" s="419" t="inlineStr">
        <is>
          <t>P1</t>
        </is>
      </c>
      <c r="G300" s="419" t="n"/>
      <c r="H300" s="419" t="inlineStr">
        <is>
          <t>Not Started</t>
        </is>
      </c>
      <c r="I300" s="420" t="n">
        <v>0</v>
      </c>
      <c r="J300" s="419" t="n"/>
      <c r="K300" s="419" t="n"/>
      <c r="L300" s="419" t="n"/>
      <c r="M300" s="419" t="n"/>
    </row>
    <row r="301">
      <c r="A301" s="419" t="inlineStr">
        <is>
          <t>R-063</t>
        </is>
      </c>
      <c r="B301" s="419" t="inlineStr">
        <is>
          <t>MID</t>
        </is>
      </c>
      <c r="C301" s="419" t="inlineStr">
        <is>
          <t>Deployment</t>
        </is>
      </c>
      <c r="D301" s="419" t="inlineStr">
        <is>
          <t>Play Store automation</t>
        </is>
      </c>
      <c r="E301" s="419" t="inlineStr">
        <is>
          <t>Prepare/upload AAB with explicit user approval.</t>
        </is>
      </c>
      <c r="F301" s="419" t="inlineStr">
        <is>
          <t>P1</t>
        </is>
      </c>
      <c r="G301" s="419" t="n"/>
      <c r="H301" s="419" t="inlineStr">
        <is>
          <t>Not Started</t>
        </is>
      </c>
      <c r="I301" s="420" t="n">
        <v>0</v>
      </c>
      <c r="J301" s="419" t="n"/>
      <c r="K301" s="419" t="n"/>
      <c r="L301" s="419" t="n"/>
      <c r="M301" s="419" t="n"/>
    </row>
    <row r="302">
      <c r="A302" s="419" t="inlineStr">
        <is>
          <t>R-064</t>
        </is>
      </c>
      <c r="B302" s="419" t="inlineStr">
        <is>
          <t>MID</t>
        </is>
      </c>
      <c r="C302" s="419" t="inlineStr">
        <is>
          <t>Collaboration</t>
        </is>
      </c>
      <c r="D302" s="419" t="inlineStr">
        <is>
          <t>RBAC + approvals</t>
        </is>
      </c>
      <c r="E302" s="419" t="inlineStr">
        <is>
          <t>Owners can require code/security/deploy approvals.</t>
        </is>
      </c>
      <c r="F302" s="419" t="inlineStr">
        <is>
          <t>P1</t>
        </is>
      </c>
      <c r="G302" s="419" t="n"/>
      <c r="H302" s="419" t="inlineStr">
        <is>
          <t>Not Started</t>
        </is>
      </c>
      <c r="I302" s="420" t="n">
        <v>0</v>
      </c>
      <c r="J302" s="419" t="n"/>
      <c r="K302" s="419" t="n"/>
      <c r="L302" s="419" t="n"/>
      <c r="M302" s="419" t="n"/>
    </row>
    <row r="303">
      <c r="A303" s="419" t="inlineStr">
        <is>
          <t>R-065</t>
        </is>
      </c>
      <c r="B303" s="419" t="inlineStr">
        <is>
          <t>MID</t>
        </is>
      </c>
      <c r="C303" s="419" t="inlineStr">
        <is>
          <t>Collaboration</t>
        </is>
      </c>
      <c r="D303" s="419" t="inlineStr">
        <is>
          <t>Comments/review workflow</t>
        </is>
      </c>
      <c r="E303" s="419" t="inlineStr">
        <is>
          <t>Human review on AI plan and diff.</t>
        </is>
      </c>
      <c r="F303" s="419" t="inlineStr">
        <is>
          <t>P1</t>
        </is>
      </c>
      <c r="G303" s="419" t="n"/>
      <c r="H303" s="419" t="inlineStr">
        <is>
          <t>Not Started</t>
        </is>
      </c>
      <c r="I303" s="420" t="n">
        <v>0</v>
      </c>
      <c r="J303" s="419" t="n"/>
      <c r="K303" s="419" t="n"/>
      <c r="L303" s="419" t="n"/>
      <c r="M303" s="419" t="n"/>
    </row>
    <row r="304">
      <c r="A304" s="419" t="inlineStr">
        <is>
          <t>R-066</t>
        </is>
      </c>
      <c r="B304" s="419" t="inlineStr">
        <is>
          <t>MID</t>
        </is>
      </c>
      <c r="C304" s="419" t="inlineStr">
        <is>
          <t>Billing</t>
        </is>
      </c>
      <c r="D304" s="419" t="inlineStr">
        <is>
          <t>BYOK</t>
        </is>
      </c>
      <c r="E304" s="419" t="inlineStr">
        <is>
          <t>Customer can use approved provider API keys with clear cost ownership.</t>
        </is>
      </c>
      <c r="F304" s="419" t="inlineStr">
        <is>
          <t>P1</t>
        </is>
      </c>
      <c r="G304" s="419" t="n"/>
      <c r="H304" s="419" t="inlineStr">
        <is>
          <t>Not Started</t>
        </is>
      </c>
      <c r="I304" s="420" t="n">
        <v>0</v>
      </c>
      <c r="J304" s="419" t="n"/>
      <c r="K304" s="419" t="n"/>
      <c r="L304" s="419" t="n"/>
      <c r="M304" s="419" t="n"/>
    </row>
    <row r="305">
      <c r="A305" s="419" t="inlineStr">
        <is>
          <t>R-067</t>
        </is>
      </c>
      <c r="B305" s="419" t="inlineStr">
        <is>
          <t>MID</t>
        </is>
      </c>
      <c r="C305" s="419" t="inlineStr">
        <is>
          <t>Recovery</t>
        </is>
      </c>
      <c r="D305" s="419" t="inlineStr">
        <is>
          <t>Auto-recovery agent</t>
        </is>
      </c>
      <c r="E305" s="419" t="inlineStr">
        <is>
          <t>Diagnose failed build/test and retry within strict bounded policy.</t>
        </is>
      </c>
      <c r="F305" s="419" t="inlineStr">
        <is>
          <t>P1</t>
        </is>
      </c>
      <c r="G305" s="419" t="n"/>
      <c r="H305" s="419" t="inlineStr">
        <is>
          <t>Not Started</t>
        </is>
      </c>
      <c r="I305" s="420" t="n">
        <v>0</v>
      </c>
      <c r="J305" s="419" t="n"/>
      <c r="K305" s="419" t="n"/>
      <c r="L305" s="419" t="n"/>
      <c r="M305" s="419" t="n"/>
    </row>
    <row r="306">
      <c r="A306" s="419" t="inlineStr">
        <is>
          <t>R-068</t>
        </is>
      </c>
      <c r="B306" s="419" t="inlineStr">
        <is>
          <t>MID</t>
        </is>
      </c>
      <c r="C306" s="419" t="inlineStr">
        <is>
          <t>Analytics</t>
        </is>
      </c>
      <c r="D306" s="419" t="inlineStr">
        <is>
          <t>Project health score</t>
        </is>
      </c>
      <c r="E306" s="419" t="inlineStr">
        <is>
          <t>Derived from measurable checks, with drill-down evidence.</t>
        </is>
      </c>
      <c r="F306" s="419" t="inlineStr">
        <is>
          <t>P1</t>
        </is>
      </c>
      <c r="G306" s="419" t="n"/>
      <c r="H306" s="419" t="inlineStr">
        <is>
          <t>Not Started</t>
        </is>
      </c>
      <c r="I306" s="420" t="n">
        <v>0</v>
      </c>
      <c r="J306" s="419" t="n"/>
      <c r="K306" s="419" t="n"/>
      <c r="L306" s="419" t="n"/>
      <c r="M306" s="419" t="n"/>
    </row>
    <row r="307">
      <c r="A307" s="419" t="inlineStr">
        <is>
          <t>R-069</t>
        </is>
      </c>
      <c r="B307" s="419" t="inlineStr">
        <is>
          <t>MID</t>
        </is>
      </c>
      <c r="C307" s="419" t="inlineStr">
        <is>
          <t>Security</t>
        </is>
      </c>
      <c r="D307" s="419" t="inlineStr">
        <is>
          <t>DAST</t>
        </is>
      </c>
      <c r="E307" s="419" t="inlineStr">
        <is>
          <t>Run dynamic scans against staging/preview.</t>
        </is>
      </c>
      <c r="F307" s="419" t="inlineStr">
        <is>
          <t>P1</t>
        </is>
      </c>
      <c r="G307" s="419" t="n"/>
      <c r="H307" s="419" t="inlineStr">
        <is>
          <t>Not Started</t>
        </is>
      </c>
      <c r="I307" s="420" t="n">
        <v>0</v>
      </c>
      <c r="J307" s="419" t="n"/>
      <c r="K307" s="419" t="n"/>
      <c r="L307" s="419" t="n"/>
      <c r="M307" s="419" t="n"/>
    </row>
    <row r="308">
      <c r="A308" s="419" t="inlineStr">
        <is>
          <t>R-070</t>
        </is>
      </c>
      <c r="B308" s="419" t="inlineStr">
        <is>
          <t>MID</t>
        </is>
      </c>
      <c r="C308" s="419" t="inlineStr">
        <is>
          <t>Security</t>
        </is>
      </c>
      <c r="D308" s="419" t="inlineStr">
        <is>
          <t>SBOM + license policy</t>
        </is>
      </c>
      <c r="E308" s="419" t="inlineStr">
        <is>
          <t>Software bill of materials and restricted-license checks.</t>
        </is>
      </c>
      <c r="F308" s="419" t="inlineStr">
        <is>
          <t>P1</t>
        </is>
      </c>
      <c r="G308" s="419" t="n"/>
      <c r="H308" s="419" t="inlineStr">
        <is>
          <t>Not Started</t>
        </is>
      </c>
      <c r="I308" s="420" t="n">
        <v>0</v>
      </c>
      <c r="J308" s="419" t="n"/>
      <c r="K308" s="419" t="n"/>
      <c r="L308" s="419" t="n"/>
      <c r="M308" s="419" t="n"/>
    </row>
    <row r="309">
      <c r="A309" s="419" t="inlineStr">
        <is>
          <t>R-071</t>
        </is>
      </c>
      <c r="B309" s="419" t="inlineStr">
        <is>
          <t>MID</t>
        </is>
      </c>
      <c r="C309" s="419" t="inlineStr">
        <is>
          <t>Security</t>
        </is>
      </c>
      <c r="D309" s="419" t="inlineStr">
        <is>
          <t>Egress policy</t>
        </is>
      </c>
      <c r="E309" s="419" t="inlineStr">
        <is>
          <t>Sandbox network allowlist/denylist and per-integration scopes.</t>
        </is>
      </c>
      <c r="F309" s="419" t="inlineStr">
        <is>
          <t>P1</t>
        </is>
      </c>
      <c r="G309" s="419" t="n"/>
      <c r="H309" s="419" t="inlineStr">
        <is>
          <t>Not Started</t>
        </is>
      </c>
      <c r="I309" s="420" t="n">
        <v>0</v>
      </c>
      <c r="J309" s="419" t="n"/>
      <c r="K309" s="419" t="n"/>
      <c r="L309" s="419" t="n"/>
      <c r="M309" s="419" t="n"/>
    </row>
    <row r="310">
      <c r="A310" s="419" t="inlineStr">
        <is>
          <t>R-072</t>
        </is>
      </c>
      <c r="B310" s="419" t="inlineStr">
        <is>
          <t>MID</t>
        </is>
      </c>
      <c r="C310" s="419" t="inlineStr">
        <is>
          <t>Reliability</t>
        </is>
      </c>
      <c r="D310" s="419" t="inlineStr">
        <is>
          <t>Build artifact caching</t>
        </is>
      </c>
      <c r="E310" s="419" t="inlineStr">
        <is>
          <t>Cache dependencies and unchanged build outputs.</t>
        </is>
      </c>
      <c r="F310" s="419" t="inlineStr">
        <is>
          <t>P1</t>
        </is>
      </c>
      <c r="G310" s="419" t="n"/>
      <c r="H310" s="419" t="inlineStr">
        <is>
          <t>Not Started</t>
        </is>
      </c>
      <c r="I310" s="420" t="n">
        <v>0</v>
      </c>
      <c r="J310" s="419" t="n"/>
      <c r="K310" s="419" t="n"/>
      <c r="L310" s="419" t="n"/>
      <c r="M310" s="419" t="n"/>
    </row>
    <row r="311">
      <c r="A311" s="419" t="inlineStr">
        <is>
          <t>R-073</t>
        </is>
      </c>
      <c r="B311" s="419" t="inlineStr">
        <is>
          <t>MID</t>
        </is>
      </c>
      <c r="C311" s="419" t="inlineStr">
        <is>
          <t>Reliability</t>
        </is>
      </c>
      <c r="D311" s="419" t="inlineStr">
        <is>
          <t>Incremental test selection</t>
        </is>
      </c>
      <c r="E311" s="419" t="inlineStr">
        <is>
          <t>Impact graph selects relevant tests, while periodic full regression remains mandatory.</t>
        </is>
      </c>
      <c r="F311" s="419" t="inlineStr">
        <is>
          <t>P1</t>
        </is>
      </c>
      <c r="G311" s="419" t="n"/>
      <c r="H311" s="419" t="inlineStr">
        <is>
          <t>Not Started</t>
        </is>
      </c>
      <c r="I311" s="420" t="n">
        <v>0</v>
      </c>
      <c r="J311" s="419" t="n"/>
      <c r="K311" s="419" t="n"/>
      <c r="L311" s="419" t="n"/>
      <c r="M311" s="419" t="n"/>
    </row>
    <row r="312">
      <c r="A312" s="419" t="inlineStr">
        <is>
          <t>R-074</t>
        </is>
      </c>
      <c r="B312" s="419" t="inlineStr">
        <is>
          <t>MID</t>
        </is>
      </c>
      <c r="C312" s="419" t="inlineStr">
        <is>
          <t>Multi-stack</t>
        </is>
      </c>
      <c r="D312" s="419" t="inlineStr">
        <is>
          <t>Backend stack profiles</t>
        </is>
      </c>
      <c r="E312" s="419" t="inlineStr">
        <is>
          <t>Offer Go, Python/FastAPI and optional Node/NestJS project templates.</t>
        </is>
      </c>
      <c r="F312" s="419" t="inlineStr">
        <is>
          <t>P1</t>
        </is>
      </c>
      <c r="G312" s="419" t="n"/>
      <c r="H312" s="419" t="inlineStr">
        <is>
          <t>Not Started</t>
        </is>
      </c>
      <c r="I312" s="420" t="n">
        <v>0</v>
      </c>
      <c r="J312" s="419" t="n"/>
      <c r="K312" s="419" t="n"/>
      <c r="L312" s="419" t="n"/>
      <c r="M312" s="419" t="n"/>
    </row>
    <row r="313">
      <c r="A313" s="419" t="inlineStr">
        <is>
          <t>R-075</t>
        </is>
      </c>
      <c r="B313" s="419" t="inlineStr">
        <is>
          <t>MID</t>
        </is>
      </c>
      <c r="C313" s="419" t="inlineStr">
        <is>
          <t>Data</t>
        </is>
      </c>
      <c r="D313" s="419" t="inlineStr">
        <is>
          <t>Database profiles</t>
        </is>
      </c>
      <c r="E313" s="419" t="inlineStr">
        <is>
          <t>PostgreSQL default; optional MySQL, MongoDB, Supabase/Firebase connectors.</t>
        </is>
      </c>
      <c r="F313" s="419" t="inlineStr">
        <is>
          <t>P1</t>
        </is>
      </c>
      <c r="G313" s="419" t="n"/>
      <c r="H313" s="419" t="inlineStr">
        <is>
          <t>Not Started</t>
        </is>
      </c>
      <c r="I313" s="420" t="n">
        <v>0</v>
      </c>
      <c r="J313" s="419" t="n"/>
      <c r="K313" s="419" t="n"/>
      <c r="L313" s="419" t="n"/>
      <c r="M313" s="419" t="n"/>
    </row>
    <row r="314">
      <c r="A314" s="419" t="inlineStr">
        <is>
          <t>R-076</t>
        </is>
      </c>
      <c r="B314" s="419" t="inlineStr">
        <is>
          <t>MID</t>
        </is>
      </c>
      <c r="C314" s="419" t="inlineStr">
        <is>
          <t>Developer UX</t>
        </is>
      </c>
      <c r="D314" s="419" t="inlineStr">
        <is>
          <t>Existing repo import</t>
        </is>
      </c>
      <c r="E314" s="419" t="inlineStr">
        <is>
          <t>Understand and modify non-generated projects safely.</t>
        </is>
      </c>
      <c r="F314" s="419" t="inlineStr">
        <is>
          <t>P1</t>
        </is>
      </c>
      <c r="G314" s="419" t="n"/>
      <c r="H314" s="419" t="inlineStr">
        <is>
          <t>Not Started</t>
        </is>
      </c>
      <c r="I314" s="420" t="n">
        <v>0</v>
      </c>
      <c r="J314" s="419" t="n"/>
      <c r="K314" s="419" t="n"/>
      <c r="L314" s="419" t="n"/>
      <c r="M314" s="419" t="n"/>
    </row>
    <row r="315">
      <c r="A315" s="419" t="inlineStr">
        <is>
          <t>R-077</t>
        </is>
      </c>
      <c r="B315" s="419" t="inlineStr">
        <is>
          <t>MVP</t>
        </is>
      </c>
      <c r="C315" s="419" t="inlineStr">
        <is>
          <t>Mobile</t>
        </is>
      </c>
      <c r="D315" s="419" t="inlineStr">
        <is>
          <t>Flutter target (GA baseline)</t>
        </is>
      </c>
      <c r="E315" s="419" t="inlineStr">
        <is>
          <t>Generate one Dart codebase for Android/iOS; optional Flutter Web only when project profile fits.</t>
        </is>
      </c>
      <c r="F315" s="419" t="inlineStr">
        <is>
          <t>P0</t>
        </is>
      </c>
      <c r="G315" s="419" t="n"/>
      <c r="H315" s="419" t="inlineStr">
        <is>
          <t>Not Started</t>
        </is>
      </c>
      <c r="I315" s="420" t="n">
        <v>0</v>
      </c>
      <c r="J315" s="419" t="n"/>
      <c r="K315" s="419" t="n"/>
      <c r="L315" s="419" t="n"/>
      <c r="M315" s="419" t="n"/>
    </row>
    <row r="316">
      <c r="A316" s="419" t="inlineStr">
        <is>
          <t>R-078</t>
        </is>
      </c>
      <c r="B316" s="419" t="inlineStr">
        <is>
          <t>MVP</t>
        </is>
      </c>
      <c r="C316" s="419" t="inlineStr">
        <is>
          <t>Mobile</t>
        </is>
      </c>
      <c r="D316" s="419" t="inlineStr">
        <is>
          <t>React Native target (GA/beta by team capacity)</t>
        </is>
      </c>
      <c r="E316" s="419" t="inlineStr">
        <is>
          <t>Generate one TypeScript/React Native codebase for Android/iOS; Expo optional; share TS logic/components with web where safe.</t>
        </is>
      </c>
      <c r="F316" s="419" t="inlineStr">
        <is>
          <t>P1</t>
        </is>
      </c>
      <c r="G316" s="419" t="n"/>
      <c r="H316" s="419" t="inlineStr">
        <is>
          <t>Not Started</t>
        </is>
      </c>
      <c r="I316" s="420" t="n">
        <v>0</v>
      </c>
      <c r="J316" s="419" t="n"/>
      <c r="K316" s="419" t="n"/>
      <c r="L316" s="419" t="n"/>
      <c r="M316" s="419" t="n"/>
    </row>
    <row r="317">
      <c r="A317" s="419" t="inlineStr">
        <is>
          <t>R-079</t>
        </is>
      </c>
      <c r="B317" s="419" t="inlineStr">
        <is>
          <t>ADVANCED</t>
        </is>
      </c>
      <c r="C317" s="419" t="inlineStr">
        <is>
          <t>Models</t>
        </is>
      </c>
      <c r="D317" s="419" t="inlineStr">
        <is>
          <t>Model benchmark service</t>
        </is>
      </c>
      <c r="E317" s="419" t="inlineStr">
        <is>
          <t>Continuously score models on internal coding/repair/security tasks.</t>
        </is>
      </c>
      <c r="F317" s="419" t="inlineStr">
        <is>
          <t>P2</t>
        </is>
      </c>
      <c r="G317" s="419" t="n"/>
      <c r="H317" s="419" t="inlineStr">
        <is>
          <t>Not Started</t>
        </is>
      </c>
      <c r="I317" s="420" t="n">
        <v>0</v>
      </c>
      <c r="J317" s="419" t="n"/>
      <c r="K317" s="419" t="n"/>
      <c r="L317" s="419" t="n"/>
      <c r="M317" s="419" t="n"/>
    </row>
    <row r="318">
      <c r="A318" s="419" t="inlineStr">
        <is>
          <t>R-080</t>
        </is>
      </c>
      <c r="B318" s="419" t="inlineStr">
        <is>
          <t>ADVANCED</t>
        </is>
      </c>
      <c r="C318" s="419" t="inlineStr">
        <is>
          <t>Models</t>
        </is>
      </c>
      <c r="D318" s="419" t="inlineStr">
        <is>
          <t>Self-hosted/local models</t>
        </is>
      </c>
      <c r="E318" s="419" t="inlineStr">
        <is>
          <t>Private model endpoints for enterprise or low-cost tasks.</t>
        </is>
      </c>
      <c r="F318" s="419" t="inlineStr">
        <is>
          <t>P2</t>
        </is>
      </c>
      <c r="G318" s="419" t="n"/>
      <c r="H318" s="419" t="inlineStr">
        <is>
          <t>Not Started</t>
        </is>
      </c>
      <c r="I318" s="420" t="n">
        <v>0</v>
      </c>
      <c r="J318" s="419" t="n"/>
      <c r="K318" s="419" t="n"/>
      <c r="L318" s="419" t="n"/>
      <c r="M318" s="419" t="n"/>
    </row>
    <row r="319">
      <c r="A319" s="419" t="inlineStr">
        <is>
          <t>R-081</t>
        </is>
      </c>
      <c r="B319" s="419" t="inlineStr">
        <is>
          <t>ADVANCED</t>
        </is>
      </c>
      <c r="C319" s="419" t="inlineStr">
        <is>
          <t>Agents</t>
        </is>
      </c>
      <c r="D319" s="419" t="inlineStr">
        <is>
          <t>Specialist agent marketplace</t>
        </is>
      </c>
      <c r="E319" s="419" t="inlineStr">
        <is>
          <t>Versioned approved agents with capability and permission manifests.</t>
        </is>
      </c>
      <c r="F319" s="419" t="inlineStr">
        <is>
          <t>P2</t>
        </is>
      </c>
      <c r="G319" s="419" t="n"/>
      <c r="H319" s="419" t="inlineStr">
        <is>
          <t>Not Started</t>
        </is>
      </c>
      <c r="I319" s="420" t="n">
        <v>0</v>
      </c>
      <c r="J319" s="419" t="n"/>
      <c r="K319" s="419" t="n"/>
      <c r="L319" s="419" t="n"/>
      <c r="M319" s="419" t="n"/>
    </row>
    <row r="320">
      <c r="A320" s="419" t="inlineStr">
        <is>
          <t>R-082</t>
        </is>
      </c>
      <c r="B320" s="419" t="inlineStr">
        <is>
          <t>ADVANCED</t>
        </is>
      </c>
      <c r="C320" s="419" t="inlineStr">
        <is>
          <t>Testing</t>
        </is>
      </c>
      <c r="D320" s="419" t="inlineStr">
        <is>
          <t>Physical device cloud</t>
        </is>
      </c>
      <c r="E320" s="419" t="inlineStr">
        <is>
          <t>Run selected flows on real iPhones/Android devices.</t>
        </is>
      </c>
      <c r="F320" s="419" t="inlineStr">
        <is>
          <t>P2</t>
        </is>
      </c>
      <c r="G320" s="419" t="n"/>
      <c r="H320" s="419" t="inlineStr">
        <is>
          <t>Not Started</t>
        </is>
      </c>
      <c r="I320" s="420" t="n">
        <v>0</v>
      </c>
      <c r="J320" s="419" t="n"/>
      <c r="K320" s="419" t="n"/>
      <c r="L320" s="419" t="n"/>
      <c r="M320" s="419" t="n"/>
    </row>
    <row r="321">
      <c r="A321" s="419" t="inlineStr">
        <is>
          <t>R-083</t>
        </is>
      </c>
      <c r="B321" s="419" t="inlineStr">
        <is>
          <t>ADVANCED</t>
        </is>
      </c>
      <c r="C321" s="419" t="inlineStr">
        <is>
          <t>Infrastructure</t>
        </is>
      </c>
      <c r="D321" s="419" t="inlineStr">
        <is>
          <t>MicroVM sandbox</t>
        </is>
      </c>
      <c r="E321" s="419" t="inlineStr">
        <is>
          <t>Firecracker/Kata/gVisor isolation for higher-risk arbitrary code execution.</t>
        </is>
      </c>
      <c r="F321" s="419" t="inlineStr">
        <is>
          <t>P2</t>
        </is>
      </c>
      <c r="G321" s="419" t="n"/>
      <c r="H321" s="419" t="inlineStr">
        <is>
          <t>Not Started</t>
        </is>
      </c>
      <c r="I321" s="420" t="n">
        <v>0</v>
      </c>
      <c r="J321" s="419" t="n"/>
      <c r="K321" s="419" t="n"/>
      <c r="L321" s="419" t="n"/>
      <c r="M321" s="419" t="n"/>
    </row>
    <row r="322">
      <c r="A322" s="419" t="inlineStr">
        <is>
          <t>R-084</t>
        </is>
      </c>
      <c r="B322" s="419" t="inlineStr">
        <is>
          <t>ADVANCED</t>
        </is>
      </c>
      <c r="C322" s="419" t="inlineStr">
        <is>
          <t>Infrastructure</t>
        </is>
      </c>
      <c r="D322" s="419" t="inlineStr">
        <is>
          <t>Multi-region build/control plane</t>
        </is>
      </c>
      <c r="E322" s="419" t="inlineStr">
        <is>
          <t>Regional workload placement and disaster recovery.</t>
        </is>
      </c>
      <c r="F322" s="419" t="inlineStr">
        <is>
          <t>P2</t>
        </is>
      </c>
      <c r="G322" s="419" t="n"/>
      <c r="H322" s="419" t="inlineStr">
        <is>
          <t>Not Started</t>
        </is>
      </c>
      <c r="I322" s="420" t="n">
        <v>0</v>
      </c>
      <c r="J322" s="419" t="n"/>
      <c r="K322" s="419" t="n"/>
      <c r="L322" s="419" t="n"/>
      <c r="M322" s="419" t="n"/>
    </row>
    <row r="323">
      <c r="A323" s="419" t="inlineStr">
        <is>
          <t>R-085</t>
        </is>
      </c>
      <c r="B323" s="419" t="inlineStr">
        <is>
          <t>ADVANCED</t>
        </is>
      </c>
      <c r="C323" s="419" t="inlineStr">
        <is>
          <t>Enterprise</t>
        </is>
      </c>
      <c r="D323" s="419" t="inlineStr">
        <is>
          <t>BYOC</t>
        </is>
      </c>
      <c r="E323" s="419" t="inlineStr">
        <is>
          <t>Deploy sandboxes/build workers into customer cloud/VPC.</t>
        </is>
      </c>
      <c r="F323" s="419" t="inlineStr">
        <is>
          <t>P2</t>
        </is>
      </c>
      <c r="G323" s="419" t="n"/>
      <c r="H323" s="419" t="inlineStr">
        <is>
          <t>Not Started</t>
        </is>
      </c>
      <c r="I323" s="420" t="n">
        <v>0</v>
      </c>
      <c r="J323" s="419" t="n"/>
      <c r="K323" s="419" t="n"/>
      <c r="L323" s="419" t="n"/>
      <c r="M323" s="419" t="n"/>
    </row>
    <row r="324">
      <c r="A324" s="419" t="inlineStr">
        <is>
          <t>R-086</t>
        </is>
      </c>
      <c r="B324" s="419" t="inlineStr">
        <is>
          <t>ADVANCED</t>
        </is>
      </c>
      <c r="C324" s="419" t="inlineStr">
        <is>
          <t>Enterprise</t>
        </is>
      </c>
      <c r="D324" s="419" t="inlineStr">
        <is>
          <t>Data residency controls</t>
        </is>
      </c>
      <c r="E324" s="419" t="inlineStr">
        <is>
          <t>Pin project data/logs/builds to approved regions.</t>
        </is>
      </c>
      <c r="F324" s="419" t="inlineStr">
        <is>
          <t>P2</t>
        </is>
      </c>
      <c r="G324" s="419" t="n"/>
      <c r="H324" s="419" t="inlineStr">
        <is>
          <t>Not Started</t>
        </is>
      </c>
      <c r="I324" s="420" t="n">
        <v>0</v>
      </c>
      <c r="J324" s="419" t="n"/>
      <c r="K324" s="419" t="n"/>
      <c r="L324" s="419" t="n"/>
      <c r="M324" s="419" t="n"/>
    </row>
    <row r="325">
      <c r="A325" s="419" t="inlineStr">
        <is>
          <t>R-087</t>
        </is>
      </c>
      <c r="B325" s="419" t="inlineStr">
        <is>
          <t>ADVANCED</t>
        </is>
      </c>
      <c r="C325" s="419" t="inlineStr">
        <is>
          <t>Enterprise</t>
        </is>
      </c>
      <c r="D325" s="419" t="inlineStr">
        <is>
          <t>Policy-as-code</t>
        </is>
      </c>
      <c r="E325" s="419" t="inlineStr">
        <is>
          <t>Organization rules for models, packages, deployment, approvals and secrets.</t>
        </is>
      </c>
      <c r="F325" s="419" t="inlineStr">
        <is>
          <t>P2</t>
        </is>
      </c>
      <c r="G325" s="419" t="n"/>
      <c r="H325" s="419" t="inlineStr">
        <is>
          <t>Not Started</t>
        </is>
      </c>
      <c r="I325" s="420" t="n">
        <v>0</v>
      </c>
      <c r="J325" s="419" t="n"/>
      <c r="K325" s="419" t="n"/>
      <c r="L325" s="419" t="n"/>
      <c r="M325" s="419" t="n"/>
    </row>
    <row r="326">
      <c r="A326" s="419" t="inlineStr">
        <is>
          <t>R-088</t>
        </is>
      </c>
      <c r="B326" s="419" t="inlineStr">
        <is>
          <t>ADVANCED</t>
        </is>
      </c>
      <c r="C326" s="419" t="inlineStr">
        <is>
          <t>Architecture</t>
        </is>
      </c>
      <c r="D326" s="419" t="inlineStr">
        <is>
          <t>Cross-platform consistency checker</t>
        </is>
      </c>
      <c r="E326" s="419" t="inlineStr">
        <is>
          <t>Ensure feature behavior/API semantics stay aligned across Android/iOS/web.</t>
        </is>
      </c>
      <c r="F326" s="419" t="inlineStr">
        <is>
          <t>P2</t>
        </is>
      </c>
      <c r="G326" s="419" t="n"/>
      <c r="H326" s="419" t="inlineStr">
        <is>
          <t>Not Started</t>
        </is>
      </c>
      <c r="I326" s="420" t="n">
        <v>0</v>
      </c>
      <c r="J326" s="419" t="n"/>
      <c r="K326" s="419" t="n"/>
      <c r="L326" s="419" t="n"/>
      <c r="M326" s="419" t="n"/>
    </row>
    <row r="327">
      <c r="A327" s="419" t="inlineStr">
        <is>
          <t>R-089</t>
        </is>
      </c>
      <c r="B327" s="419" t="inlineStr">
        <is>
          <t>ADVANCED</t>
        </is>
      </c>
      <c r="C327" s="419" t="inlineStr">
        <is>
          <t>Architecture</t>
        </is>
      </c>
      <c r="D327" s="419" t="inlineStr">
        <is>
          <t>Automated refactoring planner</t>
        </is>
      </c>
      <c r="E327" s="419" t="inlineStr">
        <is>
          <t>Detect debt and create safe incremental refactor plans.</t>
        </is>
      </c>
      <c r="F327" s="419" t="inlineStr">
        <is>
          <t>P2</t>
        </is>
      </c>
      <c r="G327" s="419" t="n"/>
      <c r="H327" s="419" t="inlineStr">
        <is>
          <t>Not Started</t>
        </is>
      </c>
      <c r="I327" s="420" t="n">
        <v>0</v>
      </c>
      <c r="J327" s="419" t="n"/>
      <c r="K327" s="419" t="n"/>
      <c r="L327" s="419" t="n"/>
      <c r="M327" s="419" t="n"/>
    </row>
    <row r="328">
      <c r="A328" s="419" t="inlineStr">
        <is>
          <t>R-090</t>
        </is>
      </c>
      <c r="B328" s="419" t="inlineStr">
        <is>
          <t>ADVANCED</t>
        </is>
      </c>
      <c r="C328" s="419" t="inlineStr">
        <is>
          <t>Quality</t>
        </is>
      </c>
      <c r="D328" s="419" t="inlineStr">
        <is>
          <t>Mutation/fuzz testing</t>
        </is>
      </c>
      <c r="E328" s="419" t="inlineStr">
        <is>
          <t>Higher assurance for critical services and parsers.</t>
        </is>
      </c>
      <c r="F328" s="419" t="inlineStr">
        <is>
          <t>P2</t>
        </is>
      </c>
      <c r="G328" s="419" t="n"/>
      <c r="H328" s="419" t="inlineStr">
        <is>
          <t>Not Started</t>
        </is>
      </c>
      <c r="I328" s="420" t="n">
        <v>0</v>
      </c>
      <c r="J328" s="419" t="n"/>
      <c r="K328" s="419" t="n"/>
      <c r="L328" s="419" t="n"/>
      <c r="M328" s="419" t="n"/>
    </row>
    <row r="329">
      <c r="A329" s="419" t="inlineStr">
        <is>
          <t>R-091</t>
        </is>
      </c>
      <c r="B329" s="419" t="inlineStr">
        <is>
          <t>ADVANCED</t>
        </is>
      </c>
      <c r="C329" s="419" t="inlineStr">
        <is>
          <t>Cost</t>
        </is>
      </c>
      <c r="D329" s="419" t="inlineStr">
        <is>
          <t>Predictive capacity scheduler</t>
        </is>
      </c>
      <c r="E329" s="419" t="inlineStr">
        <is>
          <t>Prewarm Mac/Linux workers using demand forecasts.</t>
        </is>
      </c>
      <c r="F329" s="419" t="inlineStr">
        <is>
          <t>P2</t>
        </is>
      </c>
      <c r="G329" s="419" t="n"/>
      <c r="H329" s="419" t="inlineStr">
        <is>
          <t>Not Started</t>
        </is>
      </c>
      <c r="I329" s="420" t="n">
        <v>0</v>
      </c>
      <c r="J329" s="419" t="n"/>
      <c r="K329" s="419" t="n"/>
      <c r="L329" s="419" t="n"/>
      <c r="M329" s="419" t="n"/>
    </row>
    <row r="330">
      <c r="A330" s="419" t="inlineStr">
        <is>
          <t>R-092</t>
        </is>
      </c>
      <c r="B330" s="419" t="inlineStr">
        <is>
          <t>ADVANCED</t>
        </is>
      </c>
      <c r="C330" s="419" t="inlineStr">
        <is>
          <t>Cost</t>
        </is>
      </c>
      <c r="D330" s="419" t="inlineStr">
        <is>
          <t>Spot/preemptible optimization</t>
        </is>
      </c>
      <c r="E330" s="419" t="inlineStr">
        <is>
          <t>Use interruptible compute for safe non-release workloads.</t>
        </is>
      </c>
      <c r="F330" s="419" t="inlineStr">
        <is>
          <t>P2</t>
        </is>
      </c>
      <c r="G330" s="419" t="n"/>
      <c r="H330" s="419" t="inlineStr">
        <is>
          <t>Not Started</t>
        </is>
      </c>
      <c r="I330" s="420" t="n">
        <v>0</v>
      </c>
      <c r="J330" s="419" t="n"/>
      <c r="K330" s="419" t="n"/>
      <c r="L330" s="419" t="n"/>
      <c r="M330" s="419" t="n"/>
    </row>
    <row r="331">
      <c r="A331" s="419" t="inlineStr">
        <is>
          <t>R-093</t>
        </is>
      </c>
      <c r="B331" s="419" t="inlineStr">
        <is>
          <t>ADVANCED</t>
        </is>
      </c>
      <c r="C331" s="419" t="inlineStr">
        <is>
          <t>Analytics</t>
        </is>
      </c>
      <c r="D331" s="419" t="inlineStr">
        <is>
          <t>Quality trend analytics</t>
        </is>
      </c>
      <c r="E331" s="419" t="inlineStr">
        <is>
          <t>Track regression, debt and agent success by model/version/framework.</t>
        </is>
      </c>
      <c r="F331" s="419" t="inlineStr">
        <is>
          <t>P2</t>
        </is>
      </c>
      <c r="G331" s="419" t="n"/>
      <c r="H331" s="419" t="inlineStr">
        <is>
          <t>Not Started</t>
        </is>
      </c>
      <c r="I331" s="420" t="n">
        <v>0</v>
      </c>
      <c r="J331" s="419" t="n"/>
      <c r="K331" s="419" t="n"/>
      <c r="L331" s="419" t="n"/>
      <c r="M331" s="419" t="n"/>
    </row>
    <row r="332">
      <c r="A332" s="419" t="inlineStr">
        <is>
          <t>R-094</t>
        </is>
      </c>
      <c r="B332" s="419" t="inlineStr">
        <is>
          <t>PRODUCTION</t>
        </is>
      </c>
      <c r="C332" s="419" t="inlineStr">
        <is>
          <t>Reliability</t>
        </is>
      </c>
      <c r="D332" s="419" t="inlineStr">
        <is>
          <t>SLO/SLA framework</t>
        </is>
      </c>
      <c r="E332" s="419" t="inlineStr">
        <is>
          <t>Define availability, task success, build latency and recovery objectives.</t>
        </is>
      </c>
      <c r="F332" s="419" t="inlineStr">
        <is>
          <t>P0</t>
        </is>
      </c>
      <c r="G332" s="419" t="n"/>
      <c r="H332" s="419" t="inlineStr">
        <is>
          <t>Not Started</t>
        </is>
      </c>
      <c r="I332" s="420" t="n">
        <v>0</v>
      </c>
      <c r="J332" s="419" t="n"/>
      <c r="K332" s="419" t="n"/>
      <c r="L332" s="419" t="n"/>
      <c r="M332" s="419" t="n"/>
    </row>
    <row r="333">
      <c r="A333" s="419" t="inlineStr">
        <is>
          <t>R-095</t>
        </is>
      </c>
      <c r="B333" s="419" t="inlineStr">
        <is>
          <t>PRODUCTION</t>
        </is>
      </c>
      <c r="C333" s="419" t="inlineStr">
        <is>
          <t>Reliability</t>
        </is>
      </c>
      <c r="D333" s="419" t="inlineStr">
        <is>
          <t>HA control plane</t>
        </is>
      </c>
      <c r="E333" s="419" t="inlineStr">
        <is>
          <t>Remove single points of failure across API, queue, DB and model gateway.</t>
        </is>
      </c>
      <c r="F333" s="419" t="inlineStr">
        <is>
          <t>P0</t>
        </is>
      </c>
      <c r="G333" s="419" t="n"/>
      <c r="H333" s="419" t="inlineStr">
        <is>
          <t>Not Started</t>
        </is>
      </c>
      <c r="I333" s="420" t="n">
        <v>0</v>
      </c>
      <c r="J333" s="419" t="n"/>
      <c r="K333" s="419" t="n"/>
      <c r="L333" s="419" t="n"/>
      <c r="M333" s="419" t="n"/>
    </row>
    <row r="334">
      <c r="A334" s="419" t="inlineStr">
        <is>
          <t>R-096</t>
        </is>
      </c>
      <c r="B334" s="419" t="inlineStr">
        <is>
          <t>PRODUCTION</t>
        </is>
      </c>
      <c r="C334" s="419" t="inlineStr">
        <is>
          <t>Reliability</t>
        </is>
      </c>
      <c r="D334" s="419" t="inlineStr">
        <is>
          <t>Backup + restore drills</t>
        </is>
      </c>
      <c r="E334" s="419" t="inlineStr">
        <is>
          <t>Automated backups plus regularly tested restoration.</t>
        </is>
      </c>
      <c r="F334" s="419" t="inlineStr">
        <is>
          <t>P0</t>
        </is>
      </c>
      <c r="G334" s="419" t="n"/>
      <c r="H334" s="419" t="inlineStr">
        <is>
          <t>Not Started</t>
        </is>
      </c>
      <c r="I334" s="420" t="n">
        <v>0</v>
      </c>
      <c r="J334" s="419" t="n"/>
      <c r="K334" s="419" t="n"/>
      <c r="L334" s="419" t="n"/>
      <c r="M334" s="419" t="n"/>
    </row>
    <row r="335">
      <c r="A335" s="419" t="inlineStr">
        <is>
          <t>R-097</t>
        </is>
      </c>
      <c r="B335" s="419" t="inlineStr">
        <is>
          <t>PRODUCTION</t>
        </is>
      </c>
      <c r="C335" s="419" t="inlineStr">
        <is>
          <t>Reliability</t>
        </is>
      </c>
      <c r="D335" s="419" t="inlineStr">
        <is>
          <t>Disaster recovery</t>
        </is>
      </c>
      <c r="E335" s="419" t="inlineStr">
        <is>
          <t>Document and exercise regional recovery procedures.</t>
        </is>
      </c>
      <c r="F335" s="419" t="inlineStr">
        <is>
          <t>P0</t>
        </is>
      </c>
      <c r="G335" s="419" t="n"/>
      <c r="H335" s="419" t="inlineStr">
        <is>
          <t>Not Started</t>
        </is>
      </c>
      <c r="I335" s="420" t="n">
        <v>0</v>
      </c>
      <c r="J335" s="419" t="n"/>
      <c r="K335" s="419" t="n"/>
      <c r="L335" s="419" t="n"/>
      <c r="M335" s="419" t="n"/>
    </row>
    <row r="336">
      <c r="A336" s="419" t="inlineStr">
        <is>
          <t>R-098</t>
        </is>
      </c>
      <c r="B336" s="419" t="inlineStr">
        <is>
          <t>PRODUCTION</t>
        </is>
      </c>
      <c r="C336" s="419" t="inlineStr">
        <is>
          <t>Security</t>
        </is>
      </c>
      <c r="D336" s="419" t="inlineStr">
        <is>
          <t>Independent penetration test</t>
        </is>
      </c>
      <c r="E336" s="419" t="inlineStr">
        <is>
          <t>External security assessment before broad enterprise launch.</t>
        </is>
      </c>
      <c r="F336" s="419" t="inlineStr">
        <is>
          <t>P0</t>
        </is>
      </c>
      <c r="G336" s="419" t="n"/>
      <c r="H336" s="419" t="inlineStr">
        <is>
          <t>Not Started</t>
        </is>
      </c>
      <c r="I336" s="420" t="n">
        <v>0</v>
      </c>
      <c r="J336" s="419" t="n"/>
      <c r="K336" s="419" t="n"/>
      <c r="L336" s="419" t="n"/>
      <c r="M336" s="419" t="n"/>
    </row>
    <row r="337">
      <c r="A337" s="419" t="inlineStr">
        <is>
          <t>R-099</t>
        </is>
      </c>
      <c r="B337" s="419" t="inlineStr">
        <is>
          <t>PRODUCTION</t>
        </is>
      </c>
      <c r="C337" s="419" t="inlineStr">
        <is>
          <t>Security</t>
        </is>
      </c>
      <c r="D337" s="419" t="inlineStr">
        <is>
          <t>SOC 2 readiness controls</t>
        </is>
      </c>
      <c r="E337" s="419" t="inlineStr">
        <is>
          <t>Audit logging, access reviews, change management, incident response and evidence.</t>
        </is>
      </c>
      <c r="F337" s="419" t="inlineStr">
        <is>
          <t>P0</t>
        </is>
      </c>
      <c r="G337" s="419" t="n"/>
      <c r="H337" s="419" t="inlineStr">
        <is>
          <t>Not Started</t>
        </is>
      </c>
      <c r="I337" s="420" t="n">
        <v>0</v>
      </c>
      <c r="J337" s="419" t="n"/>
      <c r="K337" s="419" t="n"/>
      <c r="L337" s="419" t="n"/>
      <c r="M337" s="419" t="n"/>
    </row>
    <row r="338">
      <c r="A338" s="419" t="inlineStr">
        <is>
          <t>R-100</t>
        </is>
      </c>
      <c r="B338" s="419" t="inlineStr">
        <is>
          <t>PRODUCTION</t>
        </is>
      </c>
      <c r="C338" s="419" t="inlineStr">
        <is>
          <t>Security</t>
        </is>
      </c>
      <c r="D338" s="419" t="inlineStr">
        <is>
          <t>Tenant isolation validation</t>
        </is>
      </c>
      <c r="E338" s="419" t="inlineStr">
        <is>
          <t>Automated tests prove data/secret/build isolation between tenants.</t>
        </is>
      </c>
      <c r="F338" s="419" t="inlineStr">
        <is>
          <t>P0</t>
        </is>
      </c>
      <c r="G338" s="419" t="n"/>
      <c r="H338" s="419" t="inlineStr">
        <is>
          <t>Not Started</t>
        </is>
      </c>
      <c r="I338" s="420" t="n">
        <v>0</v>
      </c>
      <c r="J338" s="419" t="n"/>
      <c r="K338" s="419" t="n"/>
      <c r="L338" s="419" t="n"/>
      <c r="M338" s="419" t="n"/>
    </row>
    <row r="339">
      <c r="A339" s="419" t="inlineStr">
        <is>
          <t>R-101</t>
        </is>
      </c>
      <c r="B339" s="419" t="inlineStr">
        <is>
          <t>PRODUCTION</t>
        </is>
      </c>
      <c r="C339" s="419" t="inlineStr">
        <is>
          <t>Security</t>
        </is>
      </c>
      <c r="D339" s="419" t="inlineStr">
        <is>
          <t>Signing-key hardening</t>
        </is>
      </c>
      <c r="E339" s="419" t="inlineStr">
        <is>
          <t>KMS/HSM-backed signing workflows and strict operator access.</t>
        </is>
      </c>
      <c r="F339" s="419" t="inlineStr">
        <is>
          <t>P0</t>
        </is>
      </c>
      <c r="G339" s="419" t="n"/>
      <c r="H339" s="419" t="inlineStr">
        <is>
          <t>Not Started</t>
        </is>
      </c>
      <c r="I339" s="420" t="n">
        <v>0</v>
      </c>
      <c r="J339" s="419" t="n"/>
      <c r="K339" s="419" t="n"/>
      <c r="L339" s="419" t="n"/>
      <c r="M339" s="419" t="n"/>
    </row>
    <row r="340">
      <c r="A340" s="419" t="inlineStr">
        <is>
          <t>R-102</t>
        </is>
      </c>
      <c r="B340" s="419" t="inlineStr">
        <is>
          <t>PRODUCTION</t>
        </is>
      </c>
      <c r="C340" s="419" t="inlineStr">
        <is>
          <t>Operations</t>
        </is>
      </c>
      <c r="D340" s="419" t="inlineStr">
        <is>
          <t>24x7 incident process</t>
        </is>
      </c>
      <c r="E340" s="419" t="inlineStr">
        <is>
          <t>On-call, severity levels, runbooks, status page and postmortems.</t>
        </is>
      </c>
      <c r="F340" s="419" t="inlineStr">
        <is>
          <t>P0</t>
        </is>
      </c>
      <c r="G340" s="419" t="n"/>
      <c r="H340" s="419" t="inlineStr">
        <is>
          <t>Not Started</t>
        </is>
      </c>
      <c r="I340" s="420" t="n">
        <v>0</v>
      </c>
      <c r="J340" s="419" t="n"/>
      <c r="K340" s="419" t="n"/>
      <c r="L340" s="419" t="n"/>
      <c r="M340" s="419" t="n"/>
    </row>
    <row r="341">
      <c r="A341" s="419" t="inlineStr">
        <is>
          <t>R-103</t>
        </is>
      </c>
      <c r="B341" s="419" t="inlineStr">
        <is>
          <t>PRODUCTION</t>
        </is>
      </c>
      <c r="C341" s="419" t="inlineStr">
        <is>
          <t>Operations</t>
        </is>
      </c>
      <c r="D341" s="419" t="inlineStr">
        <is>
          <t>Capacity/load tests</t>
        </is>
      </c>
      <c r="E341" s="419" t="inlineStr">
        <is>
          <t>Prove planned concurrency for AI, sandboxes, builds and previews.</t>
        </is>
      </c>
      <c r="F341" s="419" t="inlineStr">
        <is>
          <t>P0</t>
        </is>
      </c>
      <c r="G341" s="419" t="n"/>
      <c r="H341" s="419" t="inlineStr">
        <is>
          <t>Not Started</t>
        </is>
      </c>
      <c r="I341" s="420" t="n">
        <v>0</v>
      </c>
      <c r="J341" s="419" t="n"/>
      <c r="K341" s="419" t="n"/>
      <c r="L341" s="419" t="n"/>
      <c r="M341" s="419" t="n"/>
    </row>
    <row r="342">
      <c r="A342" s="419" t="inlineStr">
        <is>
          <t>R-104</t>
        </is>
      </c>
      <c r="B342" s="419" t="inlineStr">
        <is>
          <t>PRODUCTION</t>
        </is>
      </c>
      <c r="C342" s="419" t="inlineStr">
        <is>
          <t>Operations</t>
        </is>
      </c>
      <c r="D342" s="419" t="inlineStr">
        <is>
          <t>Cost guardrails</t>
        </is>
      </c>
      <c r="E342" s="419" t="inlineStr">
        <is>
          <t>Project/account spending caps, anomaly detection and kill switches.</t>
        </is>
      </c>
      <c r="F342" s="419" t="inlineStr">
        <is>
          <t>P0</t>
        </is>
      </c>
      <c r="G342" s="419" t="n"/>
      <c r="H342" s="419" t="inlineStr">
        <is>
          <t>Not Started</t>
        </is>
      </c>
      <c r="I342" s="420" t="n">
        <v>0</v>
      </c>
      <c r="J342" s="419" t="n"/>
      <c r="K342" s="419" t="n"/>
      <c r="L342" s="419" t="n"/>
      <c r="M342" s="419" t="n"/>
    </row>
    <row r="343">
      <c r="A343" s="423" t="inlineStr">
        <is>
          <t>R-105</t>
        </is>
      </c>
      <c r="B343" s="423" t="inlineStr">
        <is>
          <t>PRODUCTION</t>
        </is>
      </c>
      <c r="C343" s="423" t="inlineStr">
        <is>
          <t>Quality</t>
        </is>
      </c>
      <c r="D343" s="423" t="inlineStr">
        <is>
          <t>Release qualification suite</t>
        </is>
      </c>
      <c r="E343" s="423" t="inlineStr">
        <is>
          <t>Full regression across supported stack versions before platform releases.</t>
        </is>
      </c>
      <c r="F343" s="423" t="inlineStr">
        <is>
          <t>P0</t>
        </is>
      </c>
      <c r="G343" s="423" t="n"/>
      <c r="H343" s="423" t="inlineStr">
        <is>
          <t>Not Started</t>
        </is>
      </c>
      <c r="I343" s="424" t="n">
        <v>0</v>
      </c>
      <c r="J343" s="423" t="n"/>
      <c r="K343" s="423" t="n"/>
      <c r="L343" s="423" t="n"/>
      <c r="M343" s="423" t="n"/>
    </row>
    <row r="344">
      <c r="A344" s="422" t="inlineStr">
        <is>
          <t>R-106</t>
        </is>
      </c>
      <c r="B344" s="422" t="inlineStr">
        <is>
          <t>PRODUCTION</t>
        </is>
      </c>
      <c r="C344" s="422" t="inlineStr">
        <is>
          <t>Quality</t>
        </is>
      </c>
      <c r="D344" s="422" t="inlineStr">
        <is>
          <t>Canary platform releases</t>
        </is>
      </c>
      <c r="E344" s="422" t="inlineStr">
        <is>
          <t>Gradual rollout with automatic rollback on health regression.</t>
        </is>
      </c>
      <c r="F344" s="422" t="inlineStr">
        <is>
          <t>P0</t>
        </is>
      </c>
      <c r="G344" s="422" t="n"/>
      <c r="H344" s="422" t="inlineStr">
        <is>
          <t>Not Started</t>
        </is>
      </c>
      <c r="I344" s="425" t="n">
        <v>0</v>
      </c>
      <c r="J344" s="422" t="n"/>
      <c r="K344" s="422" t="n"/>
      <c r="L344" s="422" t="n"/>
      <c r="M344" s="422" t="n"/>
    </row>
    <row r="345">
      <c r="A345" s="423" t="inlineStr">
        <is>
          <t>R-107</t>
        </is>
      </c>
      <c r="B345" s="423" t="inlineStr">
        <is>
          <t>PRODUCTION</t>
        </is>
      </c>
      <c r="C345" s="423" t="inlineStr">
        <is>
          <t>Support</t>
        </is>
      </c>
      <c r="D345" s="423" t="inlineStr">
        <is>
          <t>Support tooling</t>
        </is>
      </c>
      <c r="E345" s="423" t="inlineStr">
        <is>
          <t>Project-safe diagnostic bundles with secrets redacted.</t>
        </is>
      </c>
      <c r="F345" s="423" t="inlineStr">
        <is>
          <t>P0</t>
        </is>
      </c>
      <c r="G345" s="423" t="n"/>
      <c r="H345" s="423" t="inlineStr">
        <is>
          <t>Not Started</t>
        </is>
      </c>
      <c r="I345" s="424" t="n">
        <v>0</v>
      </c>
      <c r="J345" s="423" t="n"/>
      <c r="K345" s="423" t="n"/>
      <c r="L345" s="423" t="n"/>
      <c r="M345" s="423" t="n"/>
    </row>
    <row r="346">
      <c r="A346" s="422" t="inlineStr">
        <is>
          <t>R-108</t>
        </is>
      </c>
      <c r="B346" s="422" t="inlineStr">
        <is>
          <t>PRODUCTION</t>
        </is>
      </c>
      <c r="C346" s="422" t="inlineStr">
        <is>
          <t>Legal/Privacy</t>
        </is>
      </c>
      <c r="D346" s="422" t="inlineStr">
        <is>
          <t>Privacy + retention controls</t>
        </is>
      </c>
      <c r="E346" s="422" t="inlineStr">
        <is>
          <t>Deletion, export, retention, DPA and subprocessors documented.</t>
        </is>
      </c>
      <c r="F346" s="422" t="inlineStr">
        <is>
          <t>P0</t>
        </is>
      </c>
      <c r="G346" s="422" t="n"/>
      <c r="H346" s="422" t="inlineStr">
        <is>
          <t>Not Started</t>
        </is>
      </c>
      <c r="I346" s="425" t="n">
        <v>0</v>
      </c>
      <c r="J346" s="422" t="n"/>
      <c r="K346" s="422" t="n"/>
      <c r="L346" s="422" t="n"/>
      <c r="M346" s="422" t="n"/>
    </row>
    <row r="347">
      <c r="A347" s="423" t="inlineStr">
        <is>
          <t>R-109</t>
        </is>
      </c>
      <c r="B347" s="423" t="inlineStr">
        <is>
          <t>PRODUCTION</t>
        </is>
      </c>
      <c r="C347" s="423" t="inlineStr">
        <is>
          <t>Business</t>
        </is>
      </c>
      <c r="D347" s="423" t="inlineStr">
        <is>
          <t>Plan entitlements</t>
        </is>
      </c>
      <c r="E347" s="423" t="inlineStr">
        <is>
          <t>Feature/compute/model limits enforced consistently across plans.</t>
        </is>
      </c>
      <c r="F347" s="423" t="inlineStr">
        <is>
          <t>P0</t>
        </is>
      </c>
      <c r="G347" s="423" t="n"/>
      <c r="H347" s="423" t="inlineStr">
        <is>
          <t>Not Started</t>
        </is>
      </c>
      <c r="I347" s="424" t="n">
        <v>0</v>
      </c>
      <c r="J347" s="423" t="n"/>
      <c r="K347" s="423" t="n"/>
      <c r="L347" s="423" t="n"/>
      <c r="M347" s="423" t="n"/>
    </row>
    <row r="348">
      <c r="A348" s="422" t="inlineStr">
        <is>
          <t>R-110</t>
        </is>
      </c>
      <c r="B348" s="422" t="inlineStr">
        <is>
          <t>PRODUCTION</t>
        </is>
      </c>
      <c r="C348" s="422" t="inlineStr">
        <is>
          <t>Business</t>
        </is>
      </c>
      <c r="D348" s="422" t="inlineStr">
        <is>
          <t>Unit economics dashboard</t>
        </is>
      </c>
      <c r="E348" s="422" t="inlineStr">
        <is>
          <t>Gross margin by plan, task type, model and compute class.</t>
        </is>
      </c>
      <c r="F348" s="422" t="inlineStr">
        <is>
          <t>P0</t>
        </is>
      </c>
      <c r="G348" s="422" t="n"/>
      <c r="H348" s="422" t="inlineStr">
        <is>
          <t>Not Started</t>
        </is>
      </c>
      <c r="I348" s="425" t="n">
        <v>0</v>
      </c>
      <c r="J348" s="422" t="n"/>
      <c r="K348" s="422" t="n"/>
      <c r="L348" s="422" t="n"/>
      <c r="M348" s="422" t="n"/>
    </row>
    <row r="349">
      <c r="A349" s="423" t="inlineStr">
        <is>
          <t>R-111</t>
        </is>
      </c>
      <c r="B349" s="423" t="inlineStr">
        <is>
          <t>MVP</t>
        </is>
      </c>
      <c r="C349" s="423" t="inlineStr">
        <is>
          <t>Framework Strategy</t>
        </is>
      </c>
      <c r="D349" s="423" t="inlineStr">
        <is>
          <t>Cross-platform Mobile Agent</t>
        </is>
      </c>
      <c r="E349" s="423" t="inlineStr">
        <is>
          <t>Generate/modify Flutter or React Native based on selected target adapter; activate only the chosen framework.</t>
        </is>
      </c>
      <c r="F349" s="423" t="inlineStr">
        <is>
          <t>P0</t>
        </is>
      </c>
      <c r="G349" s="423" t="n"/>
      <c r="H349" s="423" t="inlineStr">
        <is>
          <t>Not Started</t>
        </is>
      </c>
      <c r="I349" s="424" t="n">
        <v>0</v>
      </c>
      <c r="J349" s="423" t="inlineStr">
        <is>
          <t>Application IR v1</t>
        </is>
      </c>
      <c r="K349" s="423" t="n"/>
      <c r="L349" s="423" t="n"/>
      <c r="M349" s="423" t="n"/>
    </row>
    <row r="350">
      <c r="A350" s="422" t="inlineStr">
        <is>
          <t>R-112</t>
        </is>
      </c>
      <c r="B350" s="422" t="inlineStr">
        <is>
          <t>MVP</t>
        </is>
      </c>
      <c r="C350" s="422" t="inlineStr">
        <is>
          <t>Framework Strategy</t>
        </is>
      </c>
      <c r="D350" s="422" t="inlineStr">
        <is>
          <t>Framework recommendation engine</t>
        </is>
      </c>
      <c r="E350" s="422" t="inlineStr">
        <is>
          <t>Score project requirements and recommend Flutter, React Native, Native, or Web/PWA; do not decide only by industry label.</t>
        </is>
      </c>
      <c r="F350" s="422" t="inlineStr">
        <is>
          <t>P0</t>
        </is>
      </c>
      <c r="G350" s="422" t="n"/>
      <c r="H350" s="422" t="inlineStr">
        <is>
          <t>Not Started</t>
        </is>
      </c>
      <c r="I350" s="425" t="n">
        <v>0</v>
      </c>
      <c r="J350" s="422" t="inlineStr">
        <is>
          <t>Requirement specification step</t>
        </is>
      </c>
      <c r="K350" s="422" t="n"/>
      <c r="L350" s="422" t="n"/>
      <c r="M350" s="422" t="n"/>
    </row>
    <row r="351">
      <c r="A351" s="423" t="inlineStr">
        <is>
          <t>R-113</t>
        </is>
      </c>
      <c r="B351" s="423" t="inlineStr">
        <is>
          <t>MVP</t>
        </is>
      </c>
      <c r="C351" s="423" t="inlineStr">
        <is>
          <t>Framework Strategy</t>
        </is>
      </c>
      <c r="D351" s="423" t="inlineStr">
        <is>
          <t>Auto / Recommended project mode</t>
        </is>
      </c>
      <c r="E351" s="423" t="inlineStr">
        <is>
          <t>Default create-project option selects the cheapest safe architecture and explains why.</t>
        </is>
      </c>
      <c r="F351" s="423" t="inlineStr">
        <is>
          <t>P0</t>
        </is>
      </c>
      <c r="G351" s="423" t="n"/>
      <c r="H351" s="423" t="inlineStr">
        <is>
          <t>Not Started</t>
        </is>
      </c>
      <c r="I351" s="424" t="n">
        <v>0</v>
      </c>
      <c r="J351" s="423" t="inlineStr">
        <is>
          <t>Framework recommendation engine</t>
        </is>
      </c>
      <c r="K351" s="423" t="n"/>
      <c r="L351" s="423" t="n"/>
      <c r="M351" s="423" t="n"/>
    </row>
    <row r="352">
      <c r="A352" s="422" t="inlineStr">
        <is>
          <t>R-114</t>
        </is>
      </c>
      <c r="B352" s="422" t="inlineStr">
        <is>
          <t>MVP</t>
        </is>
      </c>
      <c r="C352" s="422" t="inlineStr">
        <is>
          <t>Framework Strategy</t>
        </is>
      </c>
      <c r="D352" s="422" t="inlineStr">
        <is>
          <t>Manual framework override</t>
        </is>
      </c>
      <c r="E352" s="422" t="inlineStr">
        <is>
          <t>User can choose Flutter, React Native or Native even when recommendation differs; show cost/risk warning.</t>
        </is>
      </c>
      <c r="F352" s="422" t="inlineStr">
        <is>
          <t>P1</t>
        </is>
      </c>
      <c r="G352" s="422" t="n"/>
      <c r="H352" s="422" t="inlineStr">
        <is>
          <t>Not Started</t>
        </is>
      </c>
      <c r="I352" s="425" t="n">
        <v>0</v>
      </c>
      <c r="J352" s="422" t="inlineStr">
        <is>
          <t>Framework recommendation engine</t>
        </is>
      </c>
      <c r="K352" s="422" t="n"/>
      <c r="L352" s="422" t="n"/>
      <c r="M352" s="422" t="n"/>
    </row>
    <row r="353">
      <c r="A353" s="423" t="inlineStr">
        <is>
          <t>R-115</t>
        </is>
      </c>
      <c r="B353" s="423" t="inlineStr">
        <is>
          <t>MVP</t>
        </is>
      </c>
      <c r="C353" s="423" t="inlineStr">
        <is>
          <t>Architecture</t>
        </is>
      </c>
      <c r="D353" s="423" t="inlineStr">
        <is>
          <t>Framework adapter contract</t>
        </is>
      </c>
      <c r="E353" s="423" t="inlineStr">
        <is>
          <t>Application IR feeds framework-specific generators through a stable adapter interface so new targets do not change product intent.</t>
        </is>
      </c>
      <c r="F353" s="423" t="inlineStr">
        <is>
          <t>P0</t>
        </is>
      </c>
      <c r="G353" s="423" t="n"/>
      <c r="H353" s="423" t="inlineStr">
        <is>
          <t>Not Started</t>
        </is>
      </c>
      <c r="I353" s="424" t="n">
        <v>0</v>
      </c>
      <c r="J353" s="423" t="inlineStr">
        <is>
          <t>Application IR v1</t>
        </is>
      </c>
      <c r="K353" s="423" t="n"/>
      <c r="L353" s="423" t="n"/>
      <c r="M353" s="423" t="n"/>
    </row>
    <row r="354">
      <c r="A354" s="422" t="inlineStr">
        <is>
          <t>R-116</t>
        </is>
      </c>
      <c r="B354" s="422" t="inlineStr">
        <is>
          <t>MVP</t>
        </is>
      </c>
      <c r="C354" s="422" t="inlineStr">
        <is>
          <t>Architecture</t>
        </is>
      </c>
      <c r="D354" s="422" t="inlineStr">
        <is>
          <t>Shared-code policy</t>
        </is>
      </c>
      <c r="E354" s="422" t="inlineStr">
        <is>
          <t>Share contracts, schemas, design tokens, validation and business rules first; share UI/runtime code only when framework safely supports it.</t>
        </is>
      </c>
      <c r="F354" s="422" t="inlineStr">
        <is>
          <t>P0</t>
        </is>
      </c>
      <c r="G354" s="422" t="n"/>
      <c r="H354" s="422" t="inlineStr">
        <is>
          <t>Not Started</t>
        </is>
      </c>
      <c r="I354" s="425" t="n">
        <v>0</v>
      </c>
      <c r="J354" s="422" t="inlineStr">
        <is>
          <t>Framework adapter contract</t>
        </is>
      </c>
      <c r="K354" s="422" t="n"/>
      <c r="L354" s="422" t="n"/>
      <c r="M354" s="422" t="n"/>
    </row>
    <row r="355">
      <c r="A355" s="423" t="inlineStr">
        <is>
          <t>R-117</t>
        </is>
      </c>
      <c r="B355" s="423" t="inlineStr">
        <is>
          <t>MVP</t>
        </is>
      </c>
      <c r="C355" s="423" t="inlineStr">
        <is>
          <t>Web/Admin</t>
        </is>
      </c>
      <c r="D355" s="423" t="inlineStr">
        <is>
          <t>Next.js web + admin default</t>
        </is>
      </c>
      <c r="E355" s="423" t="inlineStr">
        <is>
          <t>Use Next.js/TypeScript for customer web and admin by default for SEO, desktop UX, accessibility and maintainability.</t>
        </is>
      </c>
      <c r="F355" s="423" t="inlineStr">
        <is>
          <t>P0</t>
        </is>
      </c>
      <c r="G355" s="423" t="n"/>
      <c r="H355" s="423" t="inlineStr">
        <is>
          <t>Not Started</t>
        </is>
      </c>
      <c r="I355" s="424" t="n">
        <v>0</v>
      </c>
      <c r="J355" s="423" t="inlineStr">
        <is>
          <t>Web/Admin Agent</t>
        </is>
      </c>
      <c r="K355" s="423" t="n"/>
      <c r="L355" s="423" t="n"/>
      <c r="M355" s="423" t="n"/>
    </row>
    <row r="356">
      <c r="A356" s="422" t="inlineStr">
        <is>
          <t>R-118</t>
        </is>
      </c>
      <c r="B356" s="422" t="inlineStr">
        <is>
          <t>MID</t>
        </is>
      </c>
      <c r="C356" s="422" t="inlineStr">
        <is>
          <t>Web/Admin</t>
        </is>
      </c>
      <c r="D356" s="422" t="inlineStr">
        <is>
          <t>Flutter Web optional profile</t>
        </is>
      </c>
      <c r="E356" s="422" t="inlineStr">
        <is>
          <t>Allow Flutter Web for app-like browser experiences when SEO/desktop constraints are acceptable; never force admin panel onto Flutter.</t>
        </is>
      </c>
      <c r="F356" s="422" t="inlineStr">
        <is>
          <t>P1</t>
        </is>
      </c>
      <c r="G356" s="422" t="n"/>
      <c r="H356" s="422" t="inlineStr">
        <is>
          <t>Not Started</t>
        </is>
      </c>
      <c r="I356" s="425" t="n">
        <v>0</v>
      </c>
      <c r="J356" s="422" t="inlineStr">
        <is>
          <t>Flutter target (GA baseline)</t>
        </is>
      </c>
      <c r="K356" s="422" t="n"/>
      <c r="L356" s="422" t="n"/>
      <c r="M356" s="422" t="n"/>
    </row>
    <row r="357">
      <c r="A357" s="423" t="inlineStr">
        <is>
          <t>R-119</t>
        </is>
      </c>
      <c r="B357" s="423" t="inlineStr">
        <is>
          <t>MID</t>
        </is>
      </c>
      <c r="C357" s="423" t="inlineStr">
        <is>
          <t>Web/Admin</t>
        </is>
      </c>
      <c r="D357" s="423" t="inlineStr">
        <is>
          <t>React Native Web optional profile</t>
        </is>
      </c>
      <c r="E357" s="423" t="inlineStr">
        <is>
          <t>Allow Expo Web/React Native Web for high code-sharing projects; Next.js remains preferred for SEO-heavy public web and complex admin.</t>
        </is>
      </c>
      <c r="F357" s="423" t="inlineStr">
        <is>
          <t>P1</t>
        </is>
      </c>
      <c r="G357" s="423" t="n"/>
      <c r="H357" s="423" t="inlineStr">
        <is>
          <t>Not Started</t>
        </is>
      </c>
      <c r="I357" s="424" t="n">
        <v>0</v>
      </c>
      <c r="J357" s="423" t="inlineStr">
        <is>
          <t>React Native target (GA/beta by team capacity)</t>
        </is>
      </c>
      <c r="K357" s="423" t="n"/>
      <c r="L357" s="423" t="n"/>
      <c r="M357" s="423" t="n"/>
    </row>
    <row r="358">
      <c r="A358" s="422" t="inlineStr">
        <is>
          <t>R-120</t>
        </is>
      </c>
      <c r="B358" s="422" t="inlineStr">
        <is>
          <t>MVP</t>
        </is>
      </c>
      <c r="C358" s="422" t="inlineStr">
        <is>
          <t>Framework Strategy</t>
        </is>
      </c>
      <c r="D358" s="422" t="inlineStr">
        <is>
          <t>Native recommendation profile</t>
        </is>
      </c>
      <c r="E358" s="422" t="inlineStr">
        <is>
          <t>Recommend Kotlin + Swift when deep platform APIs, hardware, background execution, performance, platform UX or compliance needs justify extra cost.</t>
        </is>
      </c>
      <c r="F358" s="422" t="inlineStr">
        <is>
          <t>P0</t>
        </is>
      </c>
      <c r="G358" s="422" t="n"/>
      <c r="H358" s="422" t="inlineStr">
        <is>
          <t>Not Started</t>
        </is>
      </c>
      <c r="I358" s="425" t="n">
        <v>0</v>
      </c>
      <c r="J358" s="422" t="inlineStr">
        <is>
          <t>Framework recommendation engine</t>
        </is>
      </c>
      <c r="K358" s="422" t="n"/>
      <c r="L358" s="422" t="n"/>
      <c r="M358" s="422" t="n"/>
    </row>
    <row r="359">
      <c r="A359" s="423" t="inlineStr">
        <is>
          <t>R-121</t>
        </is>
      </c>
      <c r="B359" s="423" t="inlineStr">
        <is>
          <t>MVP</t>
        </is>
      </c>
      <c r="C359" s="423" t="inlineStr">
        <is>
          <t>Git/Repository</t>
        </is>
      </c>
      <c r="D359" s="423" t="inlineStr">
        <is>
          <t>Platform modular monorepo</t>
        </is>
      </c>
      <c r="E359" s="423" t="inlineStr">
        <is>
          <t>Start our own platform in one modular Git monorepo: console, Go services, Python AI services, workers, contracts, infra and docs.</t>
        </is>
      </c>
      <c r="F359" s="423" t="inlineStr">
        <is>
          <t>P0</t>
        </is>
      </c>
      <c r="G359" s="423" t="n"/>
      <c r="H359" s="423" t="inlineStr">
        <is>
          <t>Not Started</t>
        </is>
      </c>
      <c r="I359" s="424" t="n">
        <v>0</v>
      </c>
      <c r="J359" s="423" t="inlineStr">
        <is>
          <t>Project + workspace model</t>
        </is>
      </c>
      <c r="K359" s="423" t="n"/>
      <c r="L359" s="423" t="n"/>
      <c r="M359" s="423" t="n"/>
    </row>
    <row r="360">
      <c r="A360" s="422" t="inlineStr">
        <is>
          <t>R-122</t>
        </is>
      </c>
      <c r="B360" s="422" t="inlineStr">
        <is>
          <t>MVP</t>
        </is>
      </c>
      <c r="C360" s="422" t="inlineStr">
        <is>
          <t>Git/Repository</t>
        </is>
      </c>
      <c r="D360" s="422" t="inlineStr">
        <is>
          <t>One Git repo per customer project</t>
        </is>
      </c>
      <c r="E360" s="422" t="inlineStr">
        <is>
          <t>Never mix multiple customer apps in one source repo. Each generated project receives its own repository and access boundary.</t>
        </is>
      </c>
      <c r="F360" s="422" t="inlineStr">
        <is>
          <t>P0</t>
        </is>
      </c>
      <c r="G360" s="422" t="n"/>
      <c r="H360" s="422" t="inlineStr">
        <is>
          <t>Not Started</t>
        </is>
      </c>
      <c r="I360" s="425" t="n">
        <v>0</v>
      </c>
      <c r="J360" s="422" t="inlineStr">
        <is>
          <t>Project + workspace model</t>
        </is>
      </c>
      <c r="K360" s="422" t="n"/>
      <c r="L360" s="422" t="n"/>
      <c r="M360" s="422" t="n"/>
    </row>
    <row r="361">
      <c r="A361" s="423" t="inlineStr">
        <is>
          <t>R-123</t>
        </is>
      </c>
      <c r="B361" s="423" t="inlineStr">
        <is>
          <t>MVP</t>
        </is>
      </c>
      <c r="C361" s="423" t="inlineStr">
        <is>
          <t>Git/Repository</t>
        </is>
      </c>
      <c r="D361" s="423" t="inlineStr">
        <is>
          <t>Customer project monorepo default</t>
        </is>
      </c>
      <c r="E361" s="423" t="inlineStr">
        <is>
          <t>Keep mobile, web, admin, backend, database, contracts, infra and tests together so AI changes can be atomic across the product.</t>
        </is>
      </c>
      <c r="F361" s="423" t="inlineStr">
        <is>
          <t>P0</t>
        </is>
      </c>
      <c r="G361" s="423" t="n"/>
      <c r="H361" s="423" t="inlineStr">
        <is>
          <t>Not Started</t>
        </is>
      </c>
      <c r="I361" s="424" t="n">
        <v>0</v>
      </c>
      <c r="J361" s="423" t="inlineStr">
        <is>
          <t>One Git repo per customer project</t>
        </is>
      </c>
      <c r="K361" s="423" t="n"/>
      <c r="L361" s="423" t="n"/>
      <c r="M361" s="423" t="n"/>
    </row>
    <row r="362">
      <c r="A362" s="422" t="inlineStr">
        <is>
          <t>R-124</t>
        </is>
      </c>
      <c r="B362" s="422" t="inlineStr">
        <is>
          <t>MVP</t>
        </is>
      </c>
      <c r="C362" s="422" t="inlineStr">
        <is>
          <t>Git/Repository</t>
        </is>
      </c>
      <c r="D362" s="422" t="inlineStr">
        <is>
          <t>Repository naming convention</t>
        </is>
      </c>
      <c r="E362" s="422" t="inlineStr">
        <is>
          <t>Default repo name: project-&lt;project-slug&gt;; allow workspace prefix and customer-owned Git organization.</t>
        </is>
      </c>
      <c r="F362" s="422" t="inlineStr">
        <is>
          <t>P1</t>
        </is>
      </c>
      <c r="G362" s="422" t="n"/>
      <c r="H362" s="422" t="inlineStr">
        <is>
          <t>Not Started</t>
        </is>
      </c>
      <c r="I362" s="425" t="n">
        <v>0</v>
      </c>
      <c r="J362" s="422" t="inlineStr">
        <is>
          <t>One Git repo per customer project</t>
        </is>
      </c>
      <c r="K362" s="422" t="n"/>
      <c r="L362" s="422" t="n"/>
      <c r="M362" s="422" t="n"/>
    </row>
    <row r="363">
      <c r="A363" s="423" t="inlineStr">
        <is>
          <t>R-125</t>
        </is>
      </c>
      <c r="B363" s="423" t="inlineStr">
        <is>
          <t>MVP</t>
        </is>
      </c>
      <c r="C363" s="423" t="inlineStr">
        <is>
          <t>Git/Repository</t>
        </is>
      </c>
      <c r="D363" s="423" t="inlineStr">
        <is>
          <t>Branch + PR naming convention</t>
        </is>
      </c>
      <c r="E363" s="423" t="inlineStr">
        <is>
          <t>Use short-lived ai/&lt;task-id&gt;-&lt;slug&gt; branches, protected main, task-linked commits and one reviewable PR/change set per AI task.</t>
        </is>
      </c>
      <c r="F363" s="423" t="inlineStr">
        <is>
          <t>P0</t>
        </is>
      </c>
      <c r="G363" s="423" t="n"/>
      <c r="H363" s="423" t="inlineStr">
        <is>
          <t>Not Started</t>
        </is>
      </c>
      <c r="I363" s="424" t="n">
        <v>0</v>
      </c>
      <c r="J363" s="423" t="inlineStr">
        <is>
          <t>Branch per task</t>
        </is>
      </c>
      <c r="K363" s="423" t="n"/>
      <c r="L363" s="423" t="n"/>
      <c r="M363" s="423" t="n"/>
    </row>
    <row r="364">
      <c r="A364" s="422" t="inlineStr">
        <is>
          <t>R-126</t>
        </is>
      </c>
      <c r="B364" s="422" t="inlineStr">
        <is>
          <t>MVP</t>
        </is>
      </c>
      <c r="C364" s="422" t="inlineStr">
        <is>
          <t>Product Foundation</t>
        </is>
      </c>
      <c r="D364" s="422" t="inlineStr">
        <is>
          <t>Organization &gt; Workspace &gt; Project &gt; Environment model</t>
        </is>
      </c>
      <c r="E364" s="422" t="inlineStr">
        <is>
          <t>Canonical hierarchy for tenancy, billing, permissions, repositories, targets and deployments.</t>
        </is>
      </c>
      <c r="F364" s="422" t="inlineStr">
        <is>
          <t>P0</t>
        </is>
      </c>
      <c r="G364" s="422" t="n"/>
      <c r="H364" s="422" t="inlineStr">
        <is>
          <t>Not Started</t>
        </is>
      </c>
      <c r="I364" s="425" t="n">
        <v>0</v>
      </c>
      <c r="J364" s="422" t="inlineStr">
        <is>
          <t>Project + workspace model</t>
        </is>
      </c>
      <c r="K364" s="422" t="n"/>
      <c r="L364" s="422" t="n"/>
      <c r="M364" s="422" t="n"/>
    </row>
    <row r="365">
      <c r="A365" s="423" t="inlineStr">
        <is>
          <t>R-127</t>
        </is>
      </c>
      <c r="B365" s="423" t="inlineStr">
        <is>
          <t>MVP</t>
        </is>
      </c>
      <c r="C365" s="423" t="inlineStr">
        <is>
          <t>Architecture</t>
        </is>
      </c>
      <c r="D365" s="423" t="inlineStr">
        <is>
          <t>Shared contracts package</t>
        </is>
      </c>
      <c r="E365" s="423" t="inlineStr">
        <is>
          <t>Generate OpenAPI/AsyncAPI/schema contracts and typed clients for Flutter/Dart, TypeScript, Kotlin and Swift as needed.</t>
        </is>
      </c>
      <c r="F365" s="423" t="inlineStr">
        <is>
          <t>P0</t>
        </is>
      </c>
      <c r="G365" s="423" t="n"/>
      <c r="H365" s="423" t="inlineStr">
        <is>
          <t>Not Started</t>
        </is>
      </c>
      <c r="I365" s="424" t="n">
        <v>0</v>
      </c>
      <c r="J365" s="423" t="inlineStr">
        <is>
          <t>Application IR v1</t>
        </is>
      </c>
      <c r="K365" s="423" t="n"/>
      <c r="L365" s="423" t="n"/>
      <c r="M365" s="423" t="n"/>
    </row>
    <row r="366">
      <c r="A366" s="422" t="inlineStr">
        <is>
          <t>R-128</t>
        </is>
      </c>
      <c r="B366" s="422" t="inlineStr">
        <is>
          <t>MVP</t>
        </is>
      </c>
      <c r="C366" s="422" t="inlineStr">
        <is>
          <t>Git/Repository</t>
        </is>
      </c>
      <c r="D366" s="422" t="inlineStr">
        <is>
          <t>Cross-language monorepo orchestration</t>
        </is>
      </c>
      <c r="E366" s="422" t="inlineStr">
        <is>
          <t>Use root Taskfile/Make; pnpm/Turborepo for TypeScript, Go workspaces for Go and uv/Poetry for Python; avoid Bazel until scale demands it.</t>
        </is>
      </c>
      <c r="F366" s="422" t="inlineStr">
        <is>
          <t>P1</t>
        </is>
      </c>
      <c r="G366" s="422" t="n"/>
      <c r="H366" s="422" t="inlineStr">
        <is>
          <t>Not Started</t>
        </is>
      </c>
      <c r="I366" s="425" t="n">
        <v>0</v>
      </c>
      <c r="J366" s="422" t="inlineStr">
        <is>
          <t>Platform modular monorepo</t>
        </is>
      </c>
      <c r="K366" s="422" t="n"/>
      <c r="L366" s="422" t="n"/>
      <c r="M366" s="422" t="n"/>
    </row>
    <row r="367">
      <c r="A367" s="446" t="inlineStr">
        <is>
          <t>R-129</t>
        </is>
      </c>
      <c r="B367" s="446" t="inlineStr">
        <is>
          <t>MID</t>
        </is>
      </c>
      <c r="C367" s="446" t="inlineStr">
        <is>
          <t>Git/Repository</t>
        </is>
      </c>
      <c r="D367" s="446" t="inlineStr">
        <is>
          <t>Repository split decision policy</t>
        </is>
      </c>
      <c r="E367" s="446" t="inlineStr">
        <is>
          <t>Split a customer monorepo only for independent teams, compliance boundaries, release cadence, access control or measured build/repo scale.</t>
        </is>
      </c>
      <c r="F367" s="446" t="inlineStr">
        <is>
          <t>P1</t>
        </is>
      </c>
      <c r="G367" s="446" t="n"/>
      <c r="H367" s="446" t="inlineStr">
        <is>
          <t>Not Started</t>
        </is>
      </c>
      <c r="I367" s="451" t="n">
        <v>0</v>
      </c>
      <c r="J367" s="446" t="inlineStr">
        <is>
          <t>Customer project monorepo default</t>
        </is>
      </c>
      <c r="K367" s="446" t="n"/>
      <c r="L367" s="446" t="n"/>
      <c r="M367" s="446" t="n"/>
    </row>
    <row r="368">
      <c r="A368" s="445" t="inlineStr">
        <is>
          <t>R-130</t>
        </is>
      </c>
      <c r="B368" s="445" t="inlineStr">
        <is>
          <t>ADVANCED</t>
        </is>
      </c>
      <c r="C368" s="445" t="inlineStr">
        <is>
          <t>Git/Repository</t>
        </is>
      </c>
      <c r="D368" s="445" t="inlineStr">
        <is>
          <t>Enterprise multi-repo support</t>
        </is>
      </c>
      <c r="E368" s="445" t="inlineStr">
        <is>
          <t>Support service-per-repo or domain repos while preserving IR, contracts and cross-repo change orchestration.</t>
        </is>
      </c>
      <c r="F368" s="445" t="inlineStr">
        <is>
          <t>P2</t>
        </is>
      </c>
      <c r="G368" s="445" t="n"/>
      <c r="H368" s="445" t="inlineStr">
        <is>
          <t>Not Started</t>
        </is>
      </c>
      <c r="I368" s="450" t="n">
        <v>0</v>
      </c>
      <c r="J368" s="445" t="inlineStr">
        <is>
          <t>Repository split decision policy</t>
        </is>
      </c>
      <c r="K368" s="445" t="n"/>
      <c r="L368" s="445" t="n"/>
      <c r="M368" s="445" t="n"/>
    </row>
    <row r="369">
      <c r="A369" s="446" t="inlineStr">
        <is>
          <t>R-131</t>
        </is>
      </c>
      <c r="B369" s="446" t="inlineStr">
        <is>
          <t>MID</t>
        </is>
      </c>
      <c r="C369" s="446" t="inlineStr">
        <is>
          <t>Git/Repository</t>
        </is>
      </c>
      <c r="D369" s="446" t="inlineStr">
        <is>
          <t>CODEOWNERS + protected paths</t>
        </is>
      </c>
      <c r="E369" s="446" t="inlineStr">
        <is>
          <t>Require human/security ownership for sensitive modules, production infra, auth, billing and signing workflows.</t>
        </is>
      </c>
      <c r="F369" s="446" t="inlineStr">
        <is>
          <t>P1</t>
        </is>
      </c>
      <c r="G369" s="446" t="n"/>
      <c r="H369" s="446" t="inlineStr">
        <is>
          <t>Not Started</t>
        </is>
      </c>
      <c r="I369" s="451" t="n">
        <v>0</v>
      </c>
      <c r="J369" s="446" t="inlineStr">
        <is>
          <t>Branch + PR naming convention</t>
        </is>
      </c>
      <c r="K369" s="446" t="n"/>
      <c r="L369" s="446" t="n"/>
      <c r="M369" s="446" t="n"/>
    </row>
    <row r="370">
      <c r="A370" s="445" t="inlineStr">
        <is>
          <t>R-132</t>
        </is>
      </c>
      <c r="B370" s="445" t="inlineStr">
        <is>
          <t>MVP</t>
        </is>
      </c>
      <c r="C370" s="445" t="inlineStr">
        <is>
          <t>Git/Repository</t>
        </is>
      </c>
      <c r="D370" s="445" t="inlineStr">
        <is>
          <t>Framework-specific repo templates</t>
        </is>
      </c>
      <c r="E370" s="445" t="inlineStr">
        <is>
          <t>Provide Flutter, React Native and Native directory templates behind the same canonical project structure.</t>
        </is>
      </c>
      <c r="F370" s="445" t="inlineStr">
        <is>
          <t>P0</t>
        </is>
      </c>
      <c r="G370" s="445" t="n"/>
      <c r="H370" s="445" t="inlineStr">
        <is>
          <t>Not Started</t>
        </is>
      </c>
      <c r="I370" s="450" t="n">
        <v>0</v>
      </c>
      <c r="J370" s="445" t="inlineStr">
        <is>
          <t>Framework adapter contract</t>
        </is>
      </c>
      <c r="K370" s="445" t="n"/>
      <c r="L370" s="445" t="n"/>
      <c r="M370" s="445" t="n"/>
    </row>
    <row r="371">
      <c r="A371" s="446" t="inlineStr">
        <is>
          <t>R-133</t>
        </is>
      </c>
      <c r="B371" s="446" t="inlineStr">
        <is>
          <t>MVP</t>
        </is>
      </c>
      <c r="C371" s="446" t="inlineStr">
        <is>
          <t>Change Safety</t>
        </is>
      </c>
      <c r="D371" s="446" t="inlineStr">
        <is>
          <t>Atomic cross-platform change set</t>
        </is>
      </c>
      <c r="E371" s="446" t="inlineStr">
        <is>
          <t>One task can update mobile + web + backend + schema + tests in one branch; merge only if all required target gates pass.</t>
        </is>
      </c>
      <c r="F371" s="446" t="inlineStr">
        <is>
          <t>P0</t>
        </is>
      </c>
      <c r="G371" s="446" t="n"/>
      <c r="H371" s="446" t="inlineStr">
        <is>
          <t>Not Started</t>
        </is>
      </c>
      <c r="I371" s="451" t="n">
        <v>0</v>
      </c>
      <c r="J371" s="446" t="inlineStr">
        <is>
          <t>Customer project monorepo default</t>
        </is>
      </c>
      <c r="K371" s="446" t="n"/>
      <c r="L371" s="446" t="n"/>
      <c r="M371" s="446" t="n"/>
    </row>
    <row r="372">
      <c r="A372" s="445" t="inlineStr">
        <is>
          <t>R-134</t>
        </is>
      </c>
      <c r="B372" s="445" t="inlineStr">
        <is>
          <t>MID</t>
        </is>
      </c>
      <c r="C372" s="445" t="inlineStr">
        <is>
          <t>Analytics</t>
        </is>
      </c>
      <c r="D372" s="445" t="inlineStr">
        <is>
          <t>Repository/build health metrics</t>
        </is>
      </c>
      <c r="E372" s="445" t="inlineStr">
        <is>
          <t>Track repo size, dependency graph growth, build duration, cache hit rate and split-repo trigger thresholds.</t>
        </is>
      </c>
      <c r="F372" s="445" t="inlineStr">
        <is>
          <t>P1</t>
        </is>
      </c>
      <c r="G372" s="445" t="n"/>
      <c r="H372" s="445" t="inlineStr">
        <is>
          <t>Not Started</t>
        </is>
      </c>
      <c r="I372" s="450" t="n">
        <v>0</v>
      </c>
      <c r="J372" s="445" t="inlineStr">
        <is>
          <t>Build artifact caching</t>
        </is>
      </c>
      <c r="K372" s="445" t="n"/>
      <c r="L372" s="445" t="n"/>
      <c r="M372" s="445" t="n"/>
    </row>
    <row r="373">
      <c r="A373" s="446" t="inlineStr">
        <is>
          <t>R-135</t>
        </is>
      </c>
      <c r="B373" s="446" t="inlineStr">
        <is>
          <t>MVP</t>
        </is>
      </c>
      <c r="C373" s="446" t="inlineStr">
        <is>
          <t>Framework Strategy</t>
        </is>
      </c>
      <c r="D373" s="446" t="inlineStr">
        <is>
          <t>Stack selection wizard</t>
        </is>
      </c>
      <c r="E373" s="446" t="inlineStr">
        <is>
          <t>Before generation, show Auto / Flutter / React Native / Native / Web-only options with simple reasons, cost class and limitations.</t>
        </is>
      </c>
      <c r="F373" s="446" t="inlineStr">
        <is>
          <t>P0</t>
        </is>
      </c>
      <c r="G373" s="446" t="n"/>
      <c r="H373" s="446" t="inlineStr">
        <is>
          <t>Not Started</t>
        </is>
      </c>
      <c r="I373" s="451" t="n">
        <v>0</v>
      </c>
      <c r="J373" s="446" t="inlineStr">
        <is>
          <t>Framework recommendation engine</t>
        </is>
      </c>
      <c r="K373" s="446" t="n"/>
      <c r="L373" s="446" t="n"/>
      <c r="M373" s="446" t="inlineStr">
        <is>
          <t>V3</t>
        </is>
      </c>
    </row>
    <row r="374">
      <c r="A374" s="445" t="inlineStr">
        <is>
          <t>R-136</t>
        </is>
      </c>
      <c r="B374" s="445" t="inlineStr">
        <is>
          <t>MVP</t>
        </is>
      </c>
      <c r="C374" s="445" t="inlineStr">
        <is>
          <t>Framework Strategy</t>
        </is>
      </c>
      <c r="D374" s="445" t="inlineStr">
        <is>
          <t>Recommendation score model</t>
        </is>
      </c>
      <c r="E374" s="445" t="inlineStr">
        <is>
          <t>Score budget, team skills, web reuse, native APIs, background work, performance, hardware and platform UX. Store score/reasons in IR.</t>
        </is>
      </c>
      <c r="F374" s="445" t="inlineStr">
        <is>
          <t>P0</t>
        </is>
      </c>
      <c r="G374" s="445" t="n"/>
      <c r="H374" s="445" t="inlineStr">
        <is>
          <t>Not Started</t>
        </is>
      </c>
      <c r="I374" s="450" t="n">
        <v>0</v>
      </c>
      <c r="J374" s="445" t="inlineStr">
        <is>
          <t>Stack selection wizard</t>
        </is>
      </c>
      <c r="K374" s="445" t="n"/>
      <c r="L374" s="445" t="n"/>
      <c r="M374" s="445" t="inlineStr">
        <is>
          <t>Do not choose by industry label alone.</t>
        </is>
      </c>
    </row>
    <row r="375">
      <c r="A375" s="446" t="inlineStr">
        <is>
          <t>R-137</t>
        </is>
      </c>
      <c r="B375" s="446" t="inlineStr">
        <is>
          <t>MVP</t>
        </is>
      </c>
      <c r="C375" s="446" t="inlineStr">
        <is>
          <t>Architecture</t>
        </is>
      </c>
      <c r="D375" s="446" t="inlineStr">
        <is>
          <t>Code sharing policy</t>
        </is>
      </c>
      <c r="E375" s="446" t="inlineStr">
        <is>
          <t>Share IR, contracts, tokens, localization, analytics and compatible domain packages; never force 100% runtime sharing.</t>
        </is>
      </c>
      <c r="F375" s="446" t="inlineStr">
        <is>
          <t>P0</t>
        </is>
      </c>
      <c r="G375" s="446" t="n"/>
      <c r="H375" s="446" t="inlineStr">
        <is>
          <t>Not Started</t>
        </is>
      </c>
      <c r="I375" s="451" t="n">
        <v>0</v>
      </c>
      <c r="J375" s="446" t="inlineStr">
        <is>
          <t>Application IR v1</t>
        </is>
      </c>
      <c r="K375" s="446" t="n"/>
      <c r="L375" s="446" t="n"/>
      <c r="M375" s="446" t="inlineStr">
        <is>
          <t>Prevents bad Flutter/RN Web/admin decisions.</t>
        </is>
      </c>
    </row>
    <row r="376">
      <c r="A376" s="445" t="inlineStr">
        <is>
          <t>R-138</t>
        </is>
      </c>
      <c r="B376" s="445" t="inlineStr">
        <is>
          <t>MVP</t>
        </is>
      </c>
      <c r="C376" s="445" t="inlineStr">
        <is>
          <t>Architecture</t>
        </is>
      </c>
      <c r="D376" s="445" t="inlineStr">
        <is>
          <t>Canonical generated project root</t>
        </is>
      </c>
      <c r="E376" s="445" t="inlineStr">
        <is>
          <t>Standard root: .ai/, apps/, services/, packages/, database/, infra/, tests/, docs/, scripts/.</t>
        </is>
      </c>
      <c r="F376" s="445" t="inlineStr">
        <is>
          <t>P0</t>
        </is>
      </c>
      <c r="G376" s="445" t="n"/>
      <c r="H376" s="445" t="inlineStr">
        <is>
          <t>Not Started</t>
        </is>
      </c>
      <c r="I376" s="450" t="n">
        <v>0</v>
      </c>
      <c r="J376" s="445" t="inlineStr">
        <is>
          <t>Customer project monorepo default</t>
        </is>
      </c>
      <c r="K376" s="445" t="n"/>
      <c r="L376" s="445" t="n"/>
      <c r="M376" s="445" t="inlineStr">
        <is>
          <t>Stable paths improve AI context and developer onboarding.</t>
        </is>
      </c>
    </row>
    <row r="377">
      <c r="A377" s="446" t="inlineStr">
        <is>
          <t>R-139</t>
        </is>
      </c>
      <c r="B377" s="446" t="inlineStr">
        <is>
          <t>MVP</t>
        </is>
      </c>
      <c r="C377" s="446" t="inlineStr">
        <is>
          <t>Developer Experience</t>
        </is>
      </c>
      <c r="D377" s="446" t="inlineStr">
        <is>
          <t>Root task commands</t>
        </is>
      </c>
      <c r="E377" s="446" t="inlineStr">
        <is>
          <t>Every project exposes bootstrap, lint, test, build, check, preview and ci through Taskfile/Make.</t>
        </is>
      </c>
      <c r="F377" s="446" t="inlineStr">
        <is>
          <t>P1</t>
        </is>
      </c>
      <c r="G377" s="446" t="n"/>
      <c r="H377" s="446" t="inlineStr">
        <is>
          <t>Not Started</t>
        </is>
      </c>
      <c r="I377" s="451" t="n">
        <v>0</v>
      </c>
      <c r="J377" s="446" t="inlineStr">
        <is>
          <t>Canonical generated project root</t>
        </is>
      </c>
      <c r="K377" s="446" t="n"/>
      <c r="L377" s="446" t="n"/>
      <c r="M377" s="446" t="inlineStr">
        <is>
          <t>Framework-independent agent commands.</t>
        </is>
      </c>
    </row>
    <row r="378">
      <c r="A378" s="445" t="inlineStr">
        <is>
          <t>R-140</t>
        </is>
      </c>
      <c r="B378" s="445" t="inlineStr">
        <is>
          <t>MVP</t>
        </is>
      </c>
      <c r="C378" s="445" t="inlineStr">
        <is>
          <t>Templates</t>
        </is>
      </c>
      <c r="D378" s="445" t="inlineStr">
        <is>
          <t>Flutter lean template</t>
        </is>
      </c>
      <c r="E378" s="445" t="inlineStr">
        <is>
          <t>Feature-first Flutter template with app/core/design_system/features/test; avoid unnecessary domain layers in simple apps.</t>
        </is>
      </c>
      <c r="F378" s="445" t="inlineStr">
        <is>
          <t>P0</t>
        </is>
      </c>
      <c r="G378" s="445" t="n"/>
      <c r="H378" s="445" t="inlineStr">
        <is>
          <t>Not Started</t>
        </is>
      </c>
      <c r="I378" s="450" t="n">
        <v>0</v>
      </c>
      <c r="J378" s="445" t="inlineStr">
        <is>
          <t>Framework-specific repo templates</t>
        </is>
      </c>
      <c r="K378" s="445" t="n"/>
      <c r="L378" s="445" t="n"/>
      <c r="M378" s="445" t="inlineStr">
        <is>
          <t>Stable target.</t>
        </is>
      </c>
    </row>
    <row r="379">
      <c r="A379" s="446" t="inlineStr">
        <is>
          <t>R-141</t>
        </is>
      </c>
      <c r="B379" s="446" t="inlineStr">
        <is>
          <t>MID</t>
        </is>
      </c>
      <c r="C379" s="446" t="inlineStr">
        <is>
          <t>Templates</t>
        </is>
      </c>
      <c r="D379" s="446" t="inlineStr">
        <is>
          <t>Flutter scaled template</t>
        </is>
      </c>
      <c r="E379" s="446" t="inlineStr">
        <is>
          <t>Scaled Flutter structure with stronger feature/domain boundaries and approved native adapters.</t>
        </is>
      </c>
      <c r="F379" s="446" t="inlineStr">
        <is>
          <t>P1</t>
        </is>
      </c>
      <c r="G379" s="446" t="n"/>
      <c r="H379" s="446" t="inlineStr">
        <is>
          <t>Not Started</t>
        </is>
      </c>
      <c r="I379" s="451" t="n">
        <v>0</v>
      </c>
      <c r="J379" s="446" t="inlineStr">
        <is>
          <t>Flutter lean template</t>
        </is>
      </c>
      <c r="K379" s="446" t="n"/>
      <c r="L379" s="446" t="n"/>
      <c r="M379" s="446" t="inlineStr">
        <is>
          <t>Use only when complexity warrants.</t>
        </is>
      </c>
    </row>
    <row r="380">
      <c r="A380" s="445" t="inlineStr">
        <is>
          <t>R-142</t>
        </is>
      </c>
      <c r="B380" s="445" t="inlineStr">
        <is>
          <t>MVP</t>
        </is>
      </c>
      <c r="C380" s="445" t="inlineStr">
        <is>
          <t>Templates</t>
        </is>
      </c>
      <c r="D380" s="445" t="inlineStr">
        <is>
          <t>React Native TypeScript template</t>
        </is>
      </c>
      <c r="E380" s="445" t="inlineStr">
        <is>
          <t>Feature-first RN template with app/features/shared/design-system and explicit native module boundaries.</t>
        </is>
      </c>
      <c r="F380" s="445" t="inlineStr">
        <is>
          <t>P0</t>
        </is>
      </c>
      <c r="G380" s="445" t="n"/>
      <c r="H380" s="445" t="inlineStr">
        <is>
          <t>Not Started</t>
        </is>
      </c>
      <c r="I380" s="450" t="n">
        <v>0</v>
      </c>
      <c r="J380" s="445" t="inlineStr">
        <is>
          <t>Framework-specific repo templates</t>
        </is>
      </c>
      <c r="K380" s="445" t="n"/>
      <c r="L380" s="445" t="n"/>
      <c r="M380" s="445" t="inlineStr">
        <is>
          <t>Expo profile when capabilities fit.</t>
        </is>
      </c>
    </row>
    <row r="381">
      <c r="A381" s="446" t="inlineStr">
        <is>
          <t>R-143</t>
        </is>
      </c>
      <c r="B381" s="446" t="inlineStr">
        <is>
          <t>MVP</t>
        </is>
      </c>
      <c r="C381" s="446" t="inlineStr">
        <is>
          <t>Templates</t>
        </is>
      </c>
      <c r="D381" s="446" t="inlineStr">
        <is>
          <t>React Native shared TS packages</t>
        </is>
      </c>
      <c r="E381" s="446" t="inlineStr">
        <is>
          <t>Root contracts/validation/api-client packages reusable by RN and Next.js where runtime compatibility is safe.</t>
        </is>
      </c>
      <c r="F381" s="446" t="inlineStr">
        <is>
          <t>P1</t>
        </is>
      </c>
      <c r="G381" s="446" t="n"/>
      <c r="H381" s="446" t="inlineStr">
        <is>
          <t>Not Started</t>
        </is>
      </c>
      <c r="I381" s="451" t="n">
        <v>0</v>
      </c>
      <c r="J381" s="446" t="inlineStr">
        <is>
          <t>Shared contracts package</t>
        </is>
      </c>
      <c r="K381" s="446" t="n"/>
      <c r="L381" s="446" t="n"/>
      <c r="M381" s="446" t="inlineStr">
        <is>
          <t>Do not share UI blindly.</t>
        </is>
      </c>
    </row>
    <row r="382">
      <c r="A382" s="445" t="inlineStr">
        <is>
          <t>R-144</t>
        </is>
      </c>
      <c r="B382" s="445" t="inlineStr">
        <is>
          <t>MVP</t>
        </is>
      </c>
      <c r="C382" s="445" t="inlineStr">
        <is>
          <t>Templates</t>
        </is>
      </c>
      <c r="D382" s="445" t="inlineStr">
        <is>
          <t>Native Android lean template</t>
        </is>
      </c>
      <c r="E382" s="445" t="inlineStr">
        <is>
          <t>Kotlin/Compose template with thin app + core infrastructure and feature-first structure; avoid over-modularization.</t>
        </is>
      </c>
      <c r="F382" s="445" t="inlineStr">
        <is>
          <t>P0</t>
        </is>
      </c>
      <c r="G382" s="445" t="n"/>
      <c r="H382" s="445" t="inlineStr">
        <is>
          <t>Not Started</t>
        </is>
      </c>
      <c r="I382" s="450" t="n">
        <v>0</v>
      </c>
      <c r="J382" s="445" t="inlineStr">
        <is>
          <t>Native Android Agent</t>
        </is>
      </c>
      <c r="K382" s="445" t="n"/>
      <c r="L382" s="445" t="n"/>
      <c r="M382" s="445" t="inlineStr">
        <is>
          <t>Native selectable beta.</t>
        </is>
      </c>
    </row>
    <row r="383">
      <c r="A383" s="446" t="inlineStr">
        <is>
          <t>R-145</t>
        </is>
      </c>
      <c r="B383" s="446" t="inlineStr">
        <is>
          <t>MID</t>
        </is>
      </c>
      <c r="C383" s="446" t="inlineStr">
        <is>
          <t>Templates</t>
        </is>
      </c>
      <c r="D383" s="446" t="inlineStr">
        <is>
          <t>Native Android scaled modules</t>
        </is>
      </c>
      <c r="E383" s="446" t="inlineStr">
        <is>
          <t>Add core/designsystem/network/database/testing + feature modules + Gradle convention plugins/version catalog when scale justifies.</t>
        </is>
      </c>
      <c r="F383" s="446" t="inlineStr">
        <is>
          <t>P1</t>
        </is>
      </c>
      <c r="G383" s="446" t="n"/>
      <c r="H383" s="446" t="inlineStr">
        <is>
          <t>Not Started</t>
        </is>
      </c>
      <c r="I383" s="451" t="n">
        <v>0</v>
      </c>
      <c r="J383" s="446" t="inlineStr">
        <is>
          <t>Native Android lean template</t>
        </is>
      </c>
      <c r="K383" s="446" t="n"/>
      <c r="L383" s="446" t="n"/>
      <c r="M383" s="446" t="inlineStr">
        <is>
          <t>Experienced team structure.</t>
        </is>
      </c>
    </row>
    <row r="384">
      <c r="A384" s="445" t="inlineStr">
        <is>
          <t>R-146</t>
        </is>
      </c>
      <c r="B384" s="445" t="inlineStr">
        <is>
          <t>MVP</t>
        </is>
      </c>
      <c r="C384" s="445" t="inlineStr">
        <is>
          <t>Templates</t>
        </is>
      </c>
      <c r="D384" s="445" t="inlineStr">
        <is>
          <t>Native iOS lean template</t>
        </is>
      </c>
      <c r="E384" s="445" t="inlineStr">
        <is>
          <t>SwiftUI template with App/Core/Features/Tests, async-await, Keychain, DI composition roots.</t>
        </is>
      </c>
      <c r="F384" s="445" t="inlineStr">
        <is>
          <t>P0</t>
        </is>
      </c>
      <c r="G384" s="445" t="n"/>
      <c r="H384" s="445" t="inlineStr">
        <is>
          <t>Not Started</t>
        </is>
      </c>
      <c r="I384" s="450" t="n">
        <v>0</v>
      </c>
      <c r="J384" s="445" t="inlineStr">
        <is>
          <t>Native iOS Agent</t>
        </is>
      </c>
      <c r="K384" s="445" t="n"/>
      <c r="L384" s="445" t="n"/>
      <c r="M384" s="445" t="inlineStr">
        <is>
          <t>Native selectable beta.</t>
        </is>
      </c>
    </row>
    <row r="385">
      <c r="A385" s="446" t="inlineStr">
        <is>
          <t>R-147</t>
        </is>
      </c>
      <c r="B385" s="446" t="inlineStr">
        <is>
          <t>MID</t>
        </is>
      </c>
      <c r="C385" s="446" t="inlineStr">
        <is>
          <t>Templates</t>
        </is>
      </c>
      <c r="D385" s="446" t="inlineStr">
        <is>
          <t>Native iOS scaled Swift Packages</t>
        </is>
      </c>
      <c r="E385" s="446" t="inlineStr">
        <is>
          <t>Move stable cores/features to local Swift Packages when build/team size benefits.</t>
        </is>
      </c>
      <c r="F385" s="446" t="inlineStr">
        <is>
          <t>P1</t>
        </is>
      </c>
      <c r="G385" s="446" t="n"/>
      <c r="H385" s="446" t="inlineStr">
        <is>
          <t>Not Started</t>
        </is>
      </c>
      <c r="I385" s="451" t="n">
        <v>0</v>
      </c>
      <c r="J385" s="446" t="inlineStr">
        <is>
          <t>Native iOS lean template</t>
        </is>
      </c>
      <c r="K385" s="446" t="n"/>
      <c r="L385" s="446" t="n"/>
      <c r="M385" s="446" t="inlineStr">
        <is>
          <t>Do not force Tuist/XcodeGen in earliest template.</t>
        </is>
      </c>
    </row>
    <row r="386">
      <c r="A386" s="445" t="inlineStr">
        <is>
          <t>R-148</t>
        </is>
      </c>
      <c r="B386" s="445" t="inlineStr">
        <is>
          <t>MVP</t>
        </is>
      </c>
      <c r="C386" s="445" t="inlineStr">
        <is>
          <t>Templates</t>
        </is>
      </c>
      <c r="D386" s="445" t="inlineStr">
        <is>
          <t>Next.js public web template</t>
        </is>
      </c>
      <c r="E386" s="445" t="inlineStr">
        <is>
          <t>App Router, feature-first, server/client boundaries, SEO/accessibility/performance gates.</t>
        </is>
      </c>
      <c r="F386" s="445" t="inlineStr">
        <is>
          <t>P0</t>
        </is>
      </c>
      <c r="G386" s="445" t="n"/>
      <c r="H386" s="445" t="inlineStr">
        <is>
          <t>Not Started</t>
        </is>
      </c>
      <c r="I386" s="450" t="n">
        <v>0</v>
      </c>
      <c r="J386" s="445" t="inlineStr">
        <is>
          <t>Next.js web + admin default</t>
        </is>
      </c>
      <c r="K386" s="445" t="n"/>
      <c r="L386" s="445" t="n"/>
      <c r="M386" s="445" t="inlineStr">
        <is>
          <t>Web optimized independently.</t>
        </is>
      </c>
    </row>
    <row r="387">
      <c r="A387" s="446" t="inlineStr">
        <is>
          <t>R-149</t>
        </is>
      </c>
      <c r="B387" s="446" t="inlineStr">
        <is>
          <t>MVP</t>
        </is>
      </c>
      <c r="C387" s="446" t="inlineStr">
        <is>
          <t>Templates</t>
        </is>
      </c>
      <c r="D387" s="446" t="inlineStr">
        <is>
          <t>Next.js admin template</t>
        </is>
      </c>
      <c r="E387" s="446" t="inlineStr">
        <is>
          <t>Desktop-first modules, RBAC/ABAC, audit trail, data grids, filters, confirmations and async exports.</t>
        </is>
      </c>
      <c r="F387" s="446" t="inlineStr">
        <is>
          <t>P0</t>
        </is>
      </c>
      <c r="G387" s="446" t="n"/>
      <c r="H387" s="446" t="inlineStr">
        <is>
          <t>Not Started</t>
        </is>
      </c>
      <c r="I387" s="451" t="n">
        <v>0</v>
      </c>
      <c r="J387" s="446" t="inlineStr">
        <is>
          <t>Next.js web + admin default</t>
        </is>
      </c>
      <c r="K387" s="446" t="n"/>
      <c r="L387" s="446" t="n"/>
      <c r="M387" s="446" t="inlineStr">
        <is>
          <t>Never force admin onto Flutter/RN Web.</t>
        </is>
      </c>
    </row>
    <row r="388">
      <c r="A388" s="445" t="inlineStr">
        <is>
          <t>R-150</t>
        </is>
      </c>
      <c r="B388" s="445" t="inlineStr">
        <is>
          <t>MVP</t>
        </is>
      </c>
      <c r="C388" s="445" t="inlineStr">
        <is>
          <t>Templates</t>
        </is>
      </c>
      <c r="D388" s="445" t="inlineStr">
        <is>
          <t>Go backend standard template</t>
        </is>
      </c>
      <c r="E388" s="445" t="inlineStr">
        <is>
          <t>Domain/application/adapters structure, explicit transactions, idempotency, timeouts and observability.</t>
        </is>
      </c>
      <c r="F388" s="445" t="inlineStr">
        <is>
          <t>P0</t>
        </is>
      </c>
      <c r="G388" s="445" t="n"/>
      <c r="H388" s="445" t="inlineStr">
        <is>
          <t>Not Started</t>
        </is>
      </c>
      <c r="I388" s="450" t="n">
        <v>0</v>
      </c>
      <c r="J388" s="445" t="inlineStr">
        <is>
          <t>Backend Agent</t>
        </is>
      </c>
      <c r="K388" s="445" t="n"/>
      <c r="L388" s="445" t="n"/>
      <c r="M388" s="445" t="inlineStr">
        <is>
          <t>Default backend profile.</t>
        </is>
      </c>
    </row>
    <row r="389">
      <c r="A389" s="446" t="inlineStr">
        <is>
          <t>R-151</t>
        </is>
      </c>
      <c r="B389" s="446" t="inlineStr">
        <is>
          <t>MVP</t>
        </is>
      </c>
      <c r="C389" s="446" t="inlineStr">
        <is>
          <t>Templates</t>
        </is>
      </c>
      <c r="D389" s="446" t="inlineStr">
        <is>
          <t>Python backend standard template</t>
        </is>
      </c>
      <c r="E389" s="446" t="inlineStr">
        <is>
          <t>Typed domain/application/infrastructure structure; thin routes; migration and async discipline.</t>
        </is>
      </c>
      <c r="F389" s="446" t="inlineStr">
        <is>
          <t>P0</t>
        </is>
      </c>
      <c r="G389" s="446" t="n"/>
      <c r="H389" s="446" t="inlineStr">
        <is>
          <t>Not Started</t>
        </is>
      </c>
      <c r="I389" s="451" t="n">
        <v>0</v>
      </c>
      <c r="J389" s="446" t="inlineStr">
        <is>
          <t>Backend Agent</t>
        </is>
      </c>
      <c r="K389" s="446" t="n"/>
      <c r="L389" s="446" t="n"/>
      <c r="M389" s="446" t="inlineStr">
        <is>
          <t>Alternative default backend profile.</t>
        </is>
      </c>
    </row>
    <row r="390">
      <c r="A390" s="445" t="inlineStr">
        <is>
          <t>R-152</t>
        </is>
      </c>
      <c r="B390" s="445" t="inlineStr">
        <is>
          <t>MVP</t>
        </is>
      </c>
      <c r="C390" s="445" t="inlineStr">
        <is>
          <t>Contracts</t>
        </is>
      </c>
      <c r="D390" s="445" t="inlineStr">
        <is>
          <t>Generated client matrix</t>
        </is>
      </c>
      <c r="E390" s="445" t="inlineStr">
        <is>
          <t>Generate Dart, TypeScript, Kotlin and Swift API clients only for selected targets; generated code is deterministic and not hand-edited.</t>
        </is>
      </c>
      <c r="F390" s="445" t="inlineStr">
        <is>
          <t>P0</t>
        </is>
      </c>
      <c r="G390" s="445" t="n"/>
      <c r="H390" s="445" t="inlineStr">
        <is>
          <t>Not Started</t>
        </is>
      </c>
      <c r="I390" s="450" t="n">
        <v>0</v>
      </c>
      <c r="J390" s="445" t="inlineStr">
        <is>
          <t>Shared contracts package</t>
        </is>
      </c>
      <c r="K390" s="445" t="n"/>
      <c r="L390" s="445" t="n"/>
      <c r="M390" s="445" t="inlineStr">
        <is>
          <t>Contract-first consistency.</t>
        </is>
      </c>
    </row>
    <row r="391">
      <c r="A391" s="446" t="inlineStr">
        <is>
          <t>R-153</t>
        </is>
      </c>
      <c r="B391" s="446" t="inlineStr">
        <is>
          <t>MVP</t>
        </is>
      </c>
      <c r="C391" s="446" t="inlineStr">
        <is>
          <t>Templates</t>
        </is>
      </c>
      <c r="D391" s="446" t="inlineStr">
        <is>
          <t>Template manifest + maturity</t>
        </is>
      </c>
      <c r="E391" s="446" t="inlineStr">
        <is>
          <t>Every template has ID, version, maturity, supported platforms and mandatory checks.</t>
        </is>
      </c>
      <c r="F391" s="446" t="inlineStr">
        <is>
          <t>P0</t>
        </is>
      </c>
      <c r="G391" s="446" t="n"/>
      <c r="H391" s="446" t="inlineStr">
        <is>
          <t>Not Started</t>
        </is>
      </c>
      <c r="I391" s="451" t="n">
        <v>0</v>
      </c>
      <c r="J391" s="446" t="inlineStr">
        <is>
          <t>Framework-specific repo templates</t>
        </is>
      </c>
      <c r="K391" s="446" t="n"/>
      <c r="L391" s="446" t="n"/>
      <c r="M391" s="446" t="inlineStr">
        <is>
          <t>Stable/Beta/Experimental visible to user.</t>
        </is>
      </c>
    </row>
    <row r="392">
      <c r="A392" s="445" t="inlineStr">
        <is>
          <t>R-154</t>
        </is>
      </c>
      <c r="B392" s="445" t="inlineStr">
        <is>
          <t>MVP</t>
        </is>
      </c>
      <c r="C392" s="445" t="inlineStr">
        <is>
          <t>Dependencies</t>
        </is>
      </c>
      <c r="D392" s="445" t="inlineStr">
        <is>
          <t>Approved dependency catalog</t>
        </is>
      </c>
      <c r="E392" s="445" t="inlineStr">
        <is>
          <t>Dependency additions pass license/security/maintenance policy; lockfiles committed.</t>
        </is>
      </c>
      <c r="F392" s="445" t="inlineStr">
        <is>
          <t>P0</t>
        </is>
      </c>
      <c r="G392" s="445" t="n"/>
      <c r="H392" s="445" t="inlineStr">
        <is>
          <t>Not Started</t>
        </is>
      </c>
      <c r="I392" s="450" t="n">
        <v>0</v>
      </c>
      <c r="J392" s="445" t="inlineStr">
        <is>
          <t>Template manifest + maturity</t>
        </is>
      </c>
      <c r="K392" s="445" t="n"/>
      <c r="L392" s="445" t="n"/>
      <c r="M392" s="445" t="inlineStr">
        <is>
          <t>Prevents dependency explosion.</t>
        </is>
      </c>
    </row>
    <row r="393">
      <c r="A393" s="446" t="inlineStr">
        <is>
          <t>R-155</t>
        </is>
      </c>
      <c r="B393" s="446" t="inlineStr">
        <is>
          <t>MVP</t>
        </is>
      </c>
      <c r="C393" s="446" t="inlineStr">
        <is>
          <t>Platform Architecture</t>
        </is>
      </c>
      <c r="D393" s="446" t="inlineStr">
        <is>
          <t>Go control plane modular monolith</t>
        </is>
      </c>
      <c r="E393" s="446" t="inlineStr">
        <is>
          <t>Keep auth/org/workspace/project/jobs/Git/usage/audit/basic billing in one Go service initially.</t>
        </is>
      </c>
      <c r="F393" s="446" t="inlineStr">
        <is>
          <t>P0</t>
        </is>
      </c>
      <c r="G393" s="446" t="n"/>
      <c r="H393" s="446" t="inlineStr">
        <is>
          <t>Not Started</t>
        </is>
      </c>
      <c r="I393" s="451" t="n">
        <v>0</v>
      </c>
      <c r="J393" s="446" t="inlineStr">
        <is>
          <t>Platform modular monorepo</t>
        </is>
      </c>
      <c r="K393" s="446" t="n"/>
      <c r="L393" s="446" t="n"/>
      <c r="M393" s="446" t="inlineStr">
        <is>
          <t>Avoid premature microservices.</t>
        </is>
      </c>
    </row>
    <row r="394">
      <c r="A394" s="445" t="inlineStr">
        <is>
          <t>R-156</t>
        </is>
      </c>
      <c r="B394" s="445" t="inlineStr">
        <is>
          <t>MVP</t>
        </is>
      </c>
      <c r="C394" s="445" t="inlineStr">
        <is>
          <t>Platform Architecture</t>
        </is>
      </c>
      <c r="D394" s="445" t="inlineStr">
        <is>
          <t>Python agent engine boundary</t>
        </is>
      </c>
      <c r="E394" s="445" t="inlineStr">
        <is>
          <t>Planning, model gateway, context/RAG, tools and evals live in a separate Python service.</t>
        </is>
      </c>
      <c r="F394" s="445" t="inlineStr">
        <is>
          <t>P0</t>
        </is>
      </c>
      <c r="G394" s="445" t="n"/>
      <c r="H394" s="445" t="inlineStr">
        <is>
          <t>Not Started</t>
        </is>
      </c>
      <c r="I394" s="450" t="n">
        <v>0</v>
      </c>
      <c r="J394" s="445" t="inlineStr">
        <is>
          <t>Model gateway</t>
        </is>
      </c>
      <c r="K394" s="445" t="n"/>
      <c r="L394" s="445" t="n"/>
      <c r="M394" s="445" t="inlineStr">
        <is>
          <t>Different ecosystem/iteration cadence.</t>
        </is>
      </c>
    </row>
    <row r="395">
      <c r="A395" s="446" t="inlineStr">
        <is>
          <t>R-157</t>
        </is>
      </c>
      <c r="B395" s="446" t="inlineStr">
        <is>
          <t>MVP</t>
        </is>
      </c>
      <c r="C395" s="446" t="inlineStr">
        <is>
          <t>Platform Architecture</t>
        </is>
      </c>
      <c r="D395" s="446" t="inlineStr">
        <is>
          <t>Runner manager boundary</t>
        </is>
      </c>
      <c r="E395" s="446" t="inlineStr">
        <is>
          <t>Go service schedules Linux/Android/Web/macOS jobs with quotas, timeouts and isolation.</t>
        </is>
      </c>
      <c r="F395" s="446" t="inlineStr">
        <is>
          <t>P0</t>
        </is>
      </c>
      <c r="G395" s="446" t="n"/>
      <c r="H395" s="446" t="inlineStr">
        <is>
          <t>Not Started</t>
        </is>
      </c>
      <c r="I395" s="451" t="n">
        <v>0</v>
      </c>
      <c r="J395" s="446" t="inlineStr">
        <is>
          <t>Ephemeral Linux sandbox</t>
        </is>
      </c>
      <c r="K395" s="446" t="n"/>
      <c r="L395" s="446" t="n"/>
      <c r="M395" s="446" t="inlineStr">
        <is>
          <t>Central execution control.</t>
        </is>
      </c>
    </row>
    <row r="396">
      <c r="A396" s="445" t="inlineStr">
        <is>
          <t>R-158</t>
        </is>
      </c>
      <c r="B396" s="445" t="inlineStr">
        <is>
          <t>MVP</t>
        </is>
      </c>
      <c r="C396" s="445" t="inlineStr">
        <is>
          <t>CI/CD</t>
        </is>
      </c>
      <c r="D396" s="445" t="inlineStr">
        <is>
          <t>Unified PR pipeline</t>
        </is>
      </c>
      <c r="E396" s="445" t="inlineStr">
        <is>
          <t>IR/policy -&gt; lint -&gt; static -&gt; tests -&gt; contract -&gt; affected builds -&gt; security -&gt; E2E/visual -&gt; AI review.</t>
        </is>
      </c>
      <c r="F396" s="445" t="inlineStr">
        <is>
          <t>P0</t>
        </is>
      </c>
      <c r="G396" s="445" t="n"/>
      <c r="H396" s="445" t="inlineStr">
        <is>
          <t>Not Started</t>
        </is>
      </c>
      <c r="I396" s="450" t="n">
        <v>0</v>
      </c>
      <c r="J396" s="445" t="inlineStr">
        <is>
          <t>Atomic cross-platform change set</t>
        </is>
      </c>
      <c r="K396" s="445" t="n"/>
      <c r="L396" s="445" t="n"/>
      <c r="M396" s="445" t="inlineStr">
        <is>
          <t>Real iOS compile uses macOS.</t>
        </is>
      </c>
    </row>
    <row r="397">
      <c r="A397" s="446" t="inlineStr">
        <is>
          <t>R-159</t>
        </is>
      </c>
      <c r="B397" s="446" t="inlineStr">
        <is>
          <t>MVP</t>
        </is>
      </c>
      <c r="C397" s="446" t="inlineStr">
        <is>
          <t>CI/CD</t>
        </is>
      </c>
      <c r="D397" s="446" t="inlineStr">
        <is>
          <t>Immutable build promotion</t>
        </is>
      </c>
      <c r="E397" s="446" t="inlineStr">
        <is>
          <t>Build artifact once after merge and promote through preview/staging/production instead of rebuilding per environment.</t>
        </is>
      </c>
      <c r="F397" s="446" t="inlineStr">
        <is>
          <t>P1</t>
        </is>
      </c>
      <c r="G397" s="446" t="n"/>
      <c r="H397" s="446" t="inlineStr">
        <is>
          <t>Not Started</t>
        </is>
      </c>
      <c r="I397" s="451" t="n">
        <v>0</v>
      </c>
      <c r="J397" s="446" t="inlineStr">
        <is>
          <t>Deployment Agent</t>
        </is>
      </c>
      <c r="K397" s="446" t="n"/>
      <c r="L397" s="446" t="n"/>
      <c r="M397" s="446" t="inlineStr">
        <is>
          <t>Reduces preview/production mismatch.</t>
        </is>
      </c>
    </row>
    <row r="398">
      <c r="A398" s="445" t="inlineStr">
        <is>
          <t>R-160</t>
        </is>
      </c>
      <c r="B398" s="445" t="inlineStr">
        <is>
          <t>MID</t>
        </is>
      </c>
      <c r="C398" s="445" t="inlineStr">
        <is>
          <t>Developer Experience</t>
        </is>
      </c>
      <c r="D398" s="445" t="inlineStr">
        <is>
          <t>Framework upgrade workflow</t>
        </is>
      </c>
      <c r="E398" s="445" t="inlineStr">
        <is>
          <t>Controlled template upgrade task with compatibility tests and ADR; agents cannot randomly switch state/DI/navigation/networking frameworks.</t>
        </is>
      </c>
      <c r="F398" s="445" t="inlineStr">
        <is>
          <t>P1</t>
        </is>
      </c>
      <c r="G398" s="445" t="n"/>
      <c r="H398" s="445" t="inlineStr">
        <is>
          <t>Not Started</t>
        </is>
      </c>
      <c r="I398" s="450" t="n">
        <v>0</v>
      </c>
      <c r="J398" s="445" t="inlineStr">
        <is>
          <t>Template manifest + maturity</t>
        </is>
      </c>
      <c r="K398" s="445" t="n"/>
      <c r="L398" s="445" t="n"/>
      <c r="M398" s="445" t="n"/>
    </row>
    <row r="399">
      <c r="A399" s="446" t="inlineStr">
        <is>
          <t>R-161</t>
        </is>
      </c>
      <c r="B399" s="446" t="inlineStr">
        <is>
          <t>MID</t>
        </is>
      </c>
      <c r="C399" s="446" t="inlineStr">
        <is>
          <t>Preview</t>
        </is>
      </c>
      <c r="D399" s="446" t="inlineStr">
        <is>
          <t>Local Mac Agent productized</t>
        </is>
      </c>
      <c r="E399" s="446" t="inlineStr">
        <is>
          <t>Optional signed Mac helper runs Xcode/simulator locally after explicit user permission; cloud Mac remains available.</t>
        </is>
      </c>
      <c r="F399" s="446" t="inlineStr">
        <is>
          <t>P1</t>
        </is>
      </c>
      <c r="G399" s="446" t="n"/>
      <c r="H399" s="446" t="inlineStr">
        <is>
          <t>Not Started</t>
        </is>
      </c>
      <c r="I399" s="451" t="n">
        <v>0</v>
      </c>
      <c r="J399" s="446" t="inlineStr">
        <is>
          <t>Local Mac Agent</t>
        </is>
      </c>
      <c r="K399" s="446" t="n"/>
      <c r="L399" s="446" t="n"/>
      <c r="M399" s="446" t="inlineStr">
        <is>
          <t>Reduces cloud Mac cost.</t>
        </is>
      </c>
    </row>
    <row r="400">
      <c r="A400" s="445" t="inlineStr">
        <is>
          <t>R-162</t>
        </is>
      </c>
      <c r="B400" s="445" t="inlineStr">
        <is>
          <t>MID</t>
        </is>
      </c>
      <c r="C400" s="445" t="inlineStr">
        <is>
          <t>Preview</t>
        </is>
      </c>
      <c r="D400" s="445" t="inlineStr">
        <is>
          <t>Interactive cloud simulator metering</t>
        </is>
      </c>
      <c r="E400" s="445" t="inlineStr">
        <is>
          <t>Cloud native iOS simulator sessions are explicit premium compute; browser preview stays included.</t>
        </is>
      </c>
      <c r="F400" s="445" t="inlineStr">
        <is>
          <t>P1</t>
        </is>
      </c>
      <c r="G400" s="445" t="n"/>
      <c r="H400" s="445" t="inlineStr">
        <is>
          <t>Not Started</t>
        </is>
      </c>
      <c r="I400" s="450" t="n">
        <v>0</v>
      </c>
      <c r="J400" s="445" t="inlineStr">
        <is>
          <t>Real iOS Simulator</t>
        </is>
      </c>
      <c r="K400" s="445" t="n"/>
      <c r="L400" s="445" t="n"/>
      <c r="M400" s="445" t="inlineStr">
        <is>
          <t>Separate verification build cost from interactive session cost.</t>
        </is>
      </c>
    </row>
    <row r="401">
      <c r="A401" s="446" t="inlineStr">
        <is>
          <t>R-163</t>
        </is>
      </c>
      <c r="B401" s="446" t="inlineStr">
        <is>
          <t>MID</t>
        </is>
      </c>
      <c r="C401" s="446" t="inlineStr">
        <is>
          <t>Framework Strategy</t>
        </is>
      </c>
      <c r="D401" s="446" t="inlineStr">
        <is>
          <t>Native module adapter path</t>
        </is>
      </c>
      <c r="E401" s="446" t="inlineStr">
        <is>
          <t>Before full migration, allow an approved small native module/plugin when one capability exceeds Flutter/RN limits.</t>
        </is>
      </c>
      <c r="F401" s="446" t="inlineStr">
        <is>
          <t>P1</t>
        </is>
      </c>
      <c r="G401" s="446" t="n"/>
      <c r="H401" s="446" t="inlineStr">
        <is>
          <t>Not Started</t>
        </is>
      </c>
      <c r="I401" s="451" t="n">
        <v>0</v>
      </c>
      <c r="J401" s="446" t="inlineStr">
        <is>
          <t>Framework adapter contract</t>
        </is>
      </c>
      <c r="K401" s="446" t="n"/>
      <c r="L401" s="446" t="n"/>
      <c r="M401" s="446" t="inlineStr">
        <is>
          <t>Measure before rewrite.</t>
        </is>
      </c>
    </row>
    <row r="402">
      <c r="A402" s="445" t="inlineStr">
        <is>
          <t>R-164</t>
        </is>
      </c>
      <c r="B402" s="445" t="inlineStr">
        <is>
          <t>MID</t>
        </is>
      </c>
      <c r="C402" s="445" t="inlineStr">
        <is>
          <t>Analytics</t>
        </is>
      </c>
      <c r="D402" s="445" t="inlineStr">
        <is>
          <t>Template/repo health dashboard</t>
        </is>
      </c>
      <c r="E402" s="445" t="inlineStr">
        <is>
          <t>Track template version, dependency drift, build duration, cache hit, repo size, module growth and native bridge count.</t>
        </is>
      </c>
      <c r="F402" s="445" t="inlineStr">
        <is>
          <t>P1</t>
        </is>
      </c>
      <c r="G402" s="445" t="n"/>
      <c r="H402" s="445" t="inlineStr">
        <is>
          <t>Not Started</t>
        </is>
      </c>
      <c r="I402" s="450" t="n">
        <v>0</v>
      </c>
      <c r="J402" s="445" t="inlineStr">
        <is>
          <t>Repository/build health metrics</t>
        </is>
      </c>
      <c r="K402" s="445" t="n"/>
      <c r="L402" s="445" t="n"/>
      <c r="M402" s="445" t="inlineStr">
        <is>
          <t>Use data to trigger architecture review.</t>
        </is>
      </c>
    </row>
    <row r="403">
      <c r="A403" s="482" t="inlineStr">
        <is>
          <t>R-165</t>
        </is>
      </c>
      <c r="B403" s="482" t="inlineStr">
        <is>
          <t>ADVANCED</t>
        </is>
      </c>
      <c r="C403" s="482" t="inlineStr">
        <is>
          <t>Migration</t>
        </is>
      </c>
      <c r="D403" s="482" t="inlineStr">
        <is>
          <t>Cross-platform to native migration engine</t>
        </is>
      </c>
      <c r="E403" s="482" t="inlineStr">
        <is>
          <t>Generate parallel native target from IR/contracts, parity-test it and migrate gradually when measured constraints justify.</t>
        </is>
      </c>
      <c r="F403" s="482" t="inlineStr">
        <is>
          <t>P1</t>
        </is>
      </c>
      <c r="G403" s="482" t="n"/>
      <c r="H403" s="482" t="inlineStr">
        <is>
          <t>Not Started</t>
        </is>
      </c>
      <c r="I403" s="483" t="n">
        <v>0</v>
      </c>
      <c r="J403" s="482" t="inlineStr">
        <is>
          <t>Native module adapter path</t>
        </is>
      </c>
      <c r="K403" s="482" t="n"/>
      <c r="L403" s="482" t="n"/>
      <c r="M403" s="482" t="inlineStr">
        <is>
          <t>Prevents framework lock-in.</t>
        </is>
      </c>
    </row>
    <row r="404">
      <c r="A404" s="482" t="inlineStr">
        <is>
          <t>R-166</t>
        </is>
      </c>
      <c r="B404" s="482" t="inlineStr">
        <is>
          <t>ADVANCED</t>
        </is>
      </c>
      <c r="C404" s="482" t="inlineStr">
        <is>
          <t>Git/Repository</t>
        </is>
      </c>
      <c r="D404" s="482" t="inlineStr">
        <is>
          <t>Cross-repo task coordinator</t>
        </is>
      </c>
      <c r="E404" s="482" t="inlineStr">
        <is>
          <t>For enterprise multi-repo, produce linked branches/PRs with shared task ID, contract version and merge ordering.</t>
        </is>
      </c>
      <c r="F404" s="482" t="inlineStr">
        <is>
          <t>P2</t>
        </is>
      </c>
      <c r="G404" s="482" t="n"/>
      <c r="H404" s="482" t="inlineStr">
        <is>
          <t>Not Started</t>
        </is>
      </c>
      <c r="I404" s="483" t="n">
        <v>0</v>
      </c>
      <c r="J404" s="482" t="inlineStr">
        <is>
          <t>Enterprise multi-repo support</t>
        </is>
      </c>
      <c r="K404" s="482" t="n"/>
      <c r="L404" s="482" t="n"/>
      <c r="M404" s="482" t="n"/>
    </row>
    <row r="405">
      <c r="A405" s="482" t="inlineStr">
        <is>
          <t>R-167</t>
        </is>
      </c>
      <c r="B405" s="482" t="inlineStr">
        <is>
          <t>ADVANCED</t>
        </is>
      </c>
      <c r="C405" s="482" t="inlineStr">
        <is>
          <t>Infrastructure</t>
        </is>
      </c>
      <c r="D405" s="482" t="inlineStr">
        <is>
          <t>BYOC / private runners</t>
        </is>
      </c>
      <c r="E405" s="482" t="inlineStr">
        <is>
          <t>Allow enterprise customers to execute builds/agents in approved customer cloud/VPC while platform keeps orchestration.</t>
        </is>
      </c>
      <c r="F405" s="482" t="inlineStr">
        <is>
          <t>P2</t>
        </is>
      </c>
      <c r="G405" s="482" t="n"/>
      <c r="H405" s="482" t="inlineStr">
        <is>
          <t>Not Started</t>
        </is>
      </c>
      <c r="I405" s="483" t="n">
        <v>0</v>
      </c>
      <c r="J405" s="482" t="inlineStr">
        <is>
          <t>Enterprise workload isolation</t>
        </is>
      </c>
      <c r="K405" s="482" t="n"/>
      <c r="L405" s="482" t="n"/>
      <c r="M405" s="482" t="n"/>
    </row>
    <row r="406">
      <c r="A406" s="482" t="inlineStr">
        <is>
          <t>R-168</t>
        </is>
      </c>
      <c r="B406" s="482" t="inlineStr">
        <is>
          <t>ADVANCED</t>
        </is>
      </c>
      <c r="C406" s="482" t="inlineStr">
        <is>
          <t>Testing</t>
        </is>
      </c>
      <c r="D406" s="482" t="inlineStr">
        <is>
          <t>Physical device cloud integration</t>
        </is>
      </c>
      <c r="E406" s="482" t="inlineStr">
        <is>
          <t>Run selected releases/tests on real iPhone/Android devices after emulator/simulator gates.</t>
        </is>
      </c>
      <c r="F406" s="482" t="inlineStr">
        <is>
          <t>P2</t>
        </is>
      </c>
      <c r="G406" s="482" t="n"/>
      <c r="H406" s="482" t="inlineStr">
        <is>
          <t>Not Started</t>
        </is>
      </c>
      <c r="I406" s="483" t="n">
        <v>0</v>
      </c>
      <c r="J406" s="482" t="inlineStr">
        <is>
          <t>Real iOS Simulator</t>
        </is>
      </c>
      <c r="K406" s="482" t="n"/>
      <c r="L406" s="482" t="n"/>
      <c r="M406" s="482" t="n"/>
    </row>
    <row r="407">
      <c r="A407" s="482" t="inlineStr">
        <is>
          <t>R-169</t>
        </is>
      </c>
      <c r="B407" s="482" t="inlineStr">
        <is>
          <t>PRODUCTION</t>
        </is>
      </c>
      <c r="C407" s="482" t="inlineStr">
        <is>
          <t>Templates</t>
        </is>
      </c>
      <c r="D407" s="482" t="inlineStr">
        <is>
          <t>Template support lifecycle</t>
        </is>
      </c>
      <c r="E407" s="482" t="inlineStr">
        <is>
          <t>Publish supported template versions, security patch policy, upgrade windows and deprecation/migration rules.</t>
        </is>
      </c>
      <c r="F407" s="482" t="inlineStr">
        <is>
          <t>P1</t>
        </is>
      </c>
      <c r="G407" s="482" t="n"/>
      <c r="H407" s="482" t="inlineStr">
        <is>
          <t>Not Started</t>
        </is>
      </c>
      <c r="I407" s="483" t="n">
        <v>0</v>
      </c>
      <c r="J407" s="482" t="inlineStr">
        <is>
          <t>Framework upgrade workflow</t>
        </is>
      </c>
      <c r="K407" s="482" t="n"/>
      <c r="L407" s="482" t="n"/>
      <c r="M407" s="482" t="n"/>
    </row>
    <row r="408">
      <c r="A408" s="482" t="inlineStr">
        <is>
          <t>R-170</t>
        </is>
      </c>
      <c r="B408" s="482" t="inlineStr">
        <is>
          <t>PRODUCTION</t>
        </is>
      </c>
      <c r="C408" s="482" t="inlineStr">
        <is>
          <t>Reliability</t>
        </is>
      </c>
      <c r="D408" s="482" t="inlineStr">
        <is>
          <t>Framework/toolchain production SLO</t>
        </is>
      </c>
      <c r="E408" s="482" t="inlineStr">
        <is>
          <t>Track build success and regression by Flutter/RN/Android/iOS/Web/backend template and block bad template releases.</t>
        </is>
      </c>
      <c r="F408" s="482" t="inlineStr">
        <is>
          <t>P0</t>
        </is>
      </c>
      <c r="G408" s="482" t="n"/>
      <c r="H408" s="482" t="inlineStr">
        <is>
          <t>Not Started</t>
        </is>
      </c>
      <c r="I408" s="483" t="n">
        <v>0</v>
      </c>
      <c r="J408" s="482" t="inlineStr">
        <is>
          <t>Template/repo health dashboard</t>
        </is>
      </c>
      <c r="K408" s="482" t="n"/>
      <c r="L408" s="482" t="n"/>
      <c r="M408" s="482" t="inlineStr">
        <is>
          <t>Production readiness is measured, not assumed.</t>
        </is>
      </c>
    </row>
    <row r="409">
      <c r="A409" s="482" t="inlineStr">
        <is>
          <t>R-171</t>
        </is>
      </c>
      <c r="B409" s="482" t="inlineStr">
        <is>
          <t>MVP</t>
        </is>
      </c>
      <c r="C409" s="482" t="inlineStr">
        <is>
          <t>Runtime</t>
        </is>
      </c>
      <c r="D409" s="482" t="inlineStr">
        <is>
          <t>SandboxProvider abstraction</t>
        </is>
      </c>
      <c r="E409" s="482" t="inlineStr">
        <is>
          <t>Define platform-owned execution interface for create/exec/files/ports/snapshot/artifacts/terminate.</t>
        </is>
      </c>
      <c r="F409" s="482" t="inlineStr">
        <is>
          <t>P0</t>
        </is>
      </c>
      <c r="G409" s="482" t="n"/>
      <c r="H409" s="482" t="inlineStr">
        <is>
          <t>Not Started</t>
        </is>
      </c>
      <c r="I409" s="483" t="n">
        <v>0</v>
      </c>
      <c r="J409" s="482" t="inlineStr">
        <is>
          <t>Ephemeral Linux sandbox</t>
        </is>
      </c>
      <c r="K409" s="482" t="n"/>
      <c r="L409" s="482" t="n"/>
      <c r="M409" s="482" t="inlineStr">
        <is>
          <t>No agent-to-vendor SDK coupling.</t>
        </is>
      </c>
    </row>
    <row r="410">
      <c r="A410" s="482" t="inlineStr">
        <is>
          <t>R-172</t>
        </is>
      </c>
      <c r="B410" s="482" t="inlineStr">
        <is>
          <t>MVP</t>
        </is>
      </c>
      <c r="C410" s="482" t="inlineStr">
        <is>
          <t>Runtime</t>
        </is>
      </c>
      <c r="D410" s="482" t="inlineStr">
        <is>
          <t>Managed Linux sandbox adapter</t>
        </is>
      </c>
      <c r="E410" s="482" t="inlineStr">
        <is>
          <t>Implement first real Linux sandbox provider behind SandboxProvider.</t>
        </is>
      </c>
      <c r="F410" s="482" t="inlineStr">
        <is>
          <t>P0</t>
        </is>
      </c>
      <c r="G410" s="482" t="n"/>
      <c r="H410" s="482" t="inlineStr">
        <is>
          <t>Not Started</t>
        </is>
      </c>
      <c r="I410" s="483" t="n">
        <v>0</v>
      </c>
      <c r="J410" s="482" t="inlineStr">
        <is>
          <t>SandboxProvider abstraction</t>
        </is>
      </c>
      <c r="K410" s="482" t="n"/>
      <c r="L410" s="482" t="n"/>
      <c r="M410" s="482" t="inlineStr">
        <is>
          <t>Benchmark E2B/Daytona/equivalent.</t>
        </is>
      </c>
    </row>
    <row r="411">
      <c r="A411" s="482" t="inlineStr">
        <is>
          <t>R-173</t>
        </is>
      </c>
      <c r="B411" s="482" t="inlineStr">
        <is>
          <t>MVP</t>
        </is>
      </c>
      <c r="C411" s="482" t="inlineStr">
        <is>
          <t>Runtime</t>
        </is>
      </c>
      <c r="D411" s="482" t="inlineStr">
        <is>
          <t>Capability resolver</t>
        </is>
      </c>
      <c r="E411" s="482" t="inlineStr">
        <is>
          <t>Choose Browser/Linux/macOS/local runtime from task capability, trust and cost.</t>
        </is>
      </c>
      <c r="F411" s="482" t="inlineStr">
        <is>
          <t>P0</t>
        </is>
      </c>
      <c r="G411" s="482" t="n"/>
      <c r="H411" s="482" t="inlineStr">
        <is>
          <t>Not Started</t>
        </is>
      </c>
      <c r="I411" s="483" t="n">
        <v>0</v>
      </c>
      <c r="J411" s="482" t="inlineStr">
        <is>
          <t>SandboxProvider abstraction</t>
        </is>
      </c>
      <c r="K411" s="482" t="n"/>
      <c r="L411" s="482" t="n"/>
      <c r="M411" s="482" t="inlineStr">
        <is>
          <t>Cheapest safe runtime wins.</t>
        </is>
      </c>
    </row>
    <row r="412">
      <c r="A412" s="482" t="inlineStr">
        <is>
          <t>R-174</t>
        </is>
      </c>
      <c r="B412" s="482" t="inlineStr">
        <is>
          <t>MVP</t>
        </is>
      </c>
      <c r="C412" s="482" t="inlineStr">
        <is>
          <t>Runtime</t>
        </is>
      </c>
      <c r="D412" s="482" t="inlineStr">
        <is>
          <t>Browser runtime PoC</t>
        </is>
      </c>
      <c r="E412" s="482" t="inlineStr">
        <is>
          <t>Use WebContainer/WASM-style runtime only for eligible JS/TS/Node preview/tasks.</t>
        </is>
      </c>
      <c r="F412" s="482" t="inlineStr">
        <is>
          <t>P1</t>
        </is>
      </c>
      <c r="G412" s="482" t="n"/>
      <c r="H412" s="482" t="inlineStr">
        <is>
          <t>Not Started</t>
        </is>
      </c>
      <c r="I412" s="483" t="n">
        <v>0</v>
      </c>
      <c r="J412" s="482" t="inlineStr">
        <is>
          <t>Capability resolver</t>
        </is>
      </c>
      <c r="K412" s="482" t="n"/>
      <c r="L412" s="482" t="n"/>
      <c r="M412" s="482" t="inlineStr">
        <is>
          <t>Not universal sandbox.</t>
        </is>
      </c>
    </row>
    <row r="413">
      <c r="A413" s="482" t="inlineStr">
        <is>
          <t>R-175</t>
        </is>
      </c>
      <c r="B413" s="482" t="inlineStr">
        <is>
          <t>MVP</t>
        </is>
      </c>
      <c r="C413" s="482" t="inlineStr">
        <is>
          <t>Runtime</t>
        </is>
      </c>
      <c r="D413" s="482" t="inlineStr">
        <is>
          <t>Runtime quotas and metering</t>
        </is>
      </c>
      <c r="E413" s="482" t="inlineStr">
        <is>
          <t>CPU/RAM/disk/network/time/cost limits per workspace and task.</t>
        </is>
      </c>
      <c r="F413" s="482" t="inlineStr">
        <is>
          <t>P0</t>
        </is>
      </c>
      <c r="G413" s="482" t="n"/>
      <c r="H413" s="482" t="inlineStr">
        <is>
          <t>Not Started</t>
        </is>
      </c>
      <c r="I413" s="483" t="n">
        <v>0</v>
      </c>
      <c r="J413" s="482" t="inlineStr">
        <is>
          <t>Managed Linux sandbox adapter</t>
        </is>
      </c>
      <c r="K413" s="482" t="n"/>
      <c r="L413" s="482" t="n"/>
      <c r="M413" s="482" t="inlineStr">
        <is>
          <t>Required for cost and abuse control.</t>
        </is>
      </c>
    </row>
    <row r="414">
      <c r="A414" s="482" t="inlineStr">
        <is>
          <t>R-176</t>
        </is>
      </c>
      <c r="B414" s="482" t="inlineStr">
        <is>
          <t>MVP</t>
        </is>
      </c>
      <c r="C414" s="482" t="inlineStr">
        <is>
          <t>Agents</t>
        </is>
      </c>
      <c r="D414" s="482" t="inlineStr">
        <is>
          <t>Durable run state machine</t>
        </is>
      </c>
      <c r="E414" s="482" t="inlineStr">
        <is>
          <t>Persist task lifecycle from CREATED through planning/execution/verification/merge/deploy.</t>
        </is>
      </c>
      <c r="F414" s="482" t="inlineStr">
        <is>
          <t>P0</t>
        </is>
      </c>
      <c r="G414" s="482" t="n"/>
      <c r="H414" s="482" t="inlineStr">
        <is>
          <t>Not Started</t>
        </is>
      </c>
      <c r="I414" s="483" t="n">
        <v>0</v>
      </c>
      <c r="J414" s="482" t="inlineStr">
        <is>
          <t>Supervisor / orchestrator</t>
        </is>
      </c>
      <c r="K414" s="482" t="n"/>
      <c r="L414" s="482" t="n"/>
      <c r="M414" s="482" t="inlineStr">
        <is>
          <t>Platform-owned state schema.</t>
        </is>
      </c>
    </row>
    <row r="415">
      <c r="A415" s="482" t="inlineStr">
        <is>
          <t>R-177</t>
        </is>
      </c>
      <c r="B415" s="482" t="inlineStr">
        <is>
          <t>MVP</t>
        </is>
      </c>
      <c r="C415" s="482" t="inlineStr">
        <is>
          <t>Agents</t>
        </is>
      </c>
      <c r="D415" s="482" t="inlineStr">
        <is>
          <t>Checkpoint and resume</t>
        </is>
      </c>
      <c r="E415" s="482" t="inlineStr">
        <is>
          <t>Resume long tasks from last verified checkpoint after refresh/crash/provider failure.</t>
        </is>
      </c>
      <c r="F415" s="482" t="inlineStr">
        <is>
          <t>P0</t>
        </is>
      </c>
      <c r="G415" s="482" t="n"/>
      <c r="H415" s="482" t="inlineStr">
        <is>
          <t>Not Started</t>
        </is>
      </c>
      <c r="I415" s="483" t="n">
        <v>0</v>
      </c>
      <c r="J415" s="482" t="inlineStr">
        <is>
          <t>Durable run state machine</t>
        </is>
      </c>
      <c r="K415" s="482" t="n"/>
      <c r="L415" s="482" t="n"/>
      <c r="M415" s="482" t="inlineStr">
        <is>
          <t>No full restart by default.</t>
        </is>
      </c>
    </row>
    <row r="416">
      <c r="A416" s="482" t="inlineStr">
        <is>
          <t>R-178</t>
        </is>
      </c>
      <c r="B416" s="482" t="inlineStr">
        <is>
          <t>MVP</t>
        </is>
      </c>
      <c r="C416" s="482" t="inlineStr">
        <is>
          <t>Agents</t>
        </is>
      </c>
      <c r="D416" s="482" t="inlineStr">
        <is>
          <t>Tool idempotency keys</t>
        </is>
      </c>
      <c r="E416" s="482" t="inlineStr">
        <is>
          <t>Every side-effecting tool step carries run/task/step IDs and idempotency key.</t>
        </is>
      </c>
      <c r="F416" s="482" t="inlineStr">
        <is>
          <t>P0</t>
        </is>
      </c>
      <c r="G416" s="482" t="n"/>
      <c r="H416" s="482" t="inlineStr">
        <is>
          <t>Not Started</t>
        </is>
      </c>
      <c r="I416" s="483" t="n">
        <v>0</v>
      </c>
      <c r="J416" s="482" t="inlineStr">
        <is>
          <t>Checkpoint and resume</t>
        </is>
      </c>
      <c r="K416" s="482" t="n"/>
      <c r="L416" s="482" t="n"/>
      <c r="M416" s="482" t="inlineStr">
        <is>
          <t>Prevent duplicate side effects.</t>
        </is>
      </c>
    </row>
    <row r="417">
      <c r="A417" s="482" t="inlineStr">
        <is>
          <t>R-179</t>
        </is>
      </c>
      <c r="B417" s="482" t="inlineStr">
        <is>
          <t>MVP</t>
        </is>
      </c>
      <c r="C417" s="482" t="inlineStr">
        <is>
          <t>Observability</t>
        </is>
      </c>
      <c r="D417" s="482" t="inlineStr">
        <is>
          <t>Agent event ledger</t>
        </is>
      </c>
      <c r="E417" s="482" t="inlineStr">
        <is>
          <t>Persist ordered agent/tool/build/test/approval events; large artifacts in object storage.</t>
        </is>
      </c>
      <c r="F417" s="482" t="inlineStr">
        <is>
          <t>P0</t>
        </is>
      </c>
      <c r="G417" s="482" t="n"/>
      <c r="H417" s="482" t="inlineStr">
        <is>
          <t>Not Started</t>
        </is>
      </c>
      <c r="I417" s="483" t="n">
        <v>0</v>
      </c>
      <c r="J417" s="482" t="inlineStr">
        <is>
          <t>Durable run state machine</t>
        </is>
      </c>
      <c r="K417" s="482" t="n"/>
      <c r="L417" s="482" t="n"/>
      <c r="M417" s="482" t="inlineStr">
        <is>
          <t>Supports replay, audit and debugging.</t>
        </is>
      </c>
    </row>
    <row r="418">
      <c r="A418" s="482" t="inlineStr">
        <is>
          <t>R-180</t>
        </is>
      </c>
      <c r="B418" s="482" t="inlineStr">
        <is>
          <t>MVP</t>
        </is>
      </c>
      <c r="C418" s="482" t="inlineStr">
        <is>
          <t>Agents</t>
        </is>
      </c>
      <c r="D418" s="482" t="inlineStr">
        <is>
          <t>Orchestrator Adapter</t>
        </is>
      </c>
      <c r="E418" s="482" t="inlineStr">
        <is>
          <t>Hide LangGraph/CrewAI/other orchestration frameworks behind platform-owned interface.</t>
        </is>
      </c>
      <c r="F418" s="482" t="inlineStr">
        <is>
          <t>P0</t>
        </is>
      </c>
      <c r="G418" s="482" t="n"/>
      <c r="H418" s="482" t="inlineStr">
        <is>
          <t>Not Started</t>
        </is>
      </c>
      <c r="I418" s="483" t="n">
        <v>0</v>
      </c>
      <c r="J418" s="482" t="inlineStr">
        <is>
          <t>Durable run state machine</t>
        </is>
      </c>
      <c r="K418" s="482" t="n"/>
      <c r="L418" s="482" t="n"/>
      <c r="M418" s="482" t="inlineStr">
        <is>
          <t>LangGraph may be first implementation.</t>
        </is>
      </c>
    </row>
    <row r="419">
      <c r="A419" s="482" t="inlineStr">
        <is>
          <t>R-181</t>
        </is>
      </c>
      <c r="B419" s="482" t="inlineStr">
        <is>
          <t>MVP</t>
        </is>
      </c>
      <c r="C419" s="482" t="inlineStr">
        <is>
          <t>Realtime</t>
        </is>
      </c>
      <c r="D419" s="482" t="inlineStr">
        <is>
          <t>Platform event protocol</t>
        </is>
      </c>
      <c r="E419" s="482" t="inlineStr">
        <is>
          <t>Normalize agent/model/tool progress into a stable event envelope.</t>
        </is>
      </c>
      <c r="F419" s="482" t="inlineStr">
        <is>
          <t>P0</t>
        </is>
      </c>
      <c r="G419" s="482" t="n"/>
      <c r="H419" s="482" t="inlineStr">
        <is>
          <t>Not Started</t>
        </is>
      </c>
      <c r="I419" s="483" t="n">
        <v>0</v>
      </c>
      <c r="J419" s="482" t="inlineStr">
        <is>
          <t>Agent event ledger</t>
        </is>
      </c>
      <c r="K419" s="482" t="n"/>
      <c r="L419" s="482" t="n"/>
      <c r="M419" s="482" t="inlineStr">
        <is>
          <t>Frontend never parses provider-specific streams.</t>
        </is>
      </c>
    </row>
    <row r="420">
      <c r="A420" s="482" t="inlineStr">
        <is>
          <t>R-182</t>
        </is>
      </c>
      <c r="B420" s="482" t="inlineStr">
        <is>
          <t>MVP</t>
        </is>
      </c>
      <c r="C420" s="482" t="inlineStr">
        <is>
          <t>Realtime</t>
        </is>
      </c>
      <c r="D420" s="482" t="inlineStr">
        <is>
          <t>WebSocket reconnect and replay</t>
        </is>
      </c>
      <c r="E420" s="482" t="inlineStr">
        <is>
          <t>Bidirectional agent sessions with sequence replay after reconnect.</t>
        </is>
      </c>
      <c r="F420" s="482" t="inlineStr">
        <is>
          <t>P0</t>
        </is>
      </c>
      <c r="G420" s="482" t="n"/>
      <c r="H420" s="482" t="inlineStr">
        <is>
          <t>Not Started</t>
        </is>
      </c>
      <c r="I420" s="483" t="n">
        <v>0</v>
      </c>
      <c r="J420" s="482" t="inlineStr">
        <is>
          <t>Platform event protocol</t>
        </is>
      </c>
      <c r="K420" s="482" t="n"/>
      <c r="L420" s="482" t="n"/>
      <c r="M420" s="482" t="inlineStr">
        <is>
          <t>SSE allowed for simple one-way streams.</t>
        </is>
      </c>
    </row>
    <row r="421">
      <c r="A421" s="482" t="inlineStr">
        <is>
          <t>R-183</t>
        </is>
      </c>
      <c r="B421" s="482" t="inlineStr">
        <is>
          <t>MVP</t>
        </is>
      </c>
      <c r="C421" s="482" t="inlineStr">
        <is>
          <t>Approvals</t>
        </is>
      </c>
      <c r="D421" s="482" t="inlineStr">
        <is>
          <t>Risk classification L0-L4</t>
        </is>
      </c>
      <c r="E421" s="482" t="inlineStr">
        <is>
          <t>Classify actions from read-only to critical enterprise side effects.</t>
        </is>
      </c>
      <c r="F421" s="482" t="inlineStr">
        <is>
          <t>P0</t>
        </is>
      </c>
      <c r="G421" s="482" t="n"/>
      <c r="H421" s="482" t="inlineStr">
        <is>
          <t>Not Started</t>
        </is>
      </c>
      <c r="I421" s="483" t="n">
        <v>0</v>
      </c>
      <c r="J421" s="482" t="inlineStr">
        <is>
          <t>Agent permission model</t>
        </is>
      </c>
      <c r="K421" s="482" t="n"/>
      <c r="L421" s="482" t="n"/>
      <c r="M421" s="482" t="inlineStr">
        <is>
          <t>Approval based on risk.</t>
        </is>
      </c>
    </row>
    <row r="422">
      <c r="A422" s="482" t="inlineStr">
        <is>
          <t>R-184</t>
        </is>
      </c>
      <c r="B422" s="482" t="inlineStr">
        <is>
          <t>MVP</t>
        </is>
      </c>
      <c r="C422" s="482" t="inlineStr">
        <is>
          <t>Approvals</t>
        </is>
      </c>
      <c r="D422" s="482" t="inlineStr">
        <is>
          <t>Approval object and immutable audit</t>
        </is>
      </c>
      <c r="E422" s="482" t="inlineStr">
        <is>
          <t>Store action, risk, environment, scope, cost, rollback, approver and expiry.</t>
        </is>
      </c>
      <c r="F422" s="482" t="inlineStr">
        <is>
          <t>P0</t>
        </is>
      </c>
      <c r="G422" s="482" t="n"/>
      <c r="H422" s="482" t="inlineStr">
        <is>
          <t>Not Started</t>
        </is>
      </c>
      <c r="I422" s="483" t="n">
        <v>0</v>
      </c>
      <c r="J422" s="482" t="inlineStr">
        <is>
          <t>Risk classification L0-L4</t>
        </is>
      </c>
      <c r="K422" s="482" t="n"/>
      <c r="L422" s="482" t="n"/>
      <c r="M422" s="482" t="inlineStr">
        <is>
          <t>Production/destructive actions auditable.</t>
        </is>
      </c>
    </row>
    <row r="423">
      <c r="A423" s="482" t="inlineStr">
        <is>
          <t>R-185</t>
        </is>
      </c>
      <c r="B423" s="482" t="inlineStr">
        <is>
          <t>MVP</t>
        </is>
      </c>
      <c r="C423" s="482" t="inlineStr">
        <is>
          <t>Tools</t>
        </is>
      </c>
      <c r="D423" s="482" t="inlineStr">
        <is>
          <t>First-party Tool Registry</t>
        </is>
      </c>
      <c r="E423" s="482" t="inlineStr">
        <is>
          <t>Central registry for tool identity, schema, permissions, risk, secrets, limits and audit.</t>
        </is>
      </c>
      <c r="F423" s="482" t="inlineStr">
        <is>
          <t>P0</t>
        </is>
      </c>
      <c r="G423" s="482" t="n"/>
      <c r="H423" s="482" t="inlineStr">
        <is>
          <t>Not Started</t>
        </is>
      </c>
      <c r="I423" s="483" t="n">
        <v>0</v>
      </c>
      <c r="J423" s="482" t="inlineStr">
        <is>
          <t>Agent permission model</t>
        </is>
      </c>
      <c r="K423" s="482" t="n"/>
      <c r="L423" s="482" t="n"/>
      <c r="M423" s="482" t="inlineStr">
        <is>
          <t>Deny by default.</t>
        </is>
      </c>
    </row>
    <row r="424">
      <c r="A424" s="482" t="inlineStr">
        <is>
          <t>R-186</t>
        </is>
      </c>
      <c r="B424" s="482" t="inlineStr">
        <is>
          <t>MVP</t>
        </is>
      </c>
      <c r="C424" s="482" t="inlineStr">
        <is>
          <t>Tools</t>
        </is>
      </c>
      <c r="D424" s="482" t="inlineStr">
        <is>
          <t>MCP Gateway foundation</t>
        </is>
      </c>
      <c r="E424" s="482" t="inlineStr">
        <is>
          <t>All MCP traffic passes through Tool Registry/policy; unverified servers disabled by default.</t>
        </is>
      </c>
      <c r="F424" s="482" t="inlineStr">
        <is>
          <t>P1</t>
        </is>
      </c>
      <c r="G424" s="482" t="n"/>
      <c r="H424" s="482" t="inlineStr">
        <is>
          <t>Not Started</t>
        </is>
      </c>
      <c r="I424" s="483" t="n">
        <v>0</v>
      </c>
      <c r="J424" s="482" t="inlineStr">
        <is>
          <t>First-party Tool Registry</t>
        </is>
      </c>
      <c r="K424" s="482" t="n"/>
      <c r="L424" s="482" t="n"/>
      <c r="M424" s="482" t="inlineStr">
        <is>
          <t>No arbitrary agent-to-MCP connections.</t>
        </is>
      </c>
    </row>
    <row r="425">
      <c r="A425" s="482" t="inlineStr">
        <is>
          <t>R-187</t>
        </is>
      </c>
      <c r="B425" s="482" t="inlineStr">
        <is>
          <t>MVP</t>
        </is>
      </c>
      <c r="C425" s="482" t="inlineStr">
        <is>
          <t>Tools</t>
        </is>
      </c>
      <c r="D425" s="482" t="inlineStr">
        <is>
          <t>Tool secret broker</t>
        </is>
      </c>
      <c r="E425" s="482" t="inlineStr">
        <is>
          <t>Provide short-lived scoped credentials to tools without placing raw secrets in prompts.</t>
        </is>
      </c>
      <c r="F425" s="482" t="inlineStr">
        <is>
          <t>P0</t>
        </is>
      </c>
      <c r="G425" s="482" t="n"/>
      <c r="H425" s="482" t="inlineStr">
        <is>
          <t>Not Started</t>
        </is>
      </c>
      <c r="I425" s="483" t="n">
        <v>0</v>
      </c>
      <c r="J425" s="482" t="inlineStr">
        <is>
          <t>First-party Tool Registry</t>
        </is>
      </c>
      <c r="K425" s="482" t="n"/>
      <c r="L425" s="482" t="n"/>
      <c r="M425" s="482" t="inlineStr">
        <is>
          <t>Audit every secret grant.</t>
        </is>
      </c>
    </row>
    <row r="426">
      <c r="A426" s="482" t="inlineStr">
        <is>
          <t>R-188</t>
        </is>
      </c>
      <c r="B426" s="482" t="inlineStr">
        <is>
          <t>MVP</t>
        </is>
      </c>
      <c r="C426" s="482" t="inlineStr">
        <is>
          <t>Backend Strategy</t>
        </is>
      </c>
      <c r="D426" s="482" t="inlineStr">
        <is>
          <t>Rapid BaaS profile design</t>
        </is>
      </c>
      <c r="E426" s="482" t="inlineStr">
        <is>
          <t>Define optional Supabase/Firebase-style generated backend for suitable small/medium apps.</t>
        </is>
      </c>
      <c r="F426" s="482" t="inlineStr">
        <is>
          <t>P1</t>
        </is>
      </c>
      <c r="G426" s="482" t="n"/>
      <c r="H426" s="482" t="inlineStr">
        <is>
          <t>Not Started</t>
        </is>
      </c>
      <c r="I426" s="483" t="n">
        <v>0</v>
      </c>
      <c r="J426" s="482" t="inlineStr">
        <is>
          <t>Application IR v1</t>
        </is>
      </c>
      <c r="K426" s="482" t="n"/>
      <c r="L426" s="482" t="n"/>
      <c r="M426" s="482" t="inlineStr">
        <is>
          <t>Not platform core.</t>
        </is>
      </c>
    </row>
    <row r="427">
      <c r="A427" s="482" t="inlineStr">
        <is>
          <t>R-189</t>
        </is>
      </c>
      <c r="B427" s="482" t="inlineStr">
        <is>
          <t>MVP</t>
        </is>
      </c>
      <c r="C427" s="482" t="inlineStr">
        <is>
          <t>Architecture</t>
        </is>
      </c>
      <c r="D427" s="482" t="inlineStr">
        <is>
          <t>Build-vs-Buy benchmark process</t>
        </is>
      </c>
      <c r="E427" s="482" t="inlineStr">
        <is>
          <t>Benchmark major providers/frameworks before adoption and record evidence in ADR.</t>
        </is>
      </c>
      <c r="F427" s="482" t="inlineStr">
        <is>
          <t>P0</t>
        </is>
      </c>
      <c r="G427" s="482" t="n"/>
      <c r="H427" s="482" t="inlineStr">
        <is>
          <t>Not Started</t>
        </is>
      </c>
      <c r="I427" s="483" t="n">
        <v>0</v>
      </c>
      <c r="J427" s="482" t="inlineStr">
        <is>
          <t>Architecture decision records</t>
        </is>
      </c>
      <c r="K427" s="482" t="n"/>
      <c r="L427" s="482" t="n"/>
      <c r="M427" s="482" t="inlineStr">
        <is>
          <t>References inform; benchmarks decide.</t>
        </is>
      </c>
    </row>
    <row r="428">
      <c r="A428" s="482" t="inlineStr">
        <is>
          <t>R-190</t>
        </is>
      </c>
      <c r="B428" s="482" t="inlineStr">
        <is>
          <t>MVP</t>
        </is>
      </c>
      <c r="C428" s="482" t="inlineStr">
        <is>
          <t>Governance</t>
        </is>
      </c>
      <c r="D428" s="482" t="inlineStr">
        <is>
          <t>Open-source license review</t>
        </is>
      </c>
      <c r="E428" s="482" t="inlineStr">
        <is>
          <t>Track repo/commit/license before reuse; require legal approval for source reuse.</t>
        </is>
      </c>
      <c r="F428" s="482" t="inlineStr">
        <is>
          <t>P0</t>
        </is>
      </c>
      <c r="G428" s="482" t="n"/>
      <c r="H428" s="482" t="inlineStr">
        <is>
          <t>Not Started</t>
        </is>
      </c>
      <c r="I428" s="483" t="n">
        <v>0</v>
      </c>
      <c r="J428" s="482" t="inlineStr">
        <is>
          <t>Build-vs-Buy benchmark process</t>
        </is>
      </c>
      <c r="K428" s="482" t="n"/>
      <c r="L428" s="482" t="n"/>
      <c r="M428" s="482" t="inlineStr">
        <is>
          <t>Architectural learning != code copying.</t>
        </is>
      </c>
    </row>
    <row r="429">
      <c r="A429" s="482" t="inlineStr">
        <is>
          <t>R-191</t>
        </is>
      </c>
      <c r="B429" s="482" t="inlineStr">
        <is>
          <t>MVP</t>
        </is>
      </c>
      <c r="C429" s="482" t="inlineStr">
        <is>
          <t>Team</t>
        </is>
      </c>
      <c r="D429" s="482" t="inlineStr">
        <is>
          <t>Shared engineering glossary</t>
        </is>
      </c>
      <c r="E429" s="482" t="inlineStr">
        <is>
          <t>Publish common definitions for agent/tool/sandbox/MCP/HITL/checkpoint/BYOC/BaaS/ADR.</t>
        </is>
      </c>
      <c r="F429" s="482" t="inlineStr">
        <is>
          <t>P2</t>
        </is>
      </c>
      <c r="G429" s="482" t="n"/>
      <c r="H429" s="482" t="inlineStr">
        <is>
          <t>Not Started</t>
        </is>
      </c>
      <c r="I429" s="483" t="n">
        <v>0</v>
      </c>
      <c r="J429" s="482" t="n"/>
      <c r="K429" s="482" t="n"/>
      <c r="L429" s="482" t="n"/>
      <c r="M429" s="482" t="inlineStr">
        <is>
          <t>Use in docs and AI prompts.</t>
        </is>
      </c>
    </row>
    <row r="430">
      <c r="A430" s="482" t="inlineStr">
        <is>
          <t>R-192</t>
        </is>
      </c>
      <c r="B430" s="482" t="inlineStr">
        <is>
          <t>MID</t>
        </is>
      </c>
      <c r="C430" s="482" t="inlineStr">
        <is>
          <t>Tools</t>
        </is>
      </c>
      <c r="D430" s="482" t="inlineStr">
        <is>
          <t>Verified MCP install flow</t>
        </is>
      </c>
      <c r="E430" s="482" t="inlineStr">
        <is>
          <t>Install verified third-party MCP servers with consent, version identity and scopes.</t>
        </is>
      </c>
      <c r="F430" s="482" t="inlineStr">
        <is>
          <t>P1</t>
        </is>
      </c>
      <c r="G430" s="482" t="n"/>
      <c r="H430" s="482" t="inlineStr">
        <is>
          <t>Not Started</t>
        </is>
      </c>
      <c r="I430" s="483" t="n">
        <v>0</v>
      </c>
      <c r="J430" s="482" t="inlineStr">
        <is>
          <t>MCP Gateway foundation</t>
        </is>
      </c>
      <c r="K430" s="482" t="n"/>
      <c r="L430" s="482" t="n"/>
      <c r="M430" s="482" t="inlineStr">
        <is>
          <t>Marketplace later.</t>
        </is>
      </c>
    </row>
    <row r="431">
      <c r="A431" s="482" t="inlineStr">
        <is>
          <t>R-193</t>
        </is>
      </c>
      <c r="B431" s="482" t="inlineStr">
        <is>
          <t>MID</t>
        </is>
      </c>
      <c r="C431" s="482" t="inlineStr">
        <is>
          <t>Execution</t>
        </is>
      </c>
      <c r="D431" s="482" t="inlineStr">
        <is>
          <t>Cross-platform Local Agent</t>
        </is>
      </c>
      <c r="E431" s="482" t="inlineStr">
        <is>
          <t>Signed local agent for Mac/Windows/Linux with explicit workspace grants.</t>
        </is>
      </c>
      <c r="F431" s="482" t="inlineStr">
        <is>
          <t>P1</t>
        </is>
      </c>
      <c r="G431" s="482" t="n"/>
      <c r="H431" s="482" t="inlineStr">
        <is>
          <t>Not Started</t>
        </is>
      </c>
      <c r="I431" s="483" t="n">
        <v>0</v>
      </c>
      <c r="J431" s="482" t="inlineStr">
        <is>
          <t>Local Mac Agent productized</t>
        </is>
      </c>
      <c r="K431" s="482" t="n"/>
      <c r="L431" s="482" t="n"/>
      <c r="M431" s="482" t="inlineStr">
        <is>
          <t>Extends local mode beyond Mac.</t>
        </is>
      </c>
    </row>
    <row r="432">
      <c r="A432" s="482" t="inlineStr">
        <is>
          <t>R-194</t>
        </is>
      </c>
      <c r="B432" s="482" t="inlineStr">
        <is>
          <t>MID</t>
        </is>
      </c>
      <c r="C432" s="482" t="inlineStr">
        <is>
          <t>Execution</t>
        </is>
      </c>
      <c r="D432" s="482" t="inlineStr">
        <is>
          <t>Hybrid BYOK/local mode</t>
        </is>
      </c>
      <c r="E432" s="482" t="inlineStr">
        <is>
          <t>Allow customer model key and selected local execution while preserving central policy.</t>
        </is>
      </c>
      <c r="F432" s="482" t="inlineStr">
        <is>
          <t>P1</t>
        </is>
      </c>
      <c r="G432" s="482" t="n"/>
      <c r="H432" s="482" t="inlineStr">
        <is>
          <t>Not Started</t>
        </is>
      </c>
      <c r="I432" s="483" t="n">
        <v>0</v>
      </c>
      <c r="J432" s="482" t="inlineStr">
        <is>
          <t>Cross-platform Local Agent</t>
        </is>
      </c>
      <c r="K432" s="482" t="n"/>
      <c r="L432" s="482" t="n"/>
      <c r="M432" s="482" t="inlineStr">
        <is>
          <t>Privacy + cost option.</t>
        </is>
      </c>
    </row>
    <row r="433">
      <c r="A433" s="482" t="inlineStr">
        <is>
          <t>R-195</t>
        </is>
      </c>
      <c r="B433" s="482" t="inlineStr">
        <is>
          <t>MID</t>
        </is>
      </c>
      <c r="C433" s="482" t="inlineStr">
        <is>
          <t>Runtime</t>
        </is>
      </c>
      <c r="D433" s="482" t="inlineStr">
        <is>
          <t>Second sandbox provider adapter</t>
        </is>
      </c>
      <c r="E433" s="482" t="inlineStr">
        <is>
          <t>Add alternate managed sandbox and provider health abstraction.</t>
        </is>
      </c>
      <c r="F433" s="482" t="inlineStr">
        <is>
          <t>P1</t>
        </is>
      </c>
      <c r="G433" s="482" t="n"/>
      <c r="H433" s="482" t="inlineStr">
        <is>
          <t>Not Started</t>
        </is>
      </c>
      <c r="I433" s="483" t="n">
        <v>0</v>
      </c>
      <c r="J433" s="482" t="inlineStr">
        <is>
          <t>Managed Linux sandbox adapter</t>
        </is>
      </c>
      <c r="K433" s="482" t="n"/>
      <c r="L433" s="482" t="n"/>
      <c r="M433" s="482" t="inlineStr">
        <is>
          <t>Validate portability/failover.</t>
        </is>
      </c>
    </row>
    <row r="434">
      <c r="A434" s="482" t="inlineStr">
        <is>
          <t>R-196</t>
        </is>
      </c>
      <c r="B434" s="482" t="inlineStr">
        <is>
          <t>MID</t>
        </is>
      </c>
      <c r="C434" s="482" t="inlineStr">
        <is>
          <t>Runtime</t>
        </is>
      </c>
      <c r="D434" s="482" t="inlineStr">
        <is>
          <t>Sandbox snapshots and warm pools</t>
        </is>
      </c>
      <c r="E434" s="482" t="inlineStr">
        <is>
          <t>Use snapshots/prewarming where metrics prove latency/cost benefit.</t>
        </is>
      </c>
      <c r="F434" s="482" t="inlineStr">
        <is>
          <t>P2</t>
        </is>
      </c>
      <c r="G434" s="482" t="n"/>
      <c r="H434" s="482" t="inlineStr">
        <is>
          <t>Not Started</t>
        </is>
      </c>
      <c r="I434" s="483" t="n">
        <v>0</v>
      </c>
      <c r="J434" s="482" t="inlineStr">
        <is>
          <t>Second sandbox provider adapter</t>
        </is>
      </c>
      <c r="K434" s="482" t="n"/>
      <c r="L434" s="482" t="n"/>
      <c r="M434" s="482" t="inlineStr">
        <is>
          <t>Do not optimize blindly.</t>
        </is>
      </c>
    </row>
    <row r="435">
      <c r="A435" s="482" t="inlineStr">
        <is>
          <t>R-197</t>
        </is>
      </c>
      <c r="B435" s="482" t="inlineStr">
        <is>
          <t>MID</t>
        </is>
      </c>
      <c r="C435" s="482" t="inlineStr">
        <is>
          <t>Developer Experience</t>
        </is>
      </c>
      <c r="D435" s="482" t="inlineStr">
        <is>
          <t>Agent time-travel debugging</t>
        </is>
      </c>
      <c r="E435" s="482" t="inlineStr">
        <is>
          <t>Inspect checkpoints, event ledger, tool calls and recovery path for a run.</t>
        </is>
      </c>
      <c r="F435" s="482" t="inlineStr">
        <is>
          <t>P1</t>
        </is>
      </c>
      <c r="G435" s="482" t="n"/>
      <c r="H435" s="482" t="inlineStr">
        <is>
          <t>Not Started</t>
        </is>
      </c>
      <c r="I435" s="483" t="n">
        <v>0</v>
      </c>
      <c r="J435" s="482" t="inlineStr">
        <is>
          <t>Agent event ledger</t>
        </is>
      </c>
      <c r="K435" s="482" t="n"/>
      <c r="L435" s="482" t="n"/>
      <c r="M435" s="482" t="inlineStr">
        <is>
          <t>Operator and developer debugging.</t>
        </is>
      </c>
    </row>
    <row r="436">
      <c r="A436" s="482" t="inlineStr">
        <is>
          <t>R-198</t>
        </is>
      </c>
      <c r="B436" s="482" t="inlineStr">
        <is>
          <t>MID</t>
        </is>
      </c>
      <c r="C436" s="482" t="inlineStr">
        <is>
          <t>Tools</t>
        </is>
      </c>
      <c r="D436" s="482" t="inlineStr">
        <is>
          <t>Tool marketplace verification</t>
        </is>
      </c>
      <c r="E436" s="482" t="inlineStr">
        <is>
          <t>Security/license/schema/reliability review before external tool publication.</t>
        </is>
      </c>
      <c r="F436" s="482" t="inlineStr">
        <is>
          <t>P2</t>
        </is>
      </c>
      <c r="G436" s="482" t="n"/>
      <c r="H436" s="482" t="inlineStr">
        <is>
          <t>Not Started</t>
        </is>
      </c>
      <c r="I436" s="483" t="n">
        <v>0</v>
      </c>
      <c r="J436" s="482" t="inlineStr">
        <is>
          <t>Verified MCP install flow</t>
        </is>
      </c>
      <c r="K436" s="482" t="n"/>
      <c r="L436" s="482" t="n"/>
      <c r="M436" s="482" t="inlineStr">
        <is>
          <t>Verified badge is evidence-based.</t>
        </is>
      </c>
    </row>
    <row r="437">
      <c r="A437" s="482" t="inlineStr">
        <is>
          <t>R-199</t>
        </is>
      </c>
      <c r="B437" s="482" t="inlineStr">
        <is>
          <t>MID</t>
        </is>
      </c>
      <c r="C437" s="482" t="inlineStr">
        <is>
          <t>Routing</t>
        </is>
      </c>
      <c r="D437" s="482" t="inlineStr">
        <is>
          <t>Runtime provider cost-latency routing</t>
        </is>
      </c>
      <c r="E437" s="482" t="inlineStr">
        <is>
          <t>Route among eligible providers using health, latency, region and cost.</t>
        </is>
      </c>
      <c r="F437" s="482" t="inlineStr">
        <is>
          <t>P1</t>
        </is>
      </c>
      <c r="G437" s="482" t="n"/>
      <c r="H437" s="482" t="inlineStr">
        <is>
          <t>Not Started</t>
        </is>
      </c>
      <c r="I437" s="483" t="n">
        <v>0</v>
      </c>
      <c r="J437" s="482" t="inlineStr">
        <is>
          <t>Second sandbox provider adapter</t>
        </is>
      </c>
      <c r="K437" s="482" t="n"/>
      <c r="L437" s="482" t="n"/>
      <c r="M437" s="482" t="inlineStr">
        <is>
          <t>Policy can override cheapest route.</t>
        </is>
      </c>
    </row>
    <row r="438">
      <c r="A438" s="482" t="inlineStr">
        <is>
          <t>R-200</t>
        </is>
      </c>
      <c r="B438" s="482" t="inlineStr">
        <is>
          <t>MID</t>
        </is>
      </c>
      <c r="C438" s="482" t="inlineStr">
        <is>
          <t>Backend Strategy</t>
        </is>
      </c>
      <c r="D438" s="482" t="inlineStr">
        <is>
          <t>BaaS provider expansion</t>
        </is>
      </c>
      <c r="E438" s="482" t="inlineStr">
        <is>
          <t>Support second Rapid BaaS provider behind backend profile contract.</t>
        </is>
      </c>
      <c r="F438" s="482" t="inlineStr">
        <is>
          <t>P2</t>
        </is>
      </c>
      <c r="G438" s="482" t="n"/>
      <c r="H438" s="482" t="inlineStr">
        <is>
          <t>Not Started</t>
        </is>
      </c>
      <c r="I438" s="483" t="n">
        <v>0</v>
      </c>
      <c r="J438" s="482" t="inlineStr">
        <is>
          <t>Rapid BaaS profile design</t>
        </is>
      </c>
      <c r="K438" s="482" t="n"/>
      <c r="L438" s="482" t="n"/>
      <c r="M438" s="482" t="inlineStr">
        <is>
          <t>Keep portability via IR/contracts.</t>
        </is>
      </c>
    </row>
    <row r="439">
      <c r="A439" s="482" t="inlineStr">
        <is>
          <t>R-201</t>
        </is>
      </c>
      <c r="B439" s="482" t="inlineStr">
        <is>
          <t>ADVANCED</t>
        </is>
      </c>
      <c r="C439" s="482" t="inlineStr">
        <is>
          <t>Tools</t>
        </is>
      </c>
      <c r="D439" s="482" t="inlineStr">
        <is>
          <t>Customer private MCP servers</t>
        </is>
      </c>
      <c r="E439" s="482" t="inlineStr">
        <is>
          <t>Allow customer-owned MCP endpoints with private scopes and network policy.</t>
        </is>
      </c>
      <c r="F439" s="482" t="inlineStr">
        <is>
          <t>P2</t>
        </is>
      </c>
      <c r="G439" s="482" t="n"/>
      <c r="H439" s="482" t="inlineStr">
        <is>
          <t>Not Started</t>
        </is>
      </c>
      <c r="I439" s="483" t="n">
        <v>0</v>
      </c>
      <c r="J439" s="482" t="inlineStr">
        <is>
          <t>Verified MCP install flow</t>
        </is>
      </c>
      <c r="K439" s="482" t="n"/>
      <c r="L439" s="482" t="n"/>
      <c r="M439" s="482" t="inlineStr">
        <is>
          <t>Enterprise feature.</t>
        </is>
      </c>
    </row>
    <row r="440">
      <c r="A440" s="482" t="inlineStr">
        <is>
          <t>R-202</t>
        </is>
      </c>
      <c r="B440" s="482" t="inlineStr">
        <is>
          <t>ADVANCED</t>
        </is>
      </c>
      <c r="C440" s="482" t="inlineStr">
        <is>
          <t>Execution</t>
        </is>
      </c>
      <c r="D440" s="482" t="inlineStr">
        <is>
          <t>Private BYOC runners</t>
        </is>
      </c>
      <c r="E440" s="482" t="inlineStr">
        <is>
          <t>Run sandboxes/builds in customer VPC/private infrastructure.</t>
        </is>
      </c>
      <c r="F440" s="482" t="inlineStr">
        <is>
          <t>P1</t>
        </is>
      </c>
      <c r="G440" s="482" t="n"/>
      <c r="H440" s="482" t="inlineStr">
        <is>
          <t>Not Started</t>
        </is>
      </c>
      <c r="I440" s="483" t="n">
        <v>0</v>
      </c>
      <c r="J440" s="482" t="inlineStr">
        <is>
          <t>BYOC / private runners</t>
        </is>
      </c>
      <c r="K440" s="482" t="n"/>
      <c r="L440" s="482" t="n"/>
      <c r="M440" s="482" t="inlineStr">
        <is>
          <t>Central policy + audit remain.</t>
        </is>
      </c>
    </row>
    <row r="441">
      <c r="A441" s="482" t="inlineStr">
        <is>
          <t>R-203</t>
        </is>
      </c>
      <c r="B441" s="482" t="inlineStr">
        <is>
          <t>ADVANCED</t>
        </is>
      </c>
      <c r="C441" s="482" t="inlineStr">
        <is>
          <t>Runtime</t>
        </is>
      </c>
      <c r="D441" s="482" t="inlineStr">
        <is>
          <t>Cross-region runtime scheduler</t>
        </is>
      </c>
      <c r="E441" s="482" t="inlineStr">
        <is>
          <t>Select execution region by policy, residency, availability and latency.</t>
        </is>
      </c>
      <c r="F441" s="482" t="inlineStr">
        <is>
          <t>P2</t>
        </is>
      </c>
      <c r="G441" s="482" t="n"/>
      <c r="H441" s="482" t="inlineStr">
        <is>
          <t>Not Started</t>
        </is>
      </c>
      <c r="I441" s="483" t="n">
        <v>0</v>
      </c>
      <c r="J441" s="482" t="inlineStr">
        <is>
          <t>Private BYOC runners</t>
        </is>
      </c>
      <c r="K441" s="482" t="n"/>
      <c r="L441" s="482" t="n"/>
      <c r="M441" s="482" t="inlineStr">
        <is>
          <t>Enterprise scale.</t>
        </is>
      </c>
    </row>
    <row r="442">
      <c r="A442" s="482" t="inlineStr">
        <is>
          <t>R-204</t>
        </is>
      </c>
      <c r="B442" s="482" t="inlineStr">
        <is>
          <t>ADVANCED</t>
        </is>
      </c>
      <c r="C442" s="482" t="inlineStr">
        <is>
          <t>Runtime</t>
        </is>
      </c>
      <c r="D442" s="482" t="inlineStr">
        <is>
          <t>Hardened microVM runner fleet</t>
        </is>
      </c>
      <c r="E442" s="482" t="inlineStr">
        <is>
          <t>Own isolated runner fleet only when security/economics justify operational burden.</t>
        </is>
      </c>
      <c r="F442" s="482" t="inlineStr">
        <is>
          <t>P2</t>
        </is>
      </c>
      <c r="G442" s="482" t="n"/>
      <c r="H442" s="482" t="inlineStr">
        <is>
          <t>Not Started</t>
        </is>
      </c>
      <c r="I442" s="483" t="n">
        <v>0</v>
      </c>
      <c r="J442" s="482" t="inlineStr">
        <is>
          <t>Provider cost-latency routing</t>
        </is>
      </c>
      <c r="K442" s="482" t="n"/>
      <c r="L442" s="482" t="n"/>
      <c r="M442" s="482" t="inlineStr">
        <is>
          <t>Do not build before benchmark.</t>
        </is>
      </c>
    </row>
    <row r="443">
      <c r="A443" s="482" t="inlineStr">
        <is>
          <t>R-205</t>
        </is>
      </c>
      <c r="B443" s="482" t="inlineStr">
        <is>
          <t>ADVANCED</t>
        </is>
      </c>
      <c r="C443" s="482" t="inlineStr">
        <is>
          <t>Reliability</t>
        </is>
      </c>
      <c r="D443" s="482" t="inlineStr">
        <is>
          <t>Multi-provider sandbox failover</t>
        </is>
      </c>
      <c r="E443" s="482" t="inlineStr">
        <is>
          <t>Retry eligible tasks on alternate provider without duplicating side effects.</t>
        </is>
      </c>
      <c r="F443" s="482" t="inlineStr">
        <is>
          <t>P1</t>
        </is>
      </c>
      <c r="G443" s="482" t="n"/>
      <c r="H443" s="482" t="inlineStr">
        <is>
          <t>Not Started</t>
        </is>
      </c>
      <c r="I443" s="483" t="n">
        <v>0</v>
      </c>
      <c r="J443" s="482" t="inlineStr">
        <is>
          <t>Tool idempotency keys</t>
        </is>
      </c>
      <c r="K443" s="482" t="n"/>
      <c r="L443" s="482" t="n"/>
      <c r="M443" s="482" t="inlineStr">
        <is>
          <t>Checkpoint-aware failover.</t>
        </is>
      </c>
    </row>
    <row r="444">
      <c r="A444" s="482" t="inlineStr">
        <is>
          <t>R-206</t>
        </is>
      </c>
      <c r="B444" s="482" t="inlineStr">
        <is>
          <t>ADVANCED</t>
        </is>
      </c>
      <c r="C444" s="482" t="inlineStr">
        <is>
          <t>Governance</t>
        </is>
      </c>
      <c r="D444" s="482" t="inlineStr">
        <is>
          <t>Policy-as-code approvals</t>
        </is>
      </c>
      <c r="E444" s="482" t="inlineStr">
        <is>
          <t>Version risk/action/approval policies as tested configuration.</t>
        </is>
      </c>
      <c r="F444" s="482" t="inlineStr">
        <is>
          <t>P1</t>
        </is>
      </c>
      <c r="G444" s="482" t="n"/>
      <c r="H444" s="482" t="inlineStr">
        <is>
          <t>Not Started</t>
        </is>
      </c>
      <c r="I444" s="483" t="n">
        <v>0</v>
      </c>
      <c r="J444" s="482" t="inlineStr">
        <is>
          <t>Approval object and immutable audit</t>
        </is>
      </c>
      <c r="K444" s="482" t="n"/>
      <c r="L444" s="482" t="n"/>
      <c r="M444" s="482" t="inlineStr">
        <is>
          <t>Enterprise override support.</t>
        </is>
      </c>
    </row>
    <row r="445">
      <c r="A445" s="482" t="inlineStr">
        <is>
          <t>R-207</t>
        </is>
      </c>
      <c r="B445" s="482" t="inlineStr">
        <is>
          <t>ADVANCED</t>
        </is>
      </c>
      <c r="C445" s="482" t="inlineStr">
        <is>
          <t>Governance</t>
        </is>
      </c>
      <c r="D445" s="482" t="inlineStr">
        <is>
          <t>Two-person critical approval</t>
        </is>
      </c>
      <c r="E445" s="482" t="inlineStr">
        <is>
          <t>Optional dual approval for L4 actions.</t>
        </is>
      </c>
      <c r="F445" s="482" t="inlineStr">
        <is>
          <t>P2</t>
        </is>
      </c>
      <c r="G445" s="482" t="n"/>
      <c r="H445" s="482" t="inlineStr">
        <is>
          <t>Not Started</t>
        </is>
      </c>
      <c r="I445" s="483" t="n">
        <v>0</v>
      </c>
      <c r="J445" s="482" t="inlineStr">
        <is>
          <t>Policy-as-code approvals</t>
        </is>
      </c>
      <c r="K445" s="482" t="n"/>
      <c r="L445" s="482" t="n"/>
      <c r="M445" s="482" t="inlineStr">
        <is>
          <t>High-risk enterprise.</t>
        </is>
      </c>
    </row>
    <row r="446">
      <c r="A446" s="482" t="inlineStr">
        <is>
          <t>R-208</t>
        </is>
      </c>
      <c r="B446" s="482" t="inlineStr">
        <is>
          <t>ADVANCED</t>
        </is>
      </c>
      <c r="C446" s="482" t="inlineStr">
        <is>
          <t>Models</t>
        </is>
      </c>
      <c r="D446" s="482" t="inlineStr">
        <is>
          <t>Customer private model endpoints</t>
        </is>
      </c>
      <c r="E446" s="482" t="inlineStr">
        <is>
          <t>Support approved VPC/private model endpoints behind Model Gateway.</t>
        </is>
      </c>
      <c r="F446" s="482" t="inlineStr">
        <is>
          <t>P2</t>
        </is>
      </c>
      <c r="G446" s="482" t="n"/>
      <c r="H446" s="482" t="inlineStr">
        <is>
          <t>Not Started</t>
        </is>
      </c>
      <c r="I446" s="483" t="n">
        <v>0</v>
      </c>
      <c r="J446" s="482" t="inlineStr">
        <is>
          <t>BYOK</t>
        </is>
      </c>
      <c r="K446" s="482" t="n"/>
      <c r="L446" s="482" t="n"/>
      <c r="M446" s="482" t="inlineStr">
        <is>
          <t>No direct client-to-model coupling.</t>
        </is>
      </c>
    </row>
    <row r="447">
      <c r="A447" s="482" t="inlineStr">
        <is>
          <t>R-209</t>
        </is>
      </c>
      <c r="B447" s="482" t="inlineStr">
        <is>
          <t>ADVANCED</t>
        </is>
      </c>
      <c r="C447" s="482" t="inlineStr">
        <is>
          <t>Architecture</t>
        </is>
      </c>
      <c r="D447" s="482" t="inlineStr">
        <is>
          <t>Automated provider benchmark suite</t>
        </is>
      </c>
      <c r="E447" s="482" t="inlineStr">
        <is>
          <t>Continuously measure model/runtime/tool providers for cost, latency and reliability.</t>
        </is>
      </c>
      <c r="F447" s="482" t="inlineStr">
        <is>
          <t>P2</t>
        </is>
      </c>
      <c r="G447" s="482" t="n"/>
      <c r="H447" s="482" t="inlineStr">
        <is>
          <t>Not Started</t>
        </is>
      </c>
      <c r="I447" s="483" t="n">
        <v>0</v>
      </c>
      <c r="J447" s="482" t="inlineStr">
        <is>
          <t>Build-vs-Buy benchmark process</t>
        </is>
      </c>
      <c r="K447" s="482" t="n"/>
      <c r="L447" s="482" t="n"/>
      <c r="M447" s="482" t="inlineStr">
        <is>
          <t>Feeds routing/ADR reviews.</t>
        </is>
      </c>
    </row>
    <row r="448">
      <c r="A448" s="482" t="inlineStr">
        <is>
          <t>R-210</t>
        </is>
      </c>
      <c r="B448" s="482" t="inlineStr">
        <is>
          <t>PRODUCTION</t>
        </is>
      </c>
      <c r="C448" s="482" t="inlineStr">
        <is>
          <t>Reliability</t>
        </is>
      </c>
      <c r="D448" s="482" t="inlineStr">
        <is>
          <t>Crash-resume production test</t>
        </is>
      </c>
      <c r="E448" s="482" t="inlineStr">
        <is>
          <t>Prove tasks resume after worker/provider failure from last verified checkpoint.</t>
        </is>
      </c>
      <c r="F448" s="482" t="inlineStr">
        <is>
          <t>P0</t>
        </is>
      </c>
      <c r="G448" s="482" t="n"/>
      <c r="H448" s="482" t="inlineStr">
        <is>
          <t>Not Started</t>
        </is>
      </c>
      <c r="I448" s="483" t="n">
        <v>0</v>
      </c>
      <c r="J448" s="482" t="inlineStr">
        <is>
          <t>Checkpoint and resume</t>
        </is>
      </c>
      <c r="K448" s="482" t="n"/>
      <c r="L448" s="482" t="n"/>
      <c r="M448" s="482" t="inlineStr">
        <is>
          <t>Production gate.</t>
        </is>
      </c>
    </row>
    <row r="449">
      <c r="A449" s="482" t="inlineStr">
        <is>
          <t>R-211</t>
        </is>
      </c>
      <c r="B449" s="482" t="inlineStr">
        <is>
          <t>PRODUCTION</t>
        </is>
      </c>
      <c r="C449" s="482" t="inlineStr">
        <is>
          <t>Reliability</t>
        </is>
      </c>
      <c r="D449" s="482" t="inlineStr">
        <is>
          <t>Duplicate side-effect prevention test</t>
        </is>
      </c>
      <c r="E449" s="482" t="inlineStr">
        <is>
          <t>Prove retry/resume/failover cannot duplicate external mutations.</t>
        </is>
      </c>
      <c r="F449" s="482" t="inlineStr">
        <is>
          <t>P0</t>
        </is>
      </c>
      <c r="G449" s="482" t="n"/>
      <c r="H449" s="482" t="inlineStr">
        <is>
          <t>Not Started</t>
        </is>
      </c>
      <c r="I449" s="483" t="n">
        <v>0</v>
      </c>
      <c r="J449" s="482" t="inlineStr">
        <is>
          <t>Tool idempotency keys</t>
        </is>
      </c>
      <c r="K449" s="482" t="n"/>
      <c r="L449" s="482" t="n"/>
      <c r="M449" s="482" t="inlineStr">
        <is>
          <t>Production gate.</t>
        </is>
      </c>
    </row>
    <row r="450">
      <c r="A450" s="482" t="inlineStr">
        <is>
          <t>R-212</t>
        </is>
      </c>
      <c r="B450" s="482" t="inlineStr">
        <is>
          <t>PRODUCTION</t>
        </is>
      </c>
      <c r="C450" s="482" t="inlineStr">
        <is>
          <t>Realtime</t>
        </is>
      </c>
      <c r="D450" s="482" t="inlineStr">
        <is>
          <t>WebSocket replay correctness SLO</t>
        </is>
      </c>
      <c r="E450" s="482" t="inlineStr">
        <is>
          <t>Prove ordered reconnect/replay with no missing or duplicated critical events.</t>
        </is>
      </c>
      <c r="F450" s="482" t="inlineStr">
        <is>
          <t>P0</t>
        </is>
      </c>
      <c r="G450" s="482" t="n"/>
      <c r="H450" s="482" t="inlineStr">
        <is>
          <t>Not Started</t>
        </is>
      </c>
      <c r="I450" s="483" t="n">
        <v>0</v>
      </c>
      <c r="J450" s="482" t="inlineStr">
        <is>
          <t>WebSocket reconnect and replay</t>
        </is>
      </c>
      <c r="K450" s="482" t="n"/>
      <c r="L450" s="482" t="n"/>
      <c r="M450" s="482" t="inlineStr">
        <is>
          <t>Production gate.</t>
        </is>
      </c>
    </row>
    <row r="451">
      <c r="A451" s="482" t="inlineStr">
        <is>
          <t>R-213</t>
        </is>
      </c>
      <c r="B451" s="482" t="inlineStr">
        <is>
          <t>PRODUCTION</t>
        </is>
      </c>
      <c r="C451" s="482" t="inlineStr">
        <is>
          <t>Security</t>
        </is>
      </c>
      <c r="D451" s="482" t="inlineStr">
        <is>
          <t>MCP isolation and prompt-injection test</t>
        </is>
      </c>
      <c r="E451" s="482" t="inlineStr">
        <is>
          <t>Prove tool output cannot override policy and workspace/tool scopes are isolated.</t>
        </is>
      </c>
      <c r="F451" s="482" t="inlineStr">
        <is>
          <t>P0</t>
        </is>
      </c>
      <c r="G451" s="482" t="n"/>
      <c r="H451" s="482" t="inlineStr">
        <is>
          <t>Not Started</t>
        </is>
      </c>
      <c r="I451" s="483" t="n">
        <v>0</v>
      </c>
      <c r="J451" s="482" t="inlineStr">
        <is>
          <t>MCP Gateway foundation</t>
        </is>
      </c>
      <c r="K451" s="482" t="n"/>
      <c r="L451" s="482" t="n"/>
      <c r="M451" s="482" t="inlineStr">
        <is>
          <t>Production gate.</t>
        </is>
      </c>
    </row>
    <row r="452">
      <c r="A452" t="inlineStr">
        <is>
          <t>R-214</t>
        </is>
      </c>
      <c r="B452" t="inlineStr">
        <is>
          <t>PRODUCTION</t>
        </is>
      </c>
      <c r="C452" t="inlineStr">
        <is>
          <t>Security</t>
        </is>
      </c>
      <c r="D452" t="inlineStr">
        <is>
          <t>Sandbox tenant isolation test</t>
        </is>
      </c>
      <c r="E452" t="inlineStr">
        <is>
          <t>Prove no cross-tenant filesystem/process/network/secret access.</t>
        </is>
      </c>
      <c r="F452" t="inlineStr">
        <is>
          <t>P0</t>
        </is>
      </c>
      <c r="H452" t="inlineStr">
        <is>
          <t>Not Started</t>
        </is>
      </c>
      <c r="I452" t="n">
        <v>0</v>
      </c>
      <c r="J452" t="inlineStr">
        <is>
          <t>SandboxProvider abstraction</t>
        </is>
      </c>
      <c r="M452" t="inlineStr">
        <is>
          <t>Production gate.</t>
        </is>
      </c>
    </row>
    <row r="453">
      <c r="A453" t="inlineStr">
        <is>
          <t>R-215</t>
        </is>
      </c>
      <c r="B453" t="inlineStr">
        <is>
          <t>PRODUCTION</t>
        </is>
      </c>
      <c r="C453" t="inlineStr">
        <is>
          <t>Reliability</t>
        </is>
      </c>
      <c r="D453" t="inlineStr">
        <is>
          <t>Runtime provider outage failover</t>
        </is>
      </c>
      <c r="E453" t="inlineStr">
        <is>
          <t>Prove eligible jobs fail over safely during provider outage.</t>
        </is>
      </c>
      <c r="F453" t="inlineStr">
        <is>
          <t>P0</t>
        </is>
      </c>
      <c r="H453" t="inlineStr">
        <is>
          <t>Not Started</t>
        </is>
      </c>
      <c r="I453" t="n">
        <v>0</v>
      </c>
      <c r="J453" t="inlineStr">
        <is>
          <t>Multi-provider sandbox failover</t>
        </is>
      </c>
      <c r="M453" t="inlineStr">
        <is>
          <t>Production gate.</t>
        </is>
      </c>
    </row>
    <row r="454">
      <c r="A454" t="inlineStr">
        <is>
          <t>R-216</t>
        </is>
      </c>
      <c r="B454" t="inlineStr">
        <is>
          <t>PRODUCTION</t>
        </is>
      </c>
      <c r="C454" t="inlineStr">
        <is>
          <t>Governance</t>
        </is>
      </c>
      <c r="D454" t="inlineStr">
        <is>
          <t>Approval auditability test</t>
        </is>
      </c>
      <c r="E454" t="inlineStr">
        <is>
          <t>Prove who approved what, when, scope, risk, environment and expiration.</t>
        </is>
      </c>
      <c r="F454" t="inlineStr">
        <is>
          <t>P0</t>
        </is>
      </c>
      <c r="H454" t="inlineStr">
        <is>
          <t>Not Started</t>
        </is>
      </c>
      <c r="I454" t="n">
        <v>0</v>
      </c>
      <c r="J454" t="inlineStr">
        <is>
          <t>Approval object and immutable audit</t>
        </is>
      </c>
      <c r="M454" t="inlineStr">
        <is>
          <t>Production gate.</t>
        </is>
      </c>
    </row>
    <row r="455">
      <c r="A455" t="inlineStr">
        <is>
          <t>R-217</t>
        </is>
      </c>
      <c r="B455" t="inlineStr">
        <is>
          <t>PRODUCTION</t>
        </is>
      </c>
      <c r="C455" t="inlineStr">
        <is>
          <t>Backend Strategy</t>
        </is>
      </c>
      <c r="D455" t="inlineStr">
        <is>
          <t>BaaS to custom migration test</t>
        </is>
      </c>
      <c r="E455" t="inlineStr">
        <is>
          <t>Prove project can migrate backend profile using IR/contracts without rediscovering product behavior.</t>
        </is>
      </c>
      <c r="F455" t="inlineStr">
        <is>
          <t>P1</t>
        </is>
      </c>
      <c r="H455" t="inlineStr">
        <is>
          <t>Not Started</t>
        </is>
      </c>
      <c r="I455" t="n">
        <v>0</v>
      </c>
      <c r="J455" t="inlineStr">
        <is>
          <t>BaaS provider expansion</t>
        </is>
      </c>
      <c r="M455" t="inlineStr">
        <is>
          <t>Avoid backend lock-in.</t>
        </is>
      </c>
    </row>
    <row r="456">
      <c r="A456" t="inlineStr">
        <is>
          <t>R-218</t>
        </is>
      </c>
      <c r="B456" t="inlineStr">
        <is>
          <t>PRODUCTION</t>
        </is>
      </c>
      <c r="C456" t="inlineStr">
        <is>
          <t>Security</t>
        </is>
      </c>
      <c r="D456" t="inlineStr">
        <is>
          <t>Local Agent security lifecycle</t>
        </is>
      </c>
      <c r="E456" t="inlineStr">
        <is>
          <t>Signed install/update, folder grant, revoke/uninstall and local log controls verified.</t>
        </is>
      </c>
      <c r="F456" t="inlineStr">
        <is>
          <t>P0</t>
        </is>
      </c>
      <c r="H456" t="inlineStr">
        <is>
          <t>Not Started</t>
        </is>
      </c>
      <c r="I456" t="n">
        <v>0</v>
      </c>
      <c r="J456" t="inlineStr">
        <is>
          <t>Cross-platform Local Agent</t>
        </is>
      </c>
      <c r="M456" t="inlineStr">
        <is>
          <t>Production gate.</t>
        </is>
      </c>
    </row>
    <row r="457">
      <c r="A457" t="inlineStr">
        <is>
          <t>R-219</t>
        </is>
      </c>
      <c r="B457" t="inlineStr">
        <is>
          <t>PRODUCTION</t>
        </is>
      </c>
      <c r="C457" t="inlineStr">
        <is>
          <t>Compliance</t>
        </is>
      </c>
      <c r="D457" t="inlineStr">
        <is>
          <t>OSS license and SBOM gate</t>
        </is>
      </c>
      <c r="E457" t="inlineStr">
        <is>
          <t>Block release when third-party license/SBOM obligations are unresolved.</t>
        </is>
      </c>
      <c r="F457" t="inlineStr">
        <is>
          <t>P0</t>
        </is>
      </c>
      <c r="H457" t="inlineStr">
        <is>
          <t>Not Started</t>
        </is>
      </c>
      <c r="I457" t="n">
        <v>0</v>
      </c>
      <c r="J457" t="inlineStr">
        <is>
          <t>Open-source license review</t>
        </is>
      </c>
      <c r="M457"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2026-09-14T15:19:29Z</dcterms:modified>
</cp:coreProperties>
</file>