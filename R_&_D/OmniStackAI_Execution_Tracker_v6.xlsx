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14"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COUNTIF(Phase_Roadmap!$B$4:$B$314,"MVP")</f>
        <v/>
      </c>
      <c r="C5" s="419">
        <f>COUNTIFS(Phase_Roadmap!$B$4:$B$314,"MVP",Phase_Roadmap!$H$4:$H$314,"Done")</f>
        <v/>
      </c>
      <c r="D5" s="420">
        <f>IF(B5=0,0,C5/B5)</f>
        <v/>
      </c>
      <c r="F5" s="419" t="inlineStr">
        <is>
          <t>Not Started</t>
        </is>
      </c>
      <c r="G5" s="419">
        <f>COUNTIF(Phase_Roadmap!$H$4:$H$314,F5)</f>
        <v/>
      </c>
    </row>
    <row r="6">
      <c r="A6" s="419" t="inlineStr">
        <is>
          <t>MID</t>
        </is>
      </c>
      <c r="B6" s="419">
        <f>COUNTIF(Phase_Roadmap!$B$4:$B$314,"MID")</f>
        <v/>
      </c>
      <c r="C6" s="419">
        <f>COUNTIFS(Phase_Roadmap!$B$4:$B$314,"MID",Phase_Roadmap!$H$4:$H$314,"Done")</f>
        <v/>
      </c>
      <c r="D6" s="420">
        <f>IF(B6=0,0,C6/B6)</f>
        <v/>
      </c>
      <c r="F6" s="419" t="inlineStr">
        <is>
          <t>In Progress</t>
        </is>
      </c>
      <c r="G6" s="419">
        <f>COUNTIF(Phase_Roadmap!$H$4:$H$314,F6)</f>
        <v/>
      </c>
    </row>
    <row r="7">
      <c r="A7" s="419" t="inlineStr">
        <is>
          <t>ADVANCED</t>
        </is>
      </c>
      <c r="B7" s="419">
        <f>COUNTIF(Phase_Roadmap!$B$4:$B$314,"ADVANCED")</f>
        <v/>
      </c>
      <c r="C7" s="419">
        <f>COUNTIFS(Phase_Roadmap!$B$4:$B$314,"ADVANCED",Phase_Roadmap!$H$4:$H$314,"Done")</f>
        <v/>
      </c>
      <c r="D7" s="420">
        <f>IF(B7=0,0,C7/B7)</f>
        <v/>
      </c>
      <c r="F7" s="419" t="inlineStr">
        <is>
          <t>Blocked</t>
        </is>
      </c>
      <c r="G7" s="419">
        <f>COUNTIF(Phase_Roadmap!$H$4:$H$314,F7)</f>
        <v/>
      </c>
    </row>
    <row r="8">
      <c r="A8" s="419" t="inlineStr">
        <is>
          <t>PRODUCTION</t>
        </is>
      </c>
      <c r="B8" s="419">
        <f>COUNTIF(Phase_Roadmap!$B$4:$B$314,"PRODUCTION")</f>
        <v/>
      </c>
      <c r="C8" s="419">
        <f>COUNTIFS(Phase_Roadmap!$B$4:$B$314,"PRODUCTION",Phase_Roadmap!$H$4:$H$314,"Done")</f>
        <v/>
      </c>
      <c r="D8" s="420">
        <f>IF(B8=0,0,C8/B8)</f>
        <v/>
      </c>
      <c r="F8" s="419" t="inlineStr">
        <is>
          <t>Done</t>
        </is>
      </c>
      <c r="G8" s="419">
        <f>COUNTIF(Phase_Roadmap!$H$4:$H$314,F8)</f>
        <v/>
      </c>
    </row>
    <row r="9">
      <c r="F9" s="419" t="inlineStr">
        <is>
          <t>Deferred</t>
        </is>
      </c>
      <c r="G9" s="419">
        <f>COUNTIF(Phase_Roadmap!$H$4:$H$314,F9)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14"/>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R-306</t>
        </is>
      </c>
      <c r="B9" t="inlineStr">
        <is>
          <t>MVP</t>
        </is>
      </c>
      <c r="C9" t="inlineStr">
        <is>
          <t>Builder</t>
        </is>
      </c>
      <c r="D9" t="inlineStr">
        <is>
          <t>Generated Accessible Breadcrumb Navigation Component &amp; Screen Hierarchy</t>
        </is>
      </c>
      <c r="E9"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9" t="inlineStr">
        <is>
          <t>P1</t>
        </is>
      </c>
      <c r="G9" t="inlineStr">
        <is>
          <t>Claude (Opus 4.8)</t>
        </is>
      </c>
      <c r="H9" t="inlineStr">
        <is>
          <t>Done</t>
        </is>
      </c>
      <c r="I9" t="n">
        <v>1</v>
      </c>
      <c r="J9" t="inlineStr">
        <is>
          <t>R-305</t>
        </is>
      </c>
      <c r="K9" t="inlineStr">
        <is>
          <t>Founder Stage 0</t>
        </is>
      </c>
      <c r="L9" t="inlineStr">
        <is>
          <t>task verify 998 tests (9 new in test_breadcrumbs.py); task lint + security:quick + env:check pass; builder:demo minimal-blog passes (46 files); components/breadcrumbs.tsx inspected; offline/deterministic, 0 model calls.</t>
        </is>
      </c>
      <c r="M9" t="inlineStr">
        <is>
          <t>Generated Next.js web application breadcrumb navigation component and screen hierarchy. Reconstructed from Brief Sections 26, 27, 74, 77, 92.</t>
        </is>
      </c>
    </row>
    <row r="10" ht="34" customHeight="1" s="401">
      <c r="A10" t="inlineStr">
        <is>
          <t>R-305</t>
        </is>
      </c>
      <c r="B10" t="inlineStr">
        <is>
          <t>MVP</t>
        </is>
      </c>
      <c r="C10" t="inlineStr">
        <is>
          <t>Builder</t>
        </is>
      </c>
      <c r="D10" t="inlineStr">
        <is>
          <t>Generated Keyboard Shortcuts Help Modal &amp; Global Discovery Affordance</t>
        </is>
      </c>
      <c r="E10"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0" t="inlineStr">
        <is>
          <t>P1</t>
        </is>
      </c>
      <c r="G10" t="inlineStr">
        <is>
          <t>Claude (Opus 4.8)</t>
        </is>
      </c>
      <c r="H10" t="inlineStr">
        <is>
          <t>Done</t>
        </is>
      </c>
      <c r="I10" t="n">
        <v>1</v>
      </c>
      <c r="J10" t="inlineStr">
        <is>
          <t>R-304</t>
        </is>
      </c>
      <c r="K10" t="inlineStr">
        <is>
          <t>Founder Stage 0</t>
        </is>
      </c>
      <c r="L10" t="inlineStr">
        <is>
          <t>task verify 989 tests (14 new in test_shortcuts_dialog.py); task lint + security:quick + env:check pass; builder:demo minimal-blog passes; components/shortcuts-dialog.tsx inspected; offline/deterministic, 0 model calls.</t>
        </is>
      </c>
      <c r="M10" t="inlineStr">
        <is>
          <t>Generated Next.js web application keyboard shortcut discovery, modal documentation, and accessibility. Reconstructed from Brief Sections 26, 27, 74, 77, 92.</t>
        </is>
      </c>
    </row>
    <row r="11" ht="34" customHeight="1" s="401">
      <c r="A11" t="inlineStr">
        <is>
          <t>R-304</t>
        </is>
      </c>
      <c r="B11" t="inlineStr">
        <is>
          <t>MVP</t>
        </is>
      </c>
      <c r="C11" t="inlineStr">
        <is>
          <t>Builder</t>
        </is>
      </c>
      <c r="D11" t="inlineStr">
        <is>
          <t>Generated Accessible Confirmation Dialog — Replace window.confirm() with ConfirmDialog Component</t>
        </is>
      </c>
      <c r="E11"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1" t="inlineStr">
        <is>
          <t>P1</t>
        </is>
      </c>
      <c r="G11" t="inlineStr">
        <is>
          <t>Claude (Opus 4.8)</t>
        </is>
      </c>
      <c r="H11" t="inlineStr">
        <is>
          <t>Done</t>
        </is>
      </c>
      <c r="I11" t="n">
        <v>1</v>
      </c>
      <c r="J11" t="inlineStr">
        <is>
          <t>R-303</t>
        </is>
      </c>
      <c r="K11" t="inlineStr">
        <is>
          <t>Founder Stage 0</t>
        </is>
      </c>
      <c r="L11" t="inlineStr">
        <is>
          <t>task verify 975 tests (31 new in test_confirm_dialog.py); task lint + security:quick + env:check pass; builder:demo minimal-blog passes; zero window.confirm() in screens; offline/deterministic, 0 model calls.</t>
        </is>
      </c>
      <c r="M11" t="inlineStr">
        <is>
          <t>Generated Next.js web application modal confirmation dialog, accessibility, and destructive action safety. Reconstructed from Brief Sections 26, 27, 74, 77, 92.</t>
        </is>
      </c>
    </row>
    <row r="12" ht="34" customHeight="1" s="401">
      <c r="A12" t="inlineStr">
        <is>
          <t>R-303</t>
        </is>
      </c>
      <c r="B12" t="inlineStr">
        <is>
          <t>MVP</t>
        </is>
      </c>
      <c r="C12" t="inlineStr">
        <is>
          <t>Builder</t>
        </is>
      </c>
      <c r="D12" t="inlineStr">
        <is>
          <t>Generated Dashboard Overview Interactive Entity Links, Operational Health Badge &amp; Metrics Chips</t>
        </is>
      </c>
      <c r="E12"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2" t="inlineStr">
        <is>
          <t>P1</t>
        </is>
      </c>
      <c r="G12" t="inlineStr">
        <is>
          <t>Claude (Opus 4.8)</t>
        </is>
      </c>
      <c r="H12" t="inlineStr">
        <is>
          <t>Done</t>
        </is>
      </c>
      <c r="I12" t="n">
        <v>1</v>
      </c>
      <c r="J12" t="inlineStr">
        <is>
          <t>R-302</t>
        </is>
      </c>
      <c r="K12" t="inlineStr">
        <is>
          <t>Founder Stage 0</t>
        </is>
      </c>
      <c r="L12"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2" t="inlineStr">
        <is>
          <t>Generated Next.js web application overview dashboard interactivity, operational health signaling, and metrics counters increment. Reconstructed from Brief Sections 26, 27, 74, 77, 92.</t>
        </is>
      </c>
    </row>
    <row r="13" ht="34" customHeight="1" s="401">
      <c r="A13" t="inlineStr">
        <is>
          <t>R-302</t>
        </is>
      </c>
      <c r="B13" t="inlineStr">
        <is>
          <t>MVP</t>
        </is>
      </c>
      <c r="C13" t="inlineStr">
        <is>
          <t>Builder</t>
        </is>
      </c>
      <c r="D13" t="inlineStr">
        <is>
          <t>Generated Collection Screen Boolean &amp; Enum Visual Status Badges &amp; Detail Screen One-Click Copy-to-Clipboard Affordances</t>
        </is>
      </c>
      <c r="E13"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3" t="inlineStr">
        <is>
          <t>P1</t>
        </is>
      </c>
      <c r="G13" t="inlineStr">
        <is>
          <t>Claude (Opus 4.8)</t>
        </is>
      </c>
      <c r="H13" t="inlineStr">
        <is>
          <t>Done</t>
        </is>
      </c>
      <c r="I13" t="n">
        <v>1</v>
      </c>
      <c r="J13" t="inlineStr">
        <is>
          <t>R-301</t>
        </is>
      </c>
      <c r="K13" t="inlineStr">
        <is>
          <t>Founder Stage 0</t>
        </is>
      </c>
      <c r="L13"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3" t="inlineStr">
        <is>
          <t>Generated Next.js web application visual hierarchy, status signaling, and detail copy workflow increment. Reconstructed from Brief Sections 26, 27, 74, 77, 92.</t>
        </is>
      </c>
    </row>
    <row r="14" ht="34" customHeight="1" s="401">
      <c r="A14" t="inlineStr">
        <is>
          <t>R-301</t>
        </is>
      </c>
      <c r="B14" t="inlineStr">
        <is>
          <t>MVP</t>
        </is>
      </c>
      <c r="C14" t="inlineStr">
        <is>
          <t>Builder</t>
        </is>
      </c>
      <c r="D14" t="inlineStr">
        <is>
          <t>Generated Web Search Input Clear Affordances &amp; Form Screen First-Field AutoFocus</t>
        </is>
      </c>
      <c r="E14"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4" t="inlineStr">
        <is>
          <t>P1</t>
        </is>
      </c>
      <c r="G14" t="inlineStr">
        <is>
          <t>Claude (Opus 4.8)</t>
        </is>
      </c>
      <c r="H14" t="inlineStr">
        <is>
          <t>Done</t>
        </is>
      </c>
      <c r="I14" t="n">
        <v>1</v>
      </c>
      <c r="J14" t="inlineStr">
        <is>
          <t>R-300</t>
        </is>
      </c>
      <c r="K14" t="inlineStr">
        <is>
          <t>Founder Stage 0</t>
        </is>
      </c>
      <c r="L14"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4" t="inlineStr">
        <is>
          <t>Generated Next.js web application accessibility, search usability, and form entry keyboard flow increment. Reconstructed from Brief Sections 26, 27, 74, 77, 92.</t>
        </is>
      </c>
    </row>
    <row r="15" ht="34" customHeight="1" s="401">
      <c r="A15" t="inlineStr">
        <is>
          <t>R-300</t>
        </is>
      </c>
      <c r="B15" t="inlineStr">
        <is>
          <t>MVP</t>
        </is>
      </c>
      <c r="C15" t="inlineStr">
        <is>
          <t>Builder</t>
        </is>
      </c>
      <c r="D15" t="inlineStr">
        <is>
          <t>Generated Form Screen Input Constraints, Native HTML Validation &amp; Live Character Counters</t>
        </is>
      </c>
      <c r="E15"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5" t="inlineStr">
        <is>
          <t>P1</t>
        </is>
      </c>
      <c r="G15" t="inlineStr">
        <is>
          <t>Claude (Opus 4.8)</t>
        </is>
      </c>
      <c r="H15" t="inlineStr">
        <is>
          <t>Done</t>
        </is>
      </c>
      <c r="I15" t="n">
        <v>1</v>
      </c>
      <c r="J15" t="inlineStr">
        <is>
          <t>R-299</t>
        </is>
      </c>
      <c r="K15" t="inlineStr">
        <is>
          <t>Founder Stage 0</t>
        </is>
      </c>
      <c r="L15"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5" t="inlineStr">
        <is>
          <t>Generated Next.js web application field validation and UX fidelity increment. Reconstructed from Brief Sections 26, 27, 74, 77, 92.</t>
        </is>
      </c>
    </row>
    <row r="16" ht="34" customHeight="1" s="401">
      <c r="A16" t="inlineStr">
        <is>
          <t>R-299</t>
        </is>
      </c>
      <c r="B16" t="inlineStr">
        <is>
          <t>MVP</t>
        </is>
      </c>
      <c r="C16" t="inlineStr">
        <is>
          <t>Builder</t>
        </is>
      </c>
      <c r="D16" t="inlineStr">
        <is>
          <t>Generated Form Screen Keyboard Shortcuts: Cmd/Ctrl+Enter, Cmd/Ctrl+S &amp; Escape Cancel</t>
        </is>
      </c>
      <c r="E16"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 t="inlineStr">
        <is>
          <t>P1</t>
        </is>
      </c>
      <c r="G16" t="inlineStr">
        <is>
          <t>Claude (Opus 4.8)</t>
        </is>
      </c>
      <c r="H16" t="inlineStr">
        <is>
          <t>Done</t>
        </is>
      </c>
      <c r="I16" t="n">
        <v>1</v>
      </c>
      <c r="J16" t="inlineStr">
        <is>
          <t>R-298</t>
        </is>
      </c>
      <c r="K16" t="inlineStr">
        <is>
          <t>Founder Stage 0</t>
        </is>
      </c>
      <c r="L16" t="inlineStr">
        <is>
          <t>task verify 916 tests (7 new in test_form_keyboard_shortcuts.py); task lint + security:quick + env:check pass; builder:demo minimal-blog + rideshare-favourites pass; generated form screen keyboard listener and shortcuts inspected; offline/deterministic, 0 model calls.</t>
        </is>
      </c>
      <c r="M16" t="inlineStr">
        <is>
          <t>Generated Next.js web application power-user accessibility and keyboard navigation increment. Reconstructed from Brief Sections 26, 27, 74, 77, 92.</t>
        </is>
      </c>
    </row>
    <row r="17" ht="34" customHeight="1" s="401">
      <c r="A17" t="inlineStr">
        <is>
          <t>R-298</t>
        </is>
      </c>
      <c r="B17" t="inlineStr">
        <is>
          <t>MVP</t>
        </is>
      </c>
      <c r="C17" t="inlineStr">
        <is>
          <t>Builder</t>
        </is>
      </c>
      <c r="D17" t="inlineStr">
        <is>
          <t>Generated Detail Screen Keyboard Navigation &amp; Shortcuts</t>
        </is>
      </c>
      <c r="E17"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7" t="inlineStr">
        <is>
          <t>P1</t>
        </is>
      </c>
      <c r="G17" t="inlineStr">
        <is>
          <t>Claude (Opus 4.8)</t>
        </is>
      </c>
      <c r="H17" t="inlineStr">
        <is>
          <t>Done</t>
        </is>
      </c>
      <c r="I17" t="n">
        <v>1</v>
      </c>
      <c r="J17" t="inlineStr">
        <is>
          <t>R-297</t>
        </is>
      </c>
      <c r="K17" t="inlineStr">
        <is>
          <t>Founder Stage 0</t>
        </is>
      </c>
      <c r="L17"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7" t="inlineStr">
        <is>
          <t>Generated Next.js web application power-user accessibility and keyboard navigation increment. Reconstructed from Brief Sections 26, 27, 74, 77, 92.</t>
        </is>
      </c>
    </row>
    <row r="18" ht="34" customHeight="1" s="401">
      <c r="A18" s="554" t="inlineStr">
        <is>
          <t>R-297</t>
        </is>
      </c>
      <c r="B18" s="554" t="inlineStr">
        <is>
          <t>MVP</t>
        </is>
      </c>
      <c r="C18" s="554" t="inlineStr">
        <is>
          <t>Builder</t>
        </is>
      </c>
      <c r="D18" s="554" t="inlineStr">
        <is>
          <t>Generated Collection Keyboard Navigation &amp; Shortcuts</t>
        </is>
      </c>
      <c r="E18"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8" s="554" t="inlineStr">
        <is>
          <t>P1</t>
        </is>
      </c>
      <c r="G18" s="554" t="inlineStr">
        <is>
          <t>Claude (Opus 4.8)</t>
        </is>
      </c>
      <c r="H18" s="554" t="inlineStr">
        <is>
          <t>Done</t>
        </is>
      </c>
      <c r="I18" s="555" t="n">
        <v>1</v>
      </c>
      <c r="J18" s="554" t="inlineStr">
        <is>
          <t>R-296</t>
        </is>
      </c>
      <c r="K18" s="554" t="inlineStr">
        <is>
          <t>Founder Stage 0</t>
        </is>
      </c>
      <c r="L18"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8" s="554" t="inlineStr">
        <is>
          <t>Generated Next.js web application power-user accessibility and keyboard navigation increment. Reconstructed from Brief Sections 26, 27, 74, 77, 92.</t>
        </is>
      </c>
    </row>
    <row r="19" ht="34" customHeight="1" s="401">
      <c r="A19" s="554" t="inlineStr">
        <is>
          <t>R-296</t>
        </is>
      </c>
      <c r="B19" s="554" t="inlineStr">
        <is>
          <t>MVP</t>
        </is>
      </c>
      <c r="C19" s="554" t="inlineStr">
        <is>
          <t>Builder</t>
        </is>
      </c>
      <c r="D19" s="554" t="inlineStr">
        <is>
          <t>Generated Web App Accessibility Pass: Semantic ARIA Roles, Live Regions, Table Sort State &amp; Accessible Controls</t>
        </is>
      </c>
      <c r="E19"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9" s="554" t="inlineStr">
        <is>
          <t>P1</t>
        </is>
      </c>
      <c r="G19" s="554" t="inlineStr">
        <is>
          <t>Claude (Opus 4.8)</t>
        </is>
      </c>
      <c r="H19" s="554" t="inlineStr">
        <is>
          <t>Done</t>
        </is>
      </c>
      <c r="I19" s="555" t="n">
        <v>1</v>
      </c>
      <c r="J19" s="554" t="inlineStr">
        <is>
          <t>R-295</t>
        </is>
      </c>
      <c r="K19" s="554" t="inlineStr">
        <is>
          <t>Founder Stage 0</t>
        </is>
      </c>
      <c r="L19"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9" s="554" t="inlineStr">
        <is>
          <t>Founder-authorized autonomous continuation; generated-app accessibility and WCAG/WAI-ARIA robustness increment. Reconstructed from Brief Sections 26, 27, 74, 77, 92.</t>
        </is>
      </c>
    </row>
    <row r="20" ht="34" customHeight="1" s="401">
      <c r="A20" s="419" t="inlineStr">
        <is>
          <t>R-295</t>
        </is>
      </c>
      <c r="B20" s="419" t="inlineStr">
        <is>
          <t>MVP</t>
        </is>
      </c>
      <c r="C20" s="419" t="inlineStr">
        <is>
          <t>Builder</t>
        </is>
      </c>
      <c r="D20" s="419" t="inlineStr">
        <is>
          <t>Consistent Error + Retry Affordance Across Every Generated Fetch State</t>
        </is>
      </c>
      <c r="E20"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20" s="419" t="inlineStr">
        <is>
          <t>P1</t>
        </is>
      </c>
      <c r="G20" s="419" t="inlineStr">
        <is>
          <t>Claude (Opus 4.8)</t>
        </is>
      </c>
      <c r="H20" s="419" t="inlineStr">
        <is>
          <t>Done</t>
        </is>
      </c>
      <c r="I20" s="420" t="n">
        <v>1</v>
      </c>
      <c r="J20" s="419" t="inlineStr">
        <is>
          <t>R-294</t>
        </is>
      </c>
      <c r="K20" s="419" t="inlineStr">
        <is>
          <t>Founder Stage 0</t>
        </is>
      </c>
      <c r="L20"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20" s="419" t="inlineStr">
        <is>
          <t>Founder-authorized autonomous continuation; completes the error side to match the R-292/293 loading-skeleton coverage. Reconstructed from Brief Sections 26, 27, 74, 77, 92.</t>
        </is>
      </c>
    </row>
    <row r="21" ht="34" customHeight="1" s="401">
      <c r="A21" s="419" t="inlineStr">
        <is>
          <t>R-294</t>
        </is>
      </c>
      <c r="B21" s="419" t="inlineStr">
        <is>
          <t>MVP</t>
        </is>
      </c>
      <c r="C21" s="419" t="inlineStr">
        <is>
          <t>Builder</t>
        </is>
      </c>
      <c r="D21" s="419" t="inlineStr">
        <is>
          <t>Generated Next.js App Router Resilience: Error Boundary, Global Error, Not-Found &amp; Loading Fallback</t>
        </is>
      </c>
      <c r="E21"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21" s="419" t="inlineStr">
        <is>
          <t>P1</t>
        </is>
      </c>
      <c r="G21" s="419" t="inlineStr">
        <is>
          <t>Claude (Opus 4.8)</t>
        </is>
      </c>
      <c r="H21" s="419" t="inlineStr">
        <is>
          <t>Done</t>
        </is>
      </c>
      <c r="I21" s="420" t="n">
        <v>1</v>
      </c>
      <c r="J21" s="419" t="inlineStr">
        <is>
          <t>R-293</t>
        </is>
      </c>
      <c r="K21" s="419" t="inlineStr">
        <is>
          <t>Founder Stage 0</t>
        </is>
      </c>
      <c r="L21"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21" s="419" t="inlineStr">
        <is>
          <t>Founder-authorized autonomous continuation; generated-app runtime robustness increment. Reconstructed from Brief Sections 26, 27, 74, 77, 92.</t>
        </is>
      </c>
    </row>
    <row r="22" ht="34" customHeight="1" s="401">
      <c r="A22" s="419" t="inlineStr">
        <is>
          <t>R-293</t>
        </is>
      </c>
      <c r="B22" s="419" t="inlineStr">
        <is>
          <t>MVP</t>
        </is>
      </c>
      <c r="C22" s="419" t="inlineStr">
        <is>
          <t>Builder</t>
        </is>
      </c>
      <c r="D22" s="419" t="inlineStr">
        <is>
          <t>Loading Skeletons for Form Initial Load &amp; Detail Record-Selector List</t>
        </is>
      </c>
      <c r="E22"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22" s="419" t="inlineStr">
        <is>
          <t>P1</t>
        </is>
      </c>
      <c r="G22" s="419" t="inlineStr">
        <is>
          <t>Claude (Opus 4.8)</t>
        </is>
      </c>
      <c r="H22" s="419" t="inlineStr">
        <is>
          <t>Done</t>
        </is>
      </c>
      <c r="I22" s="420" t="n">
        <v>1</v>
      </c>
      <c r="J22" s="419" t="inlineStr">
        <is>
          <t>R-292</t>
        </is>
      </c>
      <c r="K22" s="419" t="inlineStr">
        <is>
          <t>Founder Stage 0</t>
        </is>
      </c>
      <c r="L22"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22" s="419" t="inlineStr">
        <is>
          <t>Founder-authorized autonomous continuation; loading-skeletons UX completion. Reconstructed from Brief Sections 26, 27, 74, 77, 92.</t>
        </is>
      </c>
    </row>
    <row r="23" ht="34" customHeight="1" s="401">
      <c r="A23" s="419" t="inlineStr">
        <is>
          <t>R-292</t>
        </is>
      </c>
      <c r="B23" s="419" t="inlineStr">
        <is>
          <t>MVP</t>
        </is>
      </c>
      <c r="C23" s="419" t="inlineStr">
        <is>
          <t>Builder</t>
        </is>
      </c>
      <c r="D23" s="419" t="inlineStr">
        <is>
          <t>Loading Skeletons for Generated Next.js Screens</t>
        </is>
      </c>
      <c r="E23"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23" s="419" t="inlineStr">
        <is>
          <t>P1</t>
        </is>
      </c>
      <c r="G23" s="419" t="inlineStr">
        <is>
          <t>Claude (Opus 4.8)</t>
        </is>
      </c>
      <c r="H23" s="419" t="inlineStr">
        <is>
          <t>Done</t>
        </is>
      </c>
      <c r="I23" s="420" t="n">
        <v>1</v>
      </c>
      <c r="J23" s="419" t="inlineStr">
        <is>
          <t>R-291</t>
        </is>
      </c>
      <c r="K23" s="419" t="inlineStr">
        <is>
          <t>Founder Stage 0</t>
        </is>
      </c>
      <c r="L23"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23" s="419" t="inlineStr">
        <is>
          <t>Founder-authorized autonomous continuation; loading-skeletons UX increment. Reconstructed from Brief Sections 26, 27, 74, 77, 92.</t>
        </is>
      </c>
    </row>
    <row r="24" ht="34" customHeight="1" s="401">
      <c r="A24" s="419" t="inlineStr">
        <is>
          <t>R-291</t>
        </is>
      </c>
      <c r="B24" s="419" t="inlineStr">
        <is>
          <t>MVP</t>
        </is>
      </c>
      <c r="C24" s="419" t="inlineStr">
        <is>
          <t>Builder</t>
        </is>
      </c>
      <c r="D24" s="419" t="inlineStr">
        <is>
          <t>Optimistic Subcollection Child Delete with Rollback in Generated Next.js Screens</t>
        </is>
      </c>
      <c r="E24"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24" s="419" t="inlineStr">
        <is>
          <t>P1</t>
        </is>
      </c>
      <c r="G24" s="419" t="inlineStr">
        <is>
          <t>Claude (Opus 4.8)</t>
        </is>
      </c>
      <c r="H24" s="419" t="inlineStr">
        <is>
          <t>Done</t>
        </is>
      </c>
      <c r="I24" s="420" t="n">
        <v>1</v>
      </c>
      <c r="J24" s="419" t="inlineStr">
        <is>
          <t>R-290</t>
        </is>
      </c>
      <c r="K24" s="419" t="inlineStr">
        <is>
          <t>Founder Stage 0</t>
        </is>
      </c>
      <c r="L24"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24" s="419" t="inlineStr">
        <is>
          <t>Completes the optimistic-delete story after R-290 (collection screen); reconstructed from Brief Sections 26, 27, 74, 77, 92.</t>
        </is>
      </c>
    </row>
    <row r="25" ht="34" customHeight="1" s="401">
      <c r="A25" s="419" t="inlineStr">
        <is>
          <t>R-290</t>
        </is>
      </c>
      <c r="B25" s="419" t="inlineStr">
        <is>
          <t>MVP</t>
        </is>
      </c>
      <c r="C25" s="419" t="inlineStr">
        <is>
          <t>Builder</t>
        </is>
      </c>
      <c r="D25" s="419" t="inlineStr">
        <is>
          <t>Optimistic Delete with Rollback in the Generated Collection Screen</t>
        </is>
      </c>
      <c r="E25"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25" s="419" t="inlineStr">
        <is>
          <t>P1</t>
        </is>
      </c>
      <c r="G25" s="419" t="inlineStr">
        <is>
          <t>Claude (Opus 4.8)</t>
        </is>
      </c>
      <c r="H25" s="419" t="inlineStr">
        <is>
          <t>Done</t>
        </is>
      </c>
      <c r="I25" s="420" t="n">
        <v>1</v>
      </c>
      <c r="J25" s="419" t="inlineStr">
        <is>
          <t>R-289</t>
        </is>
      </c>
      <c r="K25" s="419" t="inlineStr">
        <is>
          <t>Founder Stage 0</t>
        </is>
      </c>
      <c r="L25"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25" s="419" t="inlineStr">
        <is>
          <t>Founder-chosen R-290 (optimistic delete over loading skeletons); reconstructed from Brief Sections 26, 27, 74, 77, 92.</t>
        </is>
      </c>
    </row>
    <row r="26" ht="34" customHeight="1" s="401">
      <c r="A26" s="419" t="inlineStr">
        <is>
          <t>R-289</t>
        </is>
      </c>
      <c r="B26" s="419" t="inlineStr">
        <is>
          <t>MVP</t>
        </is>
      </c>
      <c r="C26" s="419" t="inlineStr">
        <is>
          <t>Builder</t>
        </is>
      </c>
      <c r="D26" s="419" t="inlineStr">
        <is>
          <t>Debounced Live Subcollection Search in Generated Next.js Web App</t>
        </is>
      </c>
      <c r="E26"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26" s="419" t="inlineStr">
        <is>
          <t>P1</t>
        </is>
      </c>
      <c r="G26" s="419" t="inlineStr">
        <is>
          <t>Claude (Opus 4.8)</t>
        </is>
      </c>
      <c r="H26" s="419" t="inlineStr">
        <is>
          <t>Done</t>
        </is>
      </c>
      <c r="I26" s="420" t="n">
        <v>1</v>
      </c>
      <c r="J26" s="419" t="inlineStr">
        <is>
          <t>R-288</t>
        </is>
      </c>
      <c r="K26" s="419" t="inlineStr">
        <is>
          <t>Founder Stage 0</t>
        </is>
      </c>
      <c r="L26"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26" s="419" t="inlineStr">
        <is>
          <t>Recommended offline R-289 candidate after R-288 (all request paths race-safe); reconstructed from Brief Sections 26, 27, 74, 77, 92.</t>
        </is>
      </c>
    </row>
    <row r="27" ht="34" customHeight="1" s="401">
      <c r="A27" s="419" t="inlineStr">
        <is>
          <t>R-288</t>
        </is>
      </c>
      <c r="B27" s="419" t="inlineStr">
        <is>
          <t>MVP</t>
        </is>
      </c>
      <c r="C27" s="419" t="inlineStr">
        <is>
          <t>Builder</t>
        </is>
      </c>
      <c r="D27" s="419" t="inlineStr">
        <is>
          <t>Deduplicated In-Flight Generated Mutation Requests in Generated Next.js Web App</t>
        </is>
      </c>
      <c r="E27"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7" s="419" t="inlineStr">
        <is>
          <t>P1</t>
        </is>
      </c>
      <c r="G27" s="419" t="inlineStr">
        <is>
          <t>Claude (Opus 4.8)</t>
        </is>
      </c>
      <c r="H27" s="419" t="inlineStr">
        <is>
          <t>Done</t>
        </is>
      </c>
      <c r="I27" s="420" t="n">
        <v>1</v>
      </c>
      <c r="J27" s="419" t="inlineStr">
        <is>
          <t>R-287</t>
        </is>
      </c>
      <c r="K27" s="419" t="inlineStr">
        <is>
          <t>Founder Stage 0</t>
        </is>
      </c>
      <c r="L27" s="419" t="inlineStr">
        <is>
          <t>task verify 829 tests (6 new in test_mutation_inflight_guard.py); task lint + security:quick + env:check pass; builder:demo minimal-blog + rideshare-favourites pass; generated useCreatePost hook inspected; impl 3d6eecf; offline/deterministic, 0 model calls.</t>
        </is>
      </c>
      <c r="M27" s="419" t="inlineStr">
        <is>
          <t>Recommended offline R-288 candidate after R-287 (all fetch paths race-safe); reconstructed from Brief Sections 26, 27, 74, 77, 92.</t>
        </is>
      </c>
    </row>
    <row r="28" ht="34" customHeight="1" s="401">
      <c r="A28" s="419" t="inlineStr">
        <is>
          <t>R-287</t>
        </is>
      </c>
      <c r="B28" s="419" t="inlineStr">
        <is>
          <t>MVP</t>
        </is>
      </c>
      <c r="C28" s="419" t="inlineStr">
        <is>
          <t>Builder</t>
        </is>
      </c>
      <c r="D28" s="419" t="inlineStr">
        <is>
          <t>Race-Safe Generated Detail Refetches in Generated Next.js Web App</t>
        </is>
      </c>
      <c r="E28"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8" s="419" t="inlineStr">
        <is>
          <t>P1</t>
        </is>
      </c>
      <c r="G28" s="419" t="inlineStr">
        <is>
          <t>Claude (Opus 4.8)</t>
        </is>
      </c>
      <c r="H28" s="419" t="inlineStr">
        <is>
          <t>Done</t>
        </is>
      </c>
      <c r="I28" s="420" t="n">
        <v>1</v>
      </c>
      <c r="J28" s="419" t="inlineStr">
        <is>
          <t>R-286</t>
        </is>
      </c>
      <c r="K28" s="419" t="inlineStr">
        <is>
          <t>Founder Stage 0</t>
        </is>
      </c>
      <c r="L28"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8" s="419" t="inlineStr">
        <is>
          <t>Recommended offline R-287 candidate from the R-286 handoff; reconstructed from Brief Sections 26, 27, 74, 77, 92.</t>
        </is>
      </c>
    </row>
    <row r="29" ht="34" customHeight="1" s="401">
      <c r="A29" s="419" t="inlineStr">
        <is>
          <t>R-286</t>
        </is>
      </c>
      <c r="B29" s="419" t="inlineStr">
        <is>
          <t>MVP</t>
        </is>
      </c>
      <c r="C29" s="419" t="inlineStr">
        <is>
          <t>Builder</t>
        </is>
      </c>
      <c r="D29" s="419" t="inlineStr">
        <is>
          <t>Race-Safe Generated Subcollection Refetches</t>
        </is>
      </c>
      <c r="E29"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9" s="419" t="inlineStr">
        <is>
          <t>P1</t>
        </is>
      </c>
      <c r="G29" s="419" t="inlineStr">
        <is>
          <t>Codex (GPT-5)</t>
        </is>
      </c>
      <c r="H29" s="419" t="inlineStr">
        <is>
          <t>Done</t>
        </is>
      </c>
      <c r="I29" s="420" t="n">
        <v>1</v>
      </c>
      <c r="J29" s="419" t="inlineStr">
        <is>
          <t>R-285</t>
        </is>
      </c>
      <c r="K29" s="419" t="inlineStr">
        <is>
          <t>Founder Stage 0</t>
        </is>
      </c>
      <c r="L29"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9" s="419" t="inlineStr">
        <is>
          <t>Founder explicitly requested continuation with R-286. Reconstructed from Brief Sections 25-27, 74, 77, 83-84, 91, and 92.</t>
        </is>
      </c>
    </row>
    <row r="30" ht="34" customHeight="1" s="401">
      <c r="A30" s="419" t="inlineStr">
        <is>
          <t>R-285</t>
        </is>
      </c>
      <c r="B30" s="419" t="inlineStr">
        <is>
          <t>MVP</t>
        </is>
      </c>
      <c r="C30" s="419" t="inlineStr">
        <is>
          <t>Builder</t>
        </is>
      </c>
      <c r="D30" s="419" t="inlineStr">
        <is>
          <t>Server-Side Subcollection Filter Wiring in Generated Next.js Screens</t>
        </is>
      </c>
      <c r="E30"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30" s="419" t="inlineStr">
        <is>
          <t>P1</t>
        </is>
      </c>
      <c r="G30" s="419" t="inlineStr">
        <is>
          <t>Codex (GPT-5)</t>
        </is>
      </c>
      <c r="H30" s="419" t="inlineStr">
        <is>
          <t>Done</t>
        </is>
      </c>
      <c r="I30" s="420" t="n">
        <v>1</v>
      </c>
      <c r="J30" s="419" t="inlineStr">
        <is>
          <t>R-284</t>
        </is>
      </c>
      <c r="K30" s="419" t="inlineStr">
        <is>
          <t>Founder Stage 0</t>
        </is>
      </c>
      <c r="L30"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30" s="419" t="inlineStr">
        <is>
          <t>Founder explicitly requested continuation with R-285. Reconstructed from Brief Sections 25-27, 74, 77, 83-84, and 92.</t>
        </is>
      </c>
    </row>
    <row r="31" ht="34" customHeight="1" s="401">
      <c r="A31" s="419" t="inlineStr">
        <is>
          <t>R-284</t>
        </is>
      </c>
      <c r="B31" s="419" t="inlineStr">
        <is>
          <t>MVP</t>
        </is>
      </c>
      <c r="C31" s="419" t="inlineStr">
        <is>
          <t>Builder</t>
        </is>
      </c>
      <c r="D31" s="419" t="inlineStr">
        <is>
          <t>Server-Side Boolean/Enum Field Filters on FK-Scoped LIST_BY Endpoints</t>
        </is>
      </c>
      <c r="E31"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31" s="419" t="inlineStr">
        <is>
          <t>P1</t>
        </is>
      </c>
      <c r="G31" s="419" t="inlineStr">
        <is>
          <t>Codex (GPT-5)</t>
        </is>
      </c>
      <c r="H31" s="419" t="inlineStr">
        <is>
          <t>Done</t>
        </is>
      </c>
      <c r="I31" s="420" t="n">
        <v>1</v>
      </c>
      <c r="J31" s="419" t="inlineStr">
        <is>
          <t>R-283</t>
        </is>
      </c>
      <c r="K31" s="419" t="inlineStr">
        <is>
          <t>Founder Stage 0</t>
        </is>
      </c>
      <c r="L31"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31" s="419" t="inlineStr">
        <is>
          <t>Founder said to continue to the next task and update completed/remaining state. Reconstructed from Brief Sections 25-27, 74, 77, 83-84, and 92.</t>
        </is>
      </c>
    </row>
    <row r="32" ht="34" customHeight="1" s="401">
      <c r="A32" s="419" t="inlineStr">
        <is>
          <t>R-283</t>
        </is>
      </c>
      <c r="B32" s="419" t="inlineStr">
        <is>
          <t>MVP</t>
        </is>
      </c>
      <c r="C32" s="419" t="inlineStr">
        <is>
          <t>Builder</t>
        </is>
      </c>
      <c r="D32" s="419" t="inlineStr">
        <is>
          <t>Wire Generated Next.js Collection Filters to Server-Side Query Parameters</t>
        </is>
      </c>
      <c r="E32"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32" s="419" t="inlineStr">
        <is>
          <t>P1</t>
        </is>
      </c>
      <c r="G32" s="419" t="inlineStr">
        <is>
          <t>Codex (GPT-5)</t>
        </is>
      </c>
      <c r="H32" s="419" t="inlineStr">
        <is>
          <t>Done</t>
        </is>
      </c>
      <c r="I32" s="420" t="n">
        <v>1</v>
      </c>
      <c r="J32" s="419" t="inlineStr">
        <is>
          <t>R-282</t>
        </is>
      </c>
      <c r="K32" s="419" t="inlineStr">
        <is>
          <t>Founder Stage 0</t>
        </is>
      </c>
      <c r="L32"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32" s="419" t="inlineStr">
        <is>
          <t>Founder supplied the exact R-283 continuation and selected recommended option 1. Reconstructed from Brief Sections 9, 25-27, 74-75, 77, 83-85, 91, and 92.</t>
        </is>
      </c>
    </row>
    <row r="33" ht="34" customHeight="1" s="401">
      <c r="A33" s="419" t="inlineStr">
        <is>
          <t>R-282</t>
        </is>
      </c>
      <c r="B33" s="419" t="inlineStr">
        <is>
          <t>MVP</t>
        </is>
      </c>
      <c r="C33" s="419" t="inlineStr">
        <is>
          <t>Builder</t>
        </is>
      </c>
      <c r="D33" s="419" t="inlineStr">
        <is>
          <t>Server-Side Boolean/Enum Field Filters on Top-Level LIST Endpoints (Go + FastAPI + OpenAPI)</t>
        </is>
      </c>
      <c r="E33"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33" s="419" t="inlineStr">
        <is>
          <t>P1</t>
        </is>
      </c>
      <c r="G33" s="419" t="inlineStr">
        <is>
          <t>Claude (Opus 4.8)</t>
        </is>
      </c>
      <c r="H33" s="419" t="inlineStr">
        <is>
          <t>Done</t>
        </is>
      </c>
      <c r="I33" s="420" t="n">
        <v>1</v>
      </c>
      <c r="J33" s="419" t="inlineStr">
        <is>
          <t>R-281</t>
        </is>
      </c>
      <c r="K33" s="419" t="inlineStr">
        <is>
          <t>Founder Stage 0</t>
        </is>
      </c>
      <c r="L33"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33" s="419" t="inlineStr">
        <is>
          <t>Founder said 'continue for the next task' and chose the offline candidate; the available Groq key was kept for a later live model-fabric verification. Reconstructed from Brief Sections 9, 26, 27, 74, 77, 92.</t>
        </is>
      </c>
    </row>
    <row r="34" ht="34" customHeight="1" s="401">
      <c r="A34" s="419" t="inlineStr">
        <is>
          <t>R-281</t>
        </is>
      </c>
      <c r="B34" s="419" t="inlineStr">
        <is>
          <t>MVP</t>
        </is>
      </c>
      <c r="C34" s="419" t="inlineStr">
        <is>
          <t>Builder</t>
        </is>
      </c>
      <c r="D34" s="419" t="inlineStr">
        <is>
          <t>Pagination, Sort &amp; Search Controls on Subcollection Master-Detail Lists in Generated Next.js Web App</t>
        </is>
      </c>
      <c r="E34"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34" s="419" t="inlineStr">
        <is>
          <t>P1</t>
        </is>
      </c>
      <c r="G34" s="419" t="inlineStr">
        <is>
          <t>Claude (Opus 4.8)</t>
        </is>
      </c>
      <c r="H34" s="419" t="inlineStr">
        <is>
          <t>Done</t>
        </is>
      </c>
      <c r="I34" s="420" t="n">
        <v>1</v>
      </c>
      <c r="J34" s="419" t="inlineStr">
        <is>
          <t>R-280</t>
        </is>
      </c>
      <c r="K34" s="419" t="inlineStr">
        <is>
          <t>Founder Stage 0</t>
        </is>
      </c>
      <c r="L34" s="419" t="inlineStr">
        <is>
          <t>task verify 774 tests (6 new in test_subcollection_list_controls.py); task lint + security:quick pass; builder:demo minimal-blog + rideshare-favourites pass; impl ad94a72; offline/deterministic, 0 cloud calls.</t>
        </is>
      </c>
      <c r="M34" s="419" t="inlineStr">
        <is>
          <t>Founder chose 'R-281 offline only' (subcollection list controls) over enabling the available Groq key this session. Reconstructed from Brief Sections 9, 26, 27, 74, 77, 92.</t>
        </is>
      </c>
    </row>
    <row r="35" ht="34" customHeight="1" s="401">
      <c r="A35" s="419" t="inlineStr">
        <is>
          <t>R-280</t>
        </is>
      </c>
      <c r="B35" s="419" t="inlineStr">
        <is>
          <t>MVP</t>
        </is>
      </c>
      <c r="C35" s="419" t="inlineStr">
        <is>
          <t>Builder</t>
        </is>
      </c>
      <c r="D35" s="419" t="inlineStr">
        <is>
          <t>Deep-Linked Collection List State + Debounced, Race-Safe Search in Generated Next.js Web App</t>
        </is>
      </c>
      <c r="E35"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35" s="419" t="inlineStr">
        <is>
          <t>P1</t>
        </is>
      </c>
      <c r="G35" s="419" t="inlineStr">
        <is>
          <t>Claude (Opus 4.8)</t>
        </is>
      </c>
      <c r="H35" s="419" t="inlineStr">
        <is>
          <t>Done</t>
        </is>
      </c>
      <c r="I35" s="420" t="n">
        <v>1</v>
      </c>
      <c r="J35" s="419" t="inlineStr">
        <is>
          <t>R-279</t>
        </is>
      </c>
      <c r="K35" s="419" t="inlineStr">
        <is>
          <t>Founder Stage 0</t>
        </is>
      </c>
      <c r="L35" s="419" t="inlineStr">
        <is>
          <t>task verify 768 tests (12 new in test_collection_deeplink_state.py); task lint + security:quick pass; builder:demo minimal-blog + rideshare-favourites pass; impl 7a6b9b5; offline/deterministic, 0 cloud calls.</t>
        </is>
      </c>
      <c r="M35" s="419" t="inlineStr">
        <is>
          <t>Founder delegated the choice ('best, optimised, futuristic; combine two if best'): deep-link + debounced/race-safe search. Reconstructed from Brief Sections 9, 26, 27, 74, 77, 92.</t>
        </is>
      </c>
    </row>
    <row r="36" ht="34" customHeight="1" s="401">
      <c r="A36" s="419" t="inlineStr">
        <is>
          <t>R-279</t>
        </is>
      </c>
      <c r="B36" s="419" t="inlineStr">
        <is>
          <t>MVP</t>
        </is>
      </c>
      <c r="C36" s="419" t="inlineStr">
        <is>
          <t>Builder</t>
        </is>
      </c>
      <c r="D36" s="419" t="inlineStr">
        <is>
          <t>Global Notification Toast System &amp; Action Feedback in Generated Next.js Web App</t>
        </is>
      </c>
      <c r="E36"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36" s="419" t="inlineStr">
        <is>
          <t>P1</t>
        </is>
      </c>
      <c r="G36" s="419" t="inlineStr">
        <is>
          <t>Claude (Opus 4.8)</t>
        </is>
      </c>
      <c r="H36" s="419" t="inlineStr">
        <is>
          <t>Done</t>
        </is>
      </c>
      <c r="I36" s="420" t="n">
        <v>1</v>
      </c>
      <c r="J36" s="419" t="inlineStr">
        <is>
          <t>R-278</t>
        </is>
      </c>
      <c r="K36" s="419" t="inlineStr">
        <is>
          <t>Founder Stage 0</t>
        </is>
      </c>
      <c r="L36" s="419" t="inlineStr">
        <is>
          <t>task verify 756 tests; impl d28fc1a; offline/deterministic, 0 cloud calls.</t>
        </is>
      </c>
      <c r="M36" s="419" t="inlineStr">
        <is>
          <t>Backfilled to reconcile the execution tracker with shipped, committed work (R-253..R-279).</t>
        </is>
      </c>
    </row>
    <row r="37" ht="34" customHeight="1" s="401">
      <c r="A37" s="419" t="inlineStr">
        <is>
          <t>R-278</t>
        </is>
      </c>
      <c r="B37" s="419" t="inlineStr">
        <is>
          <t>MVP</t>
        </is>
      </c>
      <c r="C37" s="419" t="inlineStr">
        <is>
          <t>Builder</t>
        </is>
      </c>
      <c r="D37" s="419" t="inlineStr">
        <is>
          <t>Collection Screen Boolean &amp; Enum Field Filtering, Segmented Pill Controls &amp; Filter Empty States in Generated Next.js Web App</t>
        </is>
      </c>
      <c r="E37"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7" s="419" t="inlineStr">
        <is>
          <t>P1</t>
        </is>
      </c>
      <c r="G37" s="419" t="inlineStr">
        <is>
          <t>Claude (Opus 4.8)</t>
        </is>
      </c>
      <c r="H37" s="419" t="inlineStr">
        <is>
          <t>Done</t>
        </is>
      </c>
      <c r="I37" s="420" t="n">
        <v>1</v>
      </c>
      <c r="J37" s="419" t="inlineStr">
        <is>
          <t>R-277</t>
        </is>
      </c>
      <c r="K37" s="419" t="inlineStr">
        <is>
          <t>Founder Stage 0</t>
        </is>
      </c>
      <c r="L37" s="419" t="inlineStr">
        <is>
          <t>task verify 742 tests; impl 599df7d; offline/deterministic, 0 cloud calls.</t>
        </is>
      </c>
      <c r="M37" s="419" t="inlineStr">
        <is>
          <t>Backfilled to reconcile the execution tracker with shipped, committed work (R-253..R-279).</t>
        </is>
      </c>
    </row>
    <row r="38" ht="34" customHeight="1" s="401">
      <c r="A38" s="419" t="inlineStr">
        <is>
          <t>R-277</t>
        </is>
      </c>
      <c r="B38" s="419" t="inlineStr">
        <is>
          <t>MVP</t>
        </is>
      </c>
      <c r="C38" s="419" t="inlineStr">
        <is>
          <t>Builder</t>
        </is>
      </c>
      <c r="D38" s="419" t="inlineStr">
        <is>
          <t>Form Screen Dirty State Tracking, Unsaved Changes Guard &amp; Reset Confirmation in Generated Next.js Forms</t>
        </is>
      </c>
      <c r="E38"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8" s="419" t="inlineStr">
        <is>
          <t>P1</t>
        </is>
      </c>
      <c r="G38" s="419" t="inlineStr">
        <is>
          <t>Claude (Opus 4.8)</t>
        </is>
      </c>
      <c r="H38" s="419" t="inlineStr">
        <is>
          <t>Done</t>
        </is>
      </c>
      <c r="I38" s="420" t="n">
        <v>1</v>
      </c>
      <c r="J38" s="419" t="inlineStr">
        <is>
          <t>R-276</t>
        </is>
      </c>
      <c r="K38" s="419" t="inlineStr">
        <is>
          <t>Founder Stage 0</t>
        </is>
      </c>
      <c r="L38" s="419" t="inlineStr">
        <is>
          <t>task verify 727 tests; impl 62c2283; offline/deterministic, 0 cloud calls.</t>
        </is>
      </c>
      <c r="M38" s="419" t="inlineStr">
        <is>
          <t>Backfilled to reconcile the execution tracker with shipped, committed work (R-253..R-279).</t>
        </is>
      </c>
    </row>
    <row r="39" ht="34" customHeight="1" s="401">
      <c r="A39" s="419" t="inlineStr">
        <is>
          <t>R-276</t>
        </is>
      </c>
      <c r="B39" s="419" t="inlineStr">
        <is>
          <t>MVP</t>
        </is>
      </c>
      <c r="C39" s="419" t="inlineStr">
        <is>
          <t>Builder</t>
        </is>
      </c>
      <c r="D39" s="419" t="inlineStr">
        <is>
          <t>Record Selector Dropdown, Prev/Next Record Navigation &amp; Deep-Link Sync in Generated Next.js Detail Screens</t>
        </is>
      </c>
      <c r="E39"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9" s="419" t="inlineStr">
        <is>
          <t>P1</t>
        </is>
      </c>
      <c r="G39" s="419" t="inlineStr">
        <is>
          <t>Claude (Opus 4.8)</t>
        </is>
      </c>
      <c r="H39" s="419" t="inlineStr">
        <is>
          <t>Done</t>
        </is>
      </c>
      <c r="I39" s="420" t="n">
        <v>1</v>
      </c>
      <c r="J39" s="419" t="inlineStr">
        <is>
          <t>R-275</t>
        </is>
      </c>
      <c r="K39" s="419" t="inlineStr">
        <is>
          <t>Founder Stage 0</t>
        </is>
      </c>
      <c r="L39" s="419" t="inlineStr">
        <is>
          <t>task verify pass; impl 9dd61fa; offline/deterministic, 0 cloud calls.</t>
        </is>
      </c>
      <c r="M39" s="419" t="inlineStr">
        <is>
          <t>Backfilled to reconcile the execution tracker with shipped, committed work (R-253..R-279).</t>
        </is>
      </c>
    </row>
    <row r="40" ht="34" customHeight="1" s="401">
      <c r="A40" s="419" t="inlineStr">
        <is>
          <t>R-275</t>
        </is>
      </c>
      <c r="B40" s="419" t="inlineStr">
        <is>
          <t>MVP</t>
        </is>
      </c>
      <c r="C40" s="419" t="inlineStr">
        <is>
          <t>Builder</t>
        </is>
      </c>
      <c r="D40" s="419" t="inlineStr">
        <is>
          <t>Rich App Dashboard Overview Page in Generated Next.js Web App</t>
        </is>
      </c>
      <c r="E40"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40" s="419" t="inlineStr">
        <is>
          <t>P1</t>
        </is>
      </c>
      <c r="G40" s="419" t="inlineStr">
        <is>
          <t>Claude (Opus 4.8)</t>
        </is>
      </c>
      <c r="H40" s="419" t="inlineStr">
        <is>
          <t>Done</t>
        </is>
      </c>
      <c r="I40" s="420" t="n">
        <v>1</v>
      </c>
      <c r="J40" s="419" t="inlineStr">
        <is>
          <t>R-274</t>
        </is>
      </c>
      <c r="K40" s="419" t="inlineStr">
        <is>
          <t>Founder Stage 0</t>
        </is>
      </c>
      <c r="L40" s="419" t="inlineStr">
        <is>
          <t>task verify pass; impl 95e9587; offline/deterministic, 0 cloud calls.</t>
        </is>
      </c>
      <c r="M40" s="419" t="inlineStr">
        <is>
          <t>Backfilled to reconcile the execution tracker with shipped, committed work (R-253..R-279).</t>
        </is>
      </c>
    </row>
    <row r="41" ht="34" customHeight="1" s="401">
      <c r="A41" s="419" t="inlineStr">
        <is>
          <t>R-274</t>
        </is>
      </c>
      <c r="B41" s="419" t="inlineStr">
        <is>
          <t>MVP</t>
        </is>
      </c>
      <c r="C41" s="419" t="inlineStr">
        <is>
          <t>Builder</t>
        </is>
      </c>
      <c r="D41" s="419" t="inlineStr">
        <is>
          <t>Form Screen Post-Submit Contextual CTAs, Record Navigation &amp; Cancel Actions</t>
        </is>
      </c>
      <c r="E41"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41" s="419" t="inlineStr">
        <is>
          <t>P1</t>
        </is>
      </c>
      <c r="G41" s="419" t="inlineStr">
        <is>
          <t>Claude (Opus 4.8)</t>
        </is>
      </c>
      <c r="H41" s="419" t="inlineStr">
        <is>
          <t>Done</t>
        </is>
      </c>
      <c r="I41" s="420" t="n">
        <v>1</v>
      </c>
      <c r="J41" s="419" t="inlineStr">
        <is>
          <t>R-273</t>
        </is>
      </c>
      <c r="K41" s="419" t="inlineStr">
        <is>
          <t>Founder Stage 0</t>
        </is>
      </c>
      <c r="L41" s="419" t="inlineStr">
        <is>
          <t>task verify pass; impl 2269834; offline/deterministic, 0 cloud calls.</t>
        </is>
      </c>
      <c r="M41" s="419" t="inlineStr">
        <is>
          <t>Backfilled to reconcile the execution tracker with shipped, committed work (R-253..R-279).</t>
        </is>
      </c>
    </row>
    <row r="42" ht="34" customHeight="1" s="401">
      <c r="A42" s="419" t="inlineStr">
        <is>
          <t>R-273</t>
        </is>
      </c>
      <c r="B42" s="419" t="inlineStr">
        <is>
          <t>MVP</t>
        </is>
      </c>
      <c r="C42" s="419" t="inlineStr">
        <is>
          <t>Builder</t>
        </is>
      </c>
      <c r="D42" s="419" t="inlineStr">
        <is>
          <t>Global Responsive Navigation Shell &amp; Header Navbar in Generated Next.js Web App</t>
        </is>
      </c>
      <c r="E42"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42" s="419" t="inlineStr">
        <is>
          <t>P1</t>
        </is>
      </c>
      <c r="G42" s="419" t="inlineStr">
        <is>
          <t>Claude (Opus 4.8)</t>
        </is>
      </c>
      <c r="H42" s="419" t="inlineStr">
        <is>
          <t>Done</t>
        </is>
      </c>
      <c r="I42" s="420" t="n">
        <v>1</v>
      </c>
      <c r="J42" s="419" t="inlineStr">
        <is>
          <t>R-272</t>
        </is>
      </c>
      <c r="K42" s="419" t="inlineStr">
        <is>
          <t>Founder Stage 0</t>
        </is>
      </c>
      <c r="L42" s="419" t="inlineStr">
        <is>
          <t>task verify pass; impl 82c8c7b; offline/deterministic, 0 cloud calls.</t>
        </is>
      </c>
      <c r="M42" s="419" t="inlineStr">
        <is>
          <t>Backfilled to reconcile the execution tracker with shipped, committed work (R-253..R-279).</t>
        </is>
      </c>
    </row>
    <row r="43" ht="34" customHeight="1" s="401">
      <c r="A43" s="419" t="inlineStr">
        <is>
          <t>R-272</t>
        </is>
      </c>
      <c r="B43" s="419" t="inlineStr">
        <is>
          <t>MVP</t>
        </is>
      </c>
      <c r="C43" s="419" t="inlineStr">
        <is>
          <t>Builder</t>
        </is>
      </c>
      <c r="D43" s="419" t="inlineStr">
        <is>
          <t>Deep-Linking &amp; Entity Lifecycle in Next.js Detail Screens</t>
        </is>
      </c>
      <c r="E43" s="419" t="inlineStr">
        <is>
          <t>Deep-Linking &amp; Entity Lifecycle in Next.js Detail Screens</t>
        </is>
      </c>
      <c r="F43" s="419" t="inlineStr">
        <is>
          <t>P1</t>
        </is>
      </c>
      <c r="G43" s="419" t="inlineStr">
        <is>
          <t>Claude (Opus 4.8)</t>
        </is>
      </c>
      <c r="H43" s="419" t="inlineStr">
        <is>
          <t>Done</t>
        </is>
      </c>
      <c r="I43" s="420" t="n">
        <v>1</v>
      </c>
      <c r="J43" s="419" t="inlineStr">
        <is>
          <t>R-271</t>
        </is>
      </c>
      <c r="K43" s="419" t="inlineStr">
        <is>
          <t>Founder Stage 0</t>
        </is>
      </c>
      <c r="L43" s="419" t="inlineStr">
        <is>
          <t>task verify 646 tests; impl f055958; offline/deterministic, 0 cloud calls.</t>
        </is>
      </c>
      <c r="M43" s="419" t="inlineStr">
        <is>
          <t>Backfilled to reconcile the execution tracker with shipped, committed work (R-253..R-279).</t>
        </is>
      </c>
    </row>
    <row r="44" ht="34" customHeight="1" s="401">
      <c r="A44" s="419" t="inlineStr">
        <is>
          <t>R-271</t>
        </is>
      </c>
      <c r="B44" s="419" t="inlineStr">
        <is>
          <t>MVP</t>
        </is>
      </c>
      <c r="C44" s="419" t="inlineStr">
        <is>
          <t>Builder</t>
        </is>
      </c>
      <c r="D44" s="419" t="inlineStr">
        <is>
          <t>CSV Data Export &amp; Bulk Export in Generated Next.js Collection Screens</t>
        </is>
      </c>
      <c r="E44"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44" s="419" t="inlineStr">
        <is>
          <t>P1</t>
        </is>
      </c>
      <c r="G44" s="419" t="inlineStr">
        <is>
          <t>Claude (Opus 4.8)</t>
        </is>
      </c>
      <c r="H44" s="419" t="inlineStr">
        <is>
          <t>Done</t>
        </is>
      </c>
      <c r="I44" s="420" t="n">
        <v>1</v>
      </c>
      <c r="J44" s="419" t="inlineStr">
        <is>
          <t>R-270</t>
        </is>
      </c>
      <c r="K44" s="419" t="inlineStr">
        <is>
          <t>Founder Stage 0</t>
        </is>
      </c>
      <c r="L44" s="419" t="inlineStr">
        <is>
          <t>task verify 630 tests; impl 5d34220; offline/deterministic, 0 cloud calls.</t>
        </is>
      </c>
      <c r="M44" s="419" t="inlineStr">
        <is>
          <t>Backfilled to reconcile the execution tracker with shipped, committed work (R-253..R-279).</t>
        </is>
      </c>
    </row>
    <row r="45" ht="34" customHeight="1" s="401">
      <c r="A45" s="419" t="inlineStr">
        <is>
          <t>R-270</t>
        </is>
      </c>
      <c r="B45" s="419" t="inlineStr">
        <is>
          <t>MVP</t>
        </is>
      </c>
      <c r="C45" s="419" t="inlineStr">
        <is>
          <t>Builder</t>
        </is>
      </c>
      <c r="D45" s="419" t="inlineStr">
        <is>
          <t>Bulk Selection &amp; Batch Deletion in Generated Next.js Collection Screens</t>
        </is>
      </c>
      <c r="E45"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45" s="419" t="inlineStr">
        <is>
          <t>P1</t>
        </is>
      </c>
      <c r="G45" s="419" t="inlineStr">
        <is>
          <t>Claude (Opus 4.8)</t>
        </is>
      </c>
      <c r="H45" s="419" t="inlineStr">
        <is>
          <t>Done</t>
        </is>
      </c>
      <c r="I45" s="420" t="n">
        <v>1</v>
      </c>
      <c r="J45" s="419" t="inlineStr">
        <is>
          <t>R-269</t>
        </is>
      </c>
      <c r="K45" s="419" t="inlineStr">
        <is>
          <t>Founder Stage 0</t>
        </is>
      </c>
      <c r="L45" s="419" t="inlineStr">
        <is>
          <t>task verify 614 tests; impl e0857c5; offline/deterministic, 0 cloud calls.</t>
        </is>
      </c>
      <c r="M45" s="419" t="inlineStr">
        <is>
          <t>Backfilled to reconcile the execution tracker with shipped, committed work (R-253..R-279).</t>
        </is>
      </c>
    </row>
    <row r="46" ht="34" customHeight="1" s="401">
      <c r="A46" s="419" t="inlineStr">
        <is>
          <t>R-269</t>
        </is>
      </c>
      <c r="B46" s="419" t="inlineStr">
        <is>
          <t>MVP</t>
        </is>
      </c>
      <c r="C46" s="419" t="inlineStr">
        <is>
          <t>Builder</t>
        </is>
      </c>
      <c r="D46" s="419" t="inlineStr">
        <is>
          <t>Page Size Selector &amp; Contextual Empty State CTAs in Generated Next.js Screens</t>
        </is>
      </c>
      <c r="E46"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46" s="419" t="inlineStr">
        <is>
          <t>P1</t>
        </is>
      </c>
      <c r="G46" s="419" t="inlineStr">
        <is>
          <t>Claude (Opus 4.8)</t>
        </is>
      </c>
      <c r="H46" s="419" t="inlineStr">
        <is>
          <t>Done</t>
        </is>
      </c>
      <c r="I46" s="420" t="n">
        <v>1</v>
      </c>
      <c r="J46" s="419" t="inlineStr">
        <is>
          <t>R-268</t>
        </is>
      </c>
      <c r="K46" s="419" t="inlineStr">
        <is>
          <t>Founder Stage 0</t>
        </is>
      </c>
      <c r="L46" s="419" t="inlineStr">
        <is>
          <t>task verify 598 tests; impl a34dfc8; offline/deterministic, 0 cloud calls.</t>
        </is>
      </c>
      <c r="M46" s="419" t="inlineStr">
        <is>
          <t>Backfilled to reconcile the execution tracker with shipped, committed work (R-253..R-279).</t>
        </is>
      </c>
    </row>
    <row r="47" ht="34" customHeight="1" s="401">
      <c r="A47" s="419" t="inlineStr">
        <is>
          <t>R-268</t>
        </is>
      </c>
      <c r="B47" s="419" t="inlineStr">
        <is>
          <t>MVP</t>
        </is>
      </c>
      <c r="C47" s="419" t="inlineStr">
        <is>
          <t>Builder</t>
        </is>
      </c>
      <c r="D47" s="419" t="inlineStr">
        <is>
          <t>Subcollection Child Item Deletion &amp; Mutation Feedback in Master-Detail Views</t>
        </is>
      </c>
      <c r="E47"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7" s="419" t="inlineStr">
        <is>
          <t>P1</t>
        </is>
      </c>
      <c r="G47" s="419" t="inlineStr">
        <is>
          <t>Claude (Opus 4.8)</t>
        </is>
      </c>
      <c r="H47" s="419" t="inlineStr">
        <is>
          <t>Done</t>
        </is>
      </c>
      <c r="I47" s="420" t="n">
        <v>1</v>
      </c>
      <c r="J47" s="419" t="inlineStr">
        <is>
          <t>R-267</t>
        </is>
      </c>
      <c r="K47" s="419" t="inlineStr">
        <is>
          <t>Founder Stage 0</t>
        </is>
      </c>
      <c r="L47" s="419" t="inlineStr">
        <is>
          <t>task verify pass; impl 3ae89bb; offline/deterministic, 0 cloud calls.</t>
        </is>
      </c>
      <c r="M47" s="419" t="inlineStr">
        <is>
          <t>Backfilled to reconcile the execution tracker with shipped, committed work (R-253..R-279).</t>
        </is>
      </c>
    </row>
    <row r="48" ht="34" customHeight="1" s="401">
      <c r="A48" s="419" t="inlineStr">
        <is>
          <t>R-267</t>
        </is>
      </c>
      <c r="B48" s="419" t="inlineStr">
        <is>
          <t>MVP</t>
        </is>
      </c>
      <c r="C48" s="419" t="inlineStr">
        <is>
          <t>Builder</t>
        </is>
      </c>
      <c r="D48" s="419" t="inlineStr">
        <is>
          <t>Foreign-Key Relation Selectors &amp; Parent Auto-Population in Generated Next.js Forms</t>
        </is>
      </c>
      <c r="E48"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8" s="419" t="inlineStr">
        <is>
          <t>P1</t>
        </is>
      </c>
      <c r="G48" s="419" t="inlineStr">
        <is>
          <t>Claude (Opus 4.8)</t>
        </is>
      </c>
      <c r="H48" s="419" t="inlineStr">
        <is>
          <t>Done</t>
        </is>
      </c>
      <c r="I48" s="420" t="n">
        <v>1</v>
      </c>
      <c r="J48" s="419" t="inlineStr">
        <is>
          <t>R-266</t>
        </is>
      </c>
      <c r="K48" s="419" t="inlineStr">
        <is>
          <t>Founder Stage 0</t>
        </is>
      </c>
      <c r="L48" s="419" t="inlineStr">
        <is>
          <t>task verify pass; impl 667c30a; offline/deterministic, 0 cloud calls.</t>
        </is>
      </c>
      <c r="M48" s="419" t="inlineStr">
        <is>
          <t>Backfilled to reconcile the execution tracker with shipped, committed work (R-253..R-279).</t>
        </is>
      </c>
    </row>
    <row r="49" ht="34" customHeight="1" s="401">
      <c r="A49" s="419" t="inlineStr">
        <is>
          <t>R-266</t>
        </is>
      </c>
      <c r="B49" s="419" t="inlineStr">
        <is>
          <t>MVP</t>
        </is>
      </c>
      <c r="C49" s="419" t="inlineStr">
        <is>
          <t>Builder</t>
        </is>
      </c>
      <c r="D49" s="419" t="inlineStr">
        <is>
          <t>Update/Edit Mode in Generated Next.js Forms &amp; Collection Screen Edit Actions</t>
        </is>
      </c>
      <c r="E49"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9" s="419" t="inlineStr">
        <is>
          <t>P1</t>
        </is>
      </c>
      <c r="G49" s="419" t="inlineStr">
        <is>
          <t>Claude (Opus 4.8)</t>
        </is>
      </c>
      <c r="H49" s="419" t="inlineStr">
        <is>
          <t>Done</t>
        </is>
      </c>
      <c r="I49" s="420" t="n">
        <v>1</v>
      </c>
      <c r="J49" s="419" t="inlineStr">
        <is>
          <t>R-265</t>
        </is>
      </c>
      <c r="K49" s="419" t="inlineStr">
        <is>
          <t>Founder Stage 0</t>
        </is>
      </c>
      <c r="L49" s="419" t="inlineStr">
        <is>
          <t>task verify pass; impl 9dd0095; offline/deterministic, 0 cloud calls.</t>
        </is>
      </c>
      <c r="M49" s="419" t="inlineStr">
        <is>
          <t>Backfilled to reconcile the execution tracker with shipped, committed work (R-253..R-279).</t>
        </is>
      </c>
    </row>
    <row r="50" ht="34" customHeight="1" s="401">
      <c r="A50" s="419" t="inlineStr">
        <is>
          <t>R-265</t>
        </is>
      </c>
      <c r="B50" s="419" t="inlineStr">
        <is>
          <t>MVP</t>
        </is>
      </c>
      <c r="C50" s="419" t="inlineStr">
        <is>
          <t>Builder</t>
        </is>
      </c>
      <c r="D50" s="419" t="inlineStr">
        <is>
          <t>Subcollection Navigation &amp; Master-Detail Views in Generated Screens</t>
        </is>
      </c>
      <c r="E50"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50" s="419" t="inlineStr">
        <is>
          <t>P1</t>
        </is>
      </c>
      <c r="G50" s="419" t="inlineStr">
        <is>
          <t>Claude (Opus 4.8)</t>
        </is>
      </c>
      <c r="H50" s="419" t="inlineStr">
        <is>
          <t>Done</t>
        </is>
      </c>
      <c r="I50" s="420" t="n">
        <v>1</v>
      </c>
      <c r="J50" s="419" t="inlineStr">
        <is>
          <t>R-264</t>
        </is>
      </c>
      <c r="K50" s="419" t="inlineStr">
        <is>
          <t>Founder Stage 0</t>
        </is>
      </c>
      <c r="L50" s="419" t="inlineStr">
        <is>
          <t>task verify pass; impl 0926d6e; offline/deterministic, 0 cloud calls.</t>
        </is>
      </c>
      <c r="M50" s="419" t="inlineStr">
        <is>
          <t>Backfilled to reconcile the execution tracker with shipped, committed work (R-253..R-279).</t>
        </is>
      </c>
    </row>
    <row r="51" ht="34" customHeight="1" s="401">
      <c r="A51" s="419" t="inlineStr">
        <is>
          <t>R-264</t>
        </is>
      </c>
      <c r="B51" s="419" t="inlineStr">
        <is>
          <t>MVP</t>
        </is>
      </c>
      <c r="C51" s="419" t="inlineStr">
        <is>
          <t>Builder</t>
        </is>
      </c>
      <c r="D51" s="419" t="inlineStr">
        <is>
          <t>Field-Level Validation &amp; Error Feedback in Generated Next.js Forms</t>
        </is>
      </c>
      <c r="E51"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51" s="419" t="inlineStr">
        <is>
          <t>P1</t>
        </is>
      </c>
      <c r="G51" s="419" t="inlineStr">
        <is>
          <t>Claude (Opus 4.8)</t>
        </is>
      </c>
      <c r="H51" s="419" t="inlineStr">
        <is>
          <t>Done</t>
        </is>
      </c>
      <c r="I51" s="420" t="n">
        <v>1</v>
      </c>
      <c r="J51" s="419" t="inlineStr">
        <is>
          <t>R-263</t>
        </is>
      </c>
      <c r="K51" s="419" t="inlineStr">
        <is>
          <t>Founder Stage 0</t>
        </is>
      </c>
      <c r="L51" s="419" t="inlineStr">
        <is>
          <t>task verify pass; impl 558a75a; offline/deterministic, 0 cloud calls.</t>
        </is>
      </c>
      <c r="M51" s="419" t="inlineStr">
        <is>
          <t>Backfilled to reconcile the execution tracker with shipped, committed work (R-253..R-279).</t>
        </is>
      </c>
    </row>
    <row r="52" ht="34" customHeight="1" s="401">
      <c r="A52" s="419" t="inlineStr">
        <is>
          <t>R-263</t>
        </is>
      </c>
      <c r="B52" s="419" t="inlineStr">
        <is>
          <t>MVP</t>
        </is>
      </c>
      <c r="C52" s="419" t="inlineStr">
        <is>
          <t>Builder</t>
        </is>
      </c>
      <c r="D52" s="419" t="inlineStr">
        <is>
          <t>Interactive Screen Component Generator with Real Data Binding (apps/web/app/&lt;screen&gt;/page.tsx)</t>
        </is>
      </c>
      <c r="E52"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52" s="419" t="inlineStr">
        <is>
          <t>P1</t>
        </is>
      </c>
      <c r="G52" s="419" t="inlineStr">
        <is>
          <t>Claude (Opus 4.8)</t>
        </is>
      </c>
      <c r="H52" s="419" t="inlineStr">
        <is>
          <t>Done</t>
        </is>
      </c>
      <c r="I52" s="420" t="n">
        <v>1</v>
      </c>
      <c r="J52" s="419" t="inlineStr">
        <is>
          <t>R-262</t>
        </is>
      </c>
      <c r="K52" s="419" t="inlineStr">
        <is>
          <t>Founder Stage 0</t>
        </is>
      </c>
      <c r="L52" s="419" t="inlineStr">
        <is>
          <t>task verify pass; impl da914ba; offline/deterministic, 0 cloud calls.</t>
        </is>
      </c>
      <c r="M52" s="419" t="inlineStr">
        <is>
          <t>Backfilled to reconcile the execution tracker with shipped, committed work (R-253..R-279).</t>
        </is>
      </c>
    </row>
    <row r="53" ht="34" customHeight="1" s="401">
      <c r="A53" s="419" t="inlineStr">
        <is>
          <t>R-262</t>
        </is>
      </c>
      <c r="B53" s="419" t="inlineStr">
        <is>
          <t>MVP</t>
        </is>
      </c>
      <c r="C53" s="419" t="inlineStr">
        <is>
          <t>Builder</t>
        </is>
      </c>
      <c r="D53" s="419" t="inlineStr">
        <is>
          <t>React Data-Fetching &amp; Mutation Hooks Generator (apps/web/lib/hooks.ts)</t>
        </is>
      </c>
      <c r="E53"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53" s="419" t="inlineStr">
        <is>
          <t>P1</t>
        </is>
      </c>
      <c r="G53" s="419" t="inlineStr">
        <is>
          <t>Claude (Opus 4.8)</t>
        </is>
      </c>
      <c r="H53" s="419" t="inlineStr">
        <is>
          <t>Done</t>
        </is>
      </c>
      <c r="I53" s="420" t="n">
        <v>1</v>
      </c>
      <c r="J53" s="419" t="inlineStr">
        <is>
          <t>R-261</t>
        </is>
      </c>
      <c r="K53" s="419" t="inlineStr">
        <is>
          <t>Founder Stage 0</t>
        </is>
      </c>
      <c r="L53" s="419" t="inlineStr">
        <is>
          <t>task verify pass; impl f16f64c (bundled commit R-260..R-262); offline/deterministic, 0 cloud calls.</t>
        </is>
      </c>
      <c r="M53" s="419" t="inlineStr">
        <is>
          <t>Backfilled to reconcile the execution tracker with shipped, committed work (R-253..R-279).</t>
        </is>
      </c>
    </row>
    <row r="54" ht="34" customHeight="1" s="401">
      <c r="A54" s="419" t="inlineStr">
        <is>
          <t>R-261</t>
        </is>
      </c>
      <c r="B54" s="419" t="inlineStr">
        <is>
          <t>MVP</t>
        </is>
      </c>
      <c r="C54" s="419" t="inlineStr">
        <is>
          <t>Builder</t>
        </is>
      </c>
      <c r="D54" s="419" t="inlineStr">
        <is>
          <t>Full-Text / Keyword Search Filtering on LIST Endpoints</t>
        </is>
      </c>
      <c r="E54"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54" s="419" t="inlineStr">
        <is>
          <t>P1</t>
        </is>
      </c>
      <c r="G54" s="419" t="inlineStr">
        <is>
          <t>Claude (Opus 4.8)</t>
        </is>
      </c>
      <c r="H54" s="419" t="inlineStr">
        <is>
          <t>Done</t>
        </is>
      </c>
      <c r="I54" s="420" t="n">
        <v>1</v>
      </c>
      <c r="J54" s="419" t="inlineStr">
        <is>
          <t>R-260</t>
        </is>
      </c>
      <c r="K54" s="419" t="inlineStr">
        <is>
          <t>Founder Stage 0</t>
        </is>
      </c>
      <c r="L54" s="419" t="inlineStr">
        <is>
          <t>task verify 491 tests; impl f16f64c (bundled commit R-260..R-262); offline/deterministic, 0 cloud calls.</t>
        </is>
      </c>
      <c r="M54" s="419" t="inlineStr">
        <is>
          <t>Backfilled to reconcile the execution tracker with shipped, committed work (R-253..R-279).</t>
        </is>
      </c>
    </row>
    <row r="55" ht="34" customHeight="1" s="401">
      <c r="A55" s="419" t="inlineStr">
        <is>
          <t>R-260</t>
        </is>
      </c>
      <c r="B55" s="419" t="inlineStr">
        <is>
          <t>MVP</t>
        </is>
      </c>
      <c r="C55" s="419" t="inlineStr">
        <is>
          <t>Builder</t>
        </is>
      </c>
      <c r="D55" s="419" t="inlineStr">
        <is>
          <t>OpenAPI 3.1 Specification Generation from Application IR</t>
        </is>
      </c>
      <c r="E55"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55" s="419" t="inlineStr">
        <is>
          <t>P1</t>
        </is>
      </c>
      <c r="G55" s="419" t="inlineStr">
        <is>
          <t>Claude (Opus 4.8)</t>
        </is>
      </c>
      <c r="H55" s="419" t="inlineStr">
        <is>
          <t>Done</t>
        </is>
      </c>
      <c r="I55" s="420" t="n">
        <v>1</v>
      </c>
      <c r="J55" s="419" t="inlineStr">
        <is>
          <t>R-259</t>
        </is>
      </c>
      <c r="K55" s="419" t="inlineStr">
        <is>
          <t>Founder Stage 0</t>
        </is>
      </c>
      <c r="L55" s="419" t="inlineStr">
        <is>
          <t>task verify 475 tests; impl f16f64c (bundled commit R-260..R-262); offline/deterministic, 0 cloud calls.</t>
        </is>
      </c>
      <c r="M55" s="419" t="inlineStr">
        <is>
          <t>Backfilled to reconcile the execution tracker with shipped, committed work (R-253..R-279).</t>
        </is>
      </c>
    </row>
    <row r="56" ht="34" customHeight="1" s="401">
      <c r="A56" s="419" t="inlineStr">
        <is>
          <t>R-259</t>
        </is>
      </c>
      <c r="B56" s="419" t="inlineStr">
        <is>
          <t>MVP</t>
        </is>
      </c>
      <c r="C56" s="419" t="inlineStr">
        <is>
          <t>Builder</t>
        </is>
      </c>
      <c r="D56" s="419" t="inlineStr">
        <is>
          <t>Total Count Queries &amp; `X-Total-Count` Header on LIST Endpoints</t>
        </is>
      </c>
      <c r="E56"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56" s="419" t="inlineStr">
        <is>
          <t>P1</t>
        </is>
      </c>
      <c r="G56" s="419" t="inlineStr">
        <is>
          <t>Claude (Opus 4.8)</t>
        </is>
      </c>
      <c r="H56" s="419" t="inlineStr">
        <is>
          <t>Done</t>
        </is>
      </c>
      <c r="I56" s="420" t="n">
        <v>1</v>
      </c>
      <c r="J56" s="419" t="inlineStr">
        <is>
          <t>R-258</t>
        </is>
      </c>
      <c r="K56" s="419" t="inlineStr">
        <is>
          <t>Founder Stage 0</t>
        </is>
      </c>
      <c r="L56" s="419" t="inlineStr">
        <is>
          <t>task verify 461 tests; impl f55550a; offline/deterministic, 0 cloud calls.</t>
        </is>
      </c>
      <c r="M56" s="419" t="inlineStr">
        <is>
          <t>Backfilled to reconcile the execution tracker with shipped, committed work (R-253..R-279).</t>
        </is>
      </c>
    </row>
    <row r="57" ht="34" customHeight="1" s="401">
      <c r="A57" s="419" t="inlineStr">
        <is>
          <t>R-258</t>
        </is>
      </c>
      <c r="B57" s="419" t="inlineStr">
        <is>
          <t>MVP</t>
        </is>
      </c>
      <c r="C57" s="419" t="inlineStr">
        <is>
          <t>Builder</t>
        </is>
      </c>
      <c r="D57" s="419" t="inlineStr">
        <is>
          <t>Query Parameter Sorting (`sort` &amp; `order=asc|desc`) on LIST Endpoints with SQL Injection Whitelist Protection</t>
        </is>
      </c>
      <c r="E57"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7" s="419" t="inlineStr">
        <is>
          <t>P1</t>
        </is>
      </c>
      <c r="G57" s="419" t="inlineStr">
        <is>
          <t>Claude (Opus 4.8)</t>
        </is>
      </c>
      <c r="H57" s="419" t="inlineStr">
        <is>
          <t>Done</t>
        </is>
      </c>
      <c r="I57" s="420" t="n">
        <v>1</v>
      </c>
      <c r="J57" s="419" t="inlineStr">
        <is>
          <t>R-257</t>
        </is>
      </c>
      <c r="K57" s="419" t="inlineStr">
        <is>
          <t>Founder Stage 0</t>
        </is>
      </c>
      <c r="L57" s="419" t="inlineStr">
        <is>
          <t>task verify 446 tests; impl 34b6d44 (bundled commit R-254..R-258); offline/deterministic, 0 cloud calls.</t>
        </is>
      </c>
      <c r="M57" s="419" t="inlineStr">
        <is>
          <t>Backfilled to reconcile the execution tracker with shipped, committed work (R-253..R-279).</t>
        </is>
      </c>
    </row>
    <row r="58" ht="34" customHeight="1" s="401">
      <c r="A58" s="419" t="inlineStr">
        <is>
          <t>R-257</t>
        </is>
      </c>
      <c r="B58" s="419" t="inlineStr">
        <is>
          <t>MVP</t>
        </is>
      </c>
      <c r="C58" s="419" t="inlineStr">
        <is>
          <t>Builder</t>
        </is>
      </c>
      <c r="D58" s="419" t="inlineStr">
        <is>
          <t>Full-Stack Connectivity: Next.js Typed API Client (`lib/api.ts`) &amp; Backend CORS Middleware</t>
        </is>
      </c>
      <c r="E58"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8" s="419" t="inlineStr">
        <is>
          <t>P1</t>
        </is>
      </c>
      <c r="G58" s="419" t="inlineStr">
        <is>
          <t>Claude (Opus 4.8)</t>
        </is>
      </c>
      <c r="H58" s="419" t="inlineStr">
        <is>
          <t>Done</t>
        </is>
      </c>
      <c r="I58" s="420" t="n">
        <v>1</v>
      </c>
      <c r="J58" s="419" t="inlineStr">
        <is>
          <t>R-256</t>
        </is>
      </c>
      <c r="K58" s="419" t="inlineStr">
        <is>
          <t>Founder Stage 0</t>
        </is>
      </c>
      <c r="L58" s="419" t="inlineStr">
        <is>
          <t>task verify pass; impl 34b6d44 (bundled commit R-254..R-258); offline/deterministic, 0 cloud calls.</t>
        </is>
      </c>
      <c r="M58" s="419" t="inlineStr">
        <is>
          <t>Backfilled to reconcile the execution tracker with shipped, committed work (R-253..R-279).</t>
        </is>
      </c>
    </row>
    <row r="59" ht="34" customHeight="1" s="401">
      <c r="A59" s="419" t="inlineStr">
        <is>
          <t>R-256</t>
        </is>
      </c>
      <c r="B59" s="419" t="inlineStr">
        <is>
          <t>MVP</t>
        </is>
      </c>
      <c r="C59" s="419" t="inlineStr">
        <is>
          <t>Builder</t>
        </is>
      </c>
      <c r="D59" s="419" t="inlineStr">
        <is>
          <t>Wire PUT handlers (full-replace update) with validation in Go and FastAPI backends</t>
        </is>
      </c>
      <c r="E59"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9" s="419" t="inlineStr">
        <is>
          <t>P1</t>
        </is>
      </c>
      <c r="G59" s="419" t="inlineStr">
        <is>
          <t>Claude (Opus 4.8)</t>
        </is>
      </c>
      <c r="H59" s="419" t="inlineStr">
        <is>
          <t>Done</t>
        </is>
      </c>
      <c r="I59" s="420" t="n">
        <v>1</v>
      </c>
      <c r="J59" s="419" t="inlineStr">
        <is>
          <t>R-255</t>
        </is>
      </c>
      <c r="K59" s="419" t="inlineStr">
        <is>
          <t>Founder Stage 0</t>
        </is>
      </c>
      <c r="L59" s="419" t="inlineStr">
        <is>
          <t>task verify 420 tests; impl 34b6d44 (bundled commit R-254..R-258); offline/deterministic, 0 cloud calls.</t>
        </is>
      </c>
      <c r="M59" s="419" t="inlineStr">
        <is>
          <t>Backfilled to reconcile the execution tracker with shipped, committed work (R-253..R-279).</t>
        </is>
      </c>
    </row>
    <row r="60" ht="34" customHeight="1" s="401">
      <c r="A60" s="419" t="inlineStr">
        <is>
          <t>R-255</t>
        </is>
      </c>
      <c r="B60" s="419" t="inlineStr">
        <is>
          <t>MVP</t>
        </is>
      </c>
      <c r="C60" s="419" t="inlineStr">
        <is>
          <t>Builder</t>
        </is>
      </c>
      <c r="D60" s="419" t="inlineStr">
        <is>
          <t>Query parameter pagination (limit &amp; offset) for LIST and LIST_BY in Go and FastAPI backends</t>
        </is>
      </c>
      <c r="E60"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60" s="419" t="inlineStr">
        <is>
          <t>P1</t>
        </is>
      </c>
      <c r="G60" s="419" t="inlineStr">
        <is>
          <t>Claude (Opus 4.8)</t>
        </is>
      </c>
      <c r="H60" s="419" t="inlineStr">
        <is>
          <t>Done</t>
        </is>
      </c>
      <c r="I60" s="420" t="n">
        <v>1</v>
      </c>
      <c r="J60" s="419" t="inlineStr">
        <is>
          <t>R-254</t>
        </is>
      </c>
      <c r="K60" s="419" t="inlineStr">
        <is>
          <t>Founder Stage 0</t>
        </is>
      </c>
      <c r="L60" s="419" t="inlineStr">
        <is>
          <t>task verify pass; impl 34b6d44 (bundled commit R-254..R-258); offline/deterministic, 0 cloud calls.</t>
        </is>
      </c>
      <c r="M60" s="419" t="inlineStr">
        <is>
          <t>Backfilled to reconcile the execution tracker with shipped, committed work (R-253..R-279).</t>
        </is>
      </c>
    </row>
    <row r="61" ht="34" customHeight="1" s="401">
      <c r="A61" s="419" t="inlineStr">
        <is>
          <t>R-254</t>
        </is>
      </c>
      <c r="B61" s="419" t="inlineStr">
        <is>
          <t>MVP</t>
        </is>
      </c>
      <c r="C61" s="419" t="inlineStr">
        <is>
          <t>Builder</t>
        </is>
      </c>
      <c r="D61" s="419" t="inlineStr">
        <is>
          <t>Field-level validation error bodies (structured JSON errors instead of flat string)</t>
        </is>
      </c>
      <c r="E61"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61" s="419" t="inlineStr">
        <is>
          <t>P1</t>
        </is>
      </c>
      <c r="G61" s="419" t="inlineStr">
        <is>
          <t>Claude (Opus 4.8)</t>
        </is>
      </c>
      <c r="H61" s="419" t="inlineStr">
        <is>
          <t>Done</t>
        </is>
      </c>
      <c r="I61" s="420" t="n">
        <v>1</v>
      </c>
      <c r="J61" s="419" t="inlineStr">
        <is>
          <t>R-253</t>
        </is>
      </c>
      <c r="K61" s="419" t="inlineStr">
        <is>
          <t>Founder Stage 0</t>
        </is>
      </c>
      <c r="L61" s="419" t="inlineStr">
        <is>
          <t>task verify 398 tests; impl 34b6d44 (bundled commit R-254..R-258); offline/deterministic, 0 cloud calls.</t>
        </is>
      </c>
      <c r="M61" s="419" t="inlineStr">
        <is>
          <t>Backfilled to reconcile the execution tracker with shipped, committed work (R-253..R-279).</t>
        </is>
      </c>
    </row>
    <row r="62" ht="34" customHeight="1" s="401">
      <c r="A62" s="419" t="inlineStr">
        <is>
          <t>R-253</t>
        </is>
      </c>
      <c r="B62" s="419" t="inlineStr">
        <is>
          <t>MVP</t>
        </is>
      </c>
      <c r="C62" s="419" t="inlineStr">
        <is>
          <t>Builder</t>
        </is>
      </c>
      <c r="D62" s="419" t="inlineStr">
        <is>
          <t>Wire PATCH/update handlers with validation in Go and FastAPI backends</t>
        </is>
      </c>
      <c r="E62"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62" s="419" t="inlineStr">
        <is>
          <t>P1</t>
        </is>
      </c>
      <c r="G62" s="419" t="inlineStr">
        <is>
          <t>Claude (Opus 4.8)</t>
        </is>
      </c>
      <c r="H62" s="419" t="inlineStr">
        <is>
          <t>Done</t>
        </is>
      </c>
      <c r="I62" s="420" t="n">
        <v>1</v>
      </c>
      <c r="J62" s="419" t="inlineStr">
        <is>
          <t>R-252</t>
        </is>
      </c>
      <c r="K62" s="419" t="inlineStr">
        <is>
          <t>Founder Stage 0</t>
        </is>
      </c>
      <c r="L62" s="419" t="inlineStr">
        <is>
          <t>task verify 360 tests; impl 5b2e1c1; offline/deterministic, 0 cloud calls.</t>
        </is>
      </c>
      <c r="M62" s="419" t="inlineStr">
        <is>
          <t>Backfilled to reconcile the execution tracker with shipped, committed work (R-253..R-279).</t>
        </is>
      </c>
    </row>
    <row r="63" ht="34" customHeight="1" s="401">
      <c r="A63" s="419" t="inlineStr">
        <is>
          <t>R-252</t>
        </is>
      </c>
      <c r="B63" s="419" t="inlineStr">
        <is>
          <t>MVP</t>
        </is>
      </c>
      <c r="C63" s="419" t="inlineStr">
        <is>
          <t>Builder</t>
        </is>
      </c>
      <c r="D63" s="419" t="inlineStr">
        <is>
          <t>Enforce go-playground validation in the generated Go create handlers</t>
        </is>
      </c>
      <c r="E63"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63" s="419" t="inlineStr">
        <is>
          <t>P1</t>
        </is>
      </c>
      <c r="G63" s="419" t="inlineStr">
        <is>
          <t>Claude (Opus 4.8)</t>
        </is>
      </c>
      <c r="H63" s="419" t="inlineStr">
        <is>
          <t>Done</t>
        </is>
      </c>
      <c r="I63" s="420" t="n">
        <v>1</v>
      </c>
      <c r="J63" s="419" t="inlineStr">
        <is>
          <t>R-251</t>
        </is>
      </c>
      <c r="K63" s="419" t="inlineStr">
        <is>
          <t>Founder Stage 0</t>
        </is>
      </c>
      <c r="L63"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63" s="419" t="inlineStr">
        <is>
          <t>Founder chose option 1 after R-251 (wire enforcement, not static/seed rendering). Reconstructed with founder approval from Brief Sections 9, 26, 27, 34, 42, 74, 77, and 92.</t>
        </is>
      </c>
    </row>
    <row r="64" ht="34" customHeight="1" s="401">
      <c r="A64" s="419" t="inlineStr">
        <is>
          <t>R-251</t>
        </is>
      </c>
      <c r="B64" s="419" t="inlineStr">
        <is>
          <t>MVP</t>
        </is>
      </c>
      <c r="C64" s="419" t="inlineStr">
        <is>
          <t>Builder</t>
        </is>
      </c>
      <c r="D64" s="419" t="inlineStr">
        <is>
          <t>Field validation for Go + numeric min/max (all schema/model targets)</t>
        </is>
      </c>
      <c r="E64"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64" s="419" t="inlineStr">
        <is>
          <t>P1</t>
        </is>
      </c>
      <c r="G64" s="419" t="inlineStr">
        <is>
          <t>Claude (Opus 4.8)</t>
        </is>
      </c>
      <c r="H64" s="419" t="inlineStr">
        <is>
          <t>Done</t>
        </is>
      </c>
      <c r="I64" s="420" t="n">
        <v>1</v>
      </c>
      <c r="J64" s="419" t="inlineStr">
        <is>
          <t>R-250</t>
        </is>
      </c>
      <c r="K64" s="419" t="inlineStr">
        <is>
          <t>Founder Stage 0</t>
        </is>
      </c>
      <c r="L64" s="419" t="inlineStr">
        <is>
          <t>Done 2060a21 — 345 tests (8 new); task verify + security:quick + env:check pass; numeric CHECK + Pydantic ge/le + Go validate tags across all targets; rule-free fields unchanged; no go.mod dep, no DB connection.</t>
        </is>
      </c>
      <c r="M64" s="419" t="inlineStr">
        <is>
          <t>Reconstructed with founder approval (extend field validation to Go + numeric bounds) from Brief Sections 9, 26, 27, 34, 42, 74, 77, and 92.</t>
        </is>
      </c>
    </row>
    <row r="65" ht="34" customHeight="1" s="401">
      <c r="A65" s="419" t="inlineStr">
        <is>
          <t>R-250</t>
        </is>
      </c>
      <c r="B65" s="419" t="inlineStr">
        <is>
          <t>MVP</t>
        </is>
      </c>
      <c r="C65" s="419" t="inlineStr">
        <is>
          <t>Builder</t>
        </is>
      </c>
      <c r="D65" s="419" t="inlineStr">
        <is>
          <t>Richer field validation (max_length + enum) into schema + FastAPI models</t>
        </is>
      </c>
      <c r="E65"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65" s="419" t="inlineStr">
        <is>
          <t>P1</t>
        </is>
      </c>
      <c r="G65" s="419" t="inlineStr">
        <is>
          <t>Claude (Opus 4.8)</t>
        </is>
      </c>
      <c r="H65" s="419" t="inlineStr">
        <is>
          <t>Done</t>
        </is>
      </c>
      <c r="I65" s="420" t="n">
        <v>1</v>
      </c>
      <c r="J65" s="419" t="inlineStr">
        <is>
          <t>R-249</t>
        </is>
      </c>
      <c r="K65" s="419" t="inlineStr">
        <is>
          <t>Founder Stage 0</t>
        </is>
      </c>
      <c r="L65" s="419" t="inlineStr">
        <is>
          <t>Done 1eed171 — 337 tests (10 new); task verify + security:quick + env:check pass; STRING max_length -&gt; VARCHAR(n), enum -&gt; CHECK, Pydantic Field(max_length)/Literal; unknown rules ignored; examples unchanged; no DB connection.</t>
        </is>
      </c>
      <c r="M65" s="419" t="inlineStr">
        <is>
          <t>Reconstructed with founder approval (richer field validation into models + schema) from Brief Sections 9, 26, 27, 34, 42, 74, 77, and 92.</t>
        </is>
      </c>
    </row>
    <row r="66" ht="34" customHeight="1" s="401">
      <c r="A66" s="419" t="inlineStr">
        <is>
          <t>R-249</t>
        </is>
      </c>
      <c r="B66" s="419" t="inlineStr">
        <is>
          <t>MVP</t>
        </is>
      </c>
      <c r="C66" s="419" t="inlineStr">
        <is>
          <t>Builder</t>
        </is>
      </c>
      <c r="D66" s="419" t="inlineStr">
        <is>
          <t>IR indexes + unique constraints in the generated PostgreSQL schema</t>
        </is>
      </c>
      <c r="E66"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66" s="419" t="inlineStr">
        <is>
          <t>P1</t>
        </is>
      </c>
      <c r="G66" s="419" t="inlineStr">
        <is>
          <t>Claude (Opus 4.8)</t>
        </is>
      </c>
      <c r="H66" s="419" t="inlineStr">
        <is>
          <t>Done</t>
        </is>
      </c>
      <c r="I66" s="420" t="n">
        <v>1</v>
      </c>
      <c r="J66" s="419" t="inlineStr">
        <is>
          <t>R-248</t>
        </is>
      </c>
      <c r="K66" s="419" t="inlineStr">
        <is>
          <t>Founder Stage 0</t>
        </is>
      </c>
      <c r="L66" s="419" t="inlineStr">
        <is>
          <t>Done 28e7cd5 — 327 tests (11 new); task verify + security:quick + env:check pass; UNIQUE columns + CREATE [UNIQUE] INDEX rendered, id never unique, bad index field is a construction error, IR round-trips; no DB connection.</t>
        </is>
      </c>
      <c r="M66" s="419" t="inlineStr">
        <is>
          <t>Reconstructed with founder approval (deeper IR/adapter coverage: indexes + unique constraints) from Brief Sections 9, 34, 35, 42, 74, 77, and 92.</t>
        </is>
      </c>
    </row>
    <row r="67" ht="34" customHeight="1" s="401">
      <c r="A67" s="419" t="inlineStr">
        <is>
          <t>R-248</t>
        </is>
      </c>
      <c r="B67" s="419" t="inlineStr">
        <is>
          <t>MVP</t>
        </is>
      </c>
      <c r="C67" s="419" t="inlineStr">
        <is>
          <t>Builder</t>
        </is>
      </c>
      <c r="D67" s="419" t="inlineStr">
        <is>
          <t>Application IR fixtures + honest migrations/0002_seed.sql</t>
        </is>
      </c>
      <c r="E67"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7" s="419" t="inlineStr">
        <is>
          <t>P1</t>
        </is>
      </c>
      <c r="G67" s="419" t="inlineStr">
        <is>
          <t>Claude (Opus 4.8)</t>
        </is>
      </c>
      <c r="H67" s="419" t="inlineStr">
        <is>
          <t>Done</t>
        </is>
      </c>
      <c r="I67" s="420" t="n">
        <v>1</v>
      </c>
      <c r="J67" s="419" t="inlineStr">
        <is>
          <t>R-247</t>
        </is>
      </c>
      <c r="K67" s="419" t="inlineStr">
        <is>
          <t>Founder Stage 0</t>
        </is>
      </c>
      <c r="L67"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7" s="419" t="inlineStr">
        <is>
          <t>Reconstructed with founder approval (honest seed data from explicit IR fixtures) from Brief Sections 9, 26, 27, 34, 35, 42, 74, 77, and 92.</t>
        </is>
      </c>
    </row>
    <row r="68" ht="34" customHeight="1" s="401">
      <c r="A68" s="419" t="inlineStr">
        <is>
          <t>R-247</t>
        </is>
      </c>
      <c r="B68" s="419" t="inlineStr">
        <is>
          <t>MVP</t>
        </is>
      </c>
      <c r="C68" s="419" t="inlineStr">
        <is>
          <t>Console</t>
        </is>
      </c>
      <c r="D68" s="419" t="inlineStr">
        <is>
          <t>Render the project plan and unified edit patch in the static console</t>
        </is>
      </c>
      <c r="E68"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8" s="419" t="inlineStr">
        <is>
          <t>P1</t>
        </is>
      </c>
      <c r="G68" s="419" t="inlineStr">
        <is>
          <t>Codex (GPT-5)</t>
        </is>
      </c>
      <c r="H68" s="419" t="inlineStr">
        <is>
          <t>Done</t>
        </is>
      </c>
      <c r="I68" s="420" t="n">
        <v>1</v>
      </c>
      <c r="J68" s="419" t="inlineStr">
        <is>
          <t>R-246</t>
        </is>
      </c>
      <c r="K68" s="419" t="inlineStr">
        <is>
          <t>Founder Stage 0</t>
        </is>
      </c>
      <c r="L68" s="419" t="inlineStr">
        <is>
          <t>Done 6a82056 — 302 tests (5 new); task verify + security:quick + env:check pass; deterministic snapshot; node --check; live local visual review shows 2-app plan + 5-file hunk patch; 1 local / 0 cloud model calls.</t>
        </is>
      </c>
      <c r="M68" s="419" t="inlineStr">
        <is>
          <t>Founder instructed continuation from R-247; selected the smallest visible offline console slice from the approved options. Brief Sections 6, 9, 15, 25-27, 34, 51, 74, 77, 83-85, and 92.</t>
        </is>
      </c>
    </row>
    <row r="69" ht="34" customHeight="1" s="401">
      <c r="A69" s="419" t="inlineStr">
        <is>
          <t>R-246</t>
        </is>
      </c>
      <c r="B69" s="419" t="inlineStr">
        <is>
          <t>MVP</t>
        </is>
      </c>
      <c r="C69" s="419" t="inlineStr">
        <is>
          <t>Builder</t>
        </is>
      </c>
      <c r="D69" s="419" t="inlineStr">
        <is>
          <t>Richer edit-loop diffs (hunk-level + rename detection)</t>
        </is>
      </c>
      <c r="E69"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9" s="419" t="inlineStr">
        <is>
          <t>P2</t>
        </is>
      </c>
      <c r="G69" s="419" t="inlineStr">
        <is>
          <t>Claude (Opus 4.8)</t>
        </is>
      </c>
      <c r="H69" s="419" t="inlineStr">
        <is>
          <t>Done</t>
        </is>
      </c>
      <c r="I69" s="420" t="n">
        <v>1</v>
      </c>
      <c r="J69" s="419" t="inlineStr">
        <is>
          <t>R-237</t>
        </is>
      </c>
      <c r="K69" s="419" t="inlineStr">
        <is>
          <t>Founder Stage 0</t>
        </is>
      </c>
      <c r="L69" s="419" t="inlineStr">
        <is>
          <t>Done eebab68 — 297 tests (6 new); task verify + security:quick + env:check pass; diff_report gives hunk diffs + rename detection; unified_patch byte-stable; additive, nothing run.</t>
        </is>
      </c>
      <c r="M69" s="419" t="inlineStr">
        <is>
          <t>Reconstructed with founder approval (edits read as focused patches) from Brief Sections 6, 9, 27, 34, 74, 77, and 92.</t>
        </is>
      </c>
    </row>
    <row r="70" ht="34" customHeight="1" s="401">
      <c r="A70" s="419" t="inlineStr">
        <is>
          <t>R-245</t>
        </is>
      </c>
      <c r="B70" s="419" t="inlineStr">
        <is>
          <t>MVP</t>
        </is>
      </c>
      <c r="C70" s="419" t="inlineStr">
        <is>
          <t>Runtime</t>
        </is>
      </c>
      <c r="D70" s="419" t="inlineStr">
        <is>
          <t>Combined project-plan surface (preview + verify + deploy per app)</t>
        </is>
      </c>
      <c r="E70"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70" s="419" t="inlineStr">
        <is>
          <t>P1</t>
        </is>
      </c>
      <c r="G70" s="419" t="inlineStr">
        <is>
          <t>Claude (Opus 4.8)</t>
        </is>
      </c>
      <c r="H70" s="419" t="inlineStr">
        <is>
          <t>Done</t>
        </is>
      </c>
      <c r="I70" s="420" t="n">
        <v>1</v>
      </c>
      <c r="J70" s="419" t="inlineStr">
        <is>
          <t>R-235</t>
        </is>
      </c>
      <c r="K70" s="419" t="inlineStr">
        <is>
          <t>Founder Stage 0</t>
        </is>
      </c>
      <c r="L70" s="419" t="inlineStr">
        <is>
          <t>Done 891144d — 291 tests (6 new); task verify + security:quick + env:check pass; task plan:show renders preview+verify per app; deploy opt-in; JSON secret-free; nothing run.</t>
        </is>
      </c>
      <c r="M70" s="419" t="inlineStr">
        <is>
          <t>Reconstructed with founder approval (one plan surface tying runtime + verify + deploy) from Brief Sections 15, 26, 27, 51, 74, 75, 77, and 92.</t>
        </is>
      </c>
    </row>
    <row r="71" ht="34" customHeight="1" s="401">
      <c r="A71" s="419" t="inlineStr">
        <is>
          <t>R-244</t>
        </is>
      </c>
      <c r="B71" s="419" t="inlineStr">
        <is>
          <t>MVP</t>
        </is>
      </c>
      <c r="C71" s="419" t="inlineStr">
        <is>
          <t>Builder</t>
        </is>
      </c>
      <c r="D71" s="419" t="inlineStr">
        <is>
          <t>Sub-collection route wiring (parent-scoped lists)</t>
        </is>
      </c>
      <c r="E71"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71" s="419" t="inlineStr">
        <is>
          <t>P0</t>
        </is>
      </c>
      <c r="G71" s="419" t="inlineStr">
        <is>
          <t>Claude (Opus 4.8)</t>
        </is>
      </c>
      <c r="H71" s="419" t="inlineStr">
        <is>
          <t>Done</t>
        </is>
      </c>
      <c r="I71" s="420" t="n">
        <v>1</v>
      </c>
      <c r="J71" s="419" t="inlineStr">
        <is>
          <t>R-243</t>
        </is>
      </c>
      <c r="K71" s="419" t="inlineStr">
        <is>
          <t>Founder Stage 0</t>
        </is>
      </c>
      <c r="L71" s="419" t="inlineStr">
        <is>
          <t>Done b886d72 — 285 tests (11 new); task verify + security:quick + env:check pass; GET /posts/{postId}/comments wired to list_comment_by_post (Py) / ListCommentByPost (Go); ambiguous routes stay 501; nothing run.</t>
        </is>
      </c>
      <c r="M71" s="419" t="inlineStr">
        <is>
          <t>Reconstructed with founder approval (finish the CRUD story via sub-collection lists) from Brief Sections 9, 27, 34, 35, 42, 74, 77, and 92.</t>
        </is>
      </c>
    </row>
    <row r="72" ht="34" customHeight="1" s="401">
      <c r="A72" s="419" t="inlineStr">
        <is>
          <t>R-243</t>
        </is>
      </c>
      <c r="B72" s="419" t="inlineStr">
        <is>
          <t>MVP</t>
        </is>
      </c>
      <c r="C72" s="419" t="inlineStr">
        <is>
          <t>Builder</t>
        </is>
      </c>
      <c r="D72" s="419" t="inlineStr">
        <is>
          <t>Per-endpoint role enforcement (IR required_roles -&gt; 403)</t>
        </is>
      </c>
      <c r="E72"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72" s="419" t="inlineStr">
        <is>
          <t>P0</t>
        </is>
      </c>
      <c r="G72" s="419" t="inlineStr">
        <is>
          <t>Claude (Opus 4.8)</t>
        </is>
      </c>
      <c r="H72" s="419" t="inlineStr">
        <is>
          <t>Done</t>
        </is>
      </c>
      <c r="I72" s="420" t="n">
        <v>1</v>
      </c>
      <c r="J72" s="419" t="inlineStr">
        <is>
          <t>R-242</t>
        </is>
      </c>
      <c r="K72" s="419" t="inlineStr">
        <is>
          <t>Founder Stage 0</t>
        </is>
      </c>
      <c r="L72" s="419" t="inlineStr">
        <is>
          <t>Done 1faea2c — 274 tests (6 new); task verify + security:quick + env:check pass; IR required_roles validated+serialized, Python require_roles + Go RequireRoles -&gt; 403; validate_ir errors on unknown role; nothing run.</t>
        </is>
      </c>
      <c r="M72" s="419" t="inlineStr">
        <is>
          <t>Reconstructed with founder approval (per-endpoint roles after JWT verification) from Brief Sections 9, 27, 34, 55, 64, 74, 77, and 92.</t>
        </is>
      </c>
    </row>
    <row r="73" ht="34" customHeight="1" s="401">
      <c r="A73" s="419" t="inlineStr">
        <is>
          <t>R-242</t>
        </is>
      </c>
      <c r="B73" s="419" t="inlineStr">
        <is>
          <t>MVP</t>
        </is>
      </c>
      <c r="C73" s="419" t="inlineStr">
        <is>
          <t>Builder</t>
        </is>
      </c>
      <c r="D73" s="419" t="inlineStr">
        <is>
          <t>Real JWT verification in the generated auth guard (HS256)</t>
        </is>
      </c>
      <c r="E73"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73" s="419" t="inlineStr">
        <is>
          <t>P0</t>
        </is>
      </c>
      <c r="G73" s="419" t="inlineStr">
        <is>
          <t>Claude (Opus 4.8)</t>
        </is>
      </c>
      <c r="H73" s="419" t="inlineStr">
        <is>
          <t>Done</t>
        </is>
      </c>
      <c r="I73" s="420" t="n">
        <v>1</v>
      </c>
      <c r="J73" s="419" t="inlineStr">
        <is>
          <t>R-241</t>
        </is>
      </c>
      <c r="K73" s="419" t="inlineStr">
        <is>
          <t>Founder Stage 0</t>
        </is>
      </c>
      <c r="L73" s="419" t="inlineStr">
        <is>
          <t>Done e0d8af3 — 268 tests (3 new); task verify + security:quick + env:check pass; Python require_auth uses PyJWT HS256, Go RequireAuth uses golang-jwt; JWT_SECRET from env only; nothing run.</t>
        </is>
      </c>
      <c r="M73" s="419" t="inlineStr">
        <is>
          <t>Reconstructed with founder approval (real token verification after the R-241 auth guard) from Brief Sections 9, 27, 34, 55, 64, 74, 77, 90, and 92.</t>
        </is>
      </c>
    </row>
    <row r="74" ht="34" customHeight="1" s="401">
      <c r="A74" s="419" t="inlineStr">
        <is>
          <t>R-241</t>
        </is>
      </c>
      <c r="B74" s="419" t="inlineStr">
        <is>
          <t>MVP</t>
        </is>
      </c>
      <c r="C74" s="419" t="inlineStr">
        <is>
          <t>Builder</t>
        </is>
      </c>
      <c r="D74" s="419" t="inlineStr">
        <is>
          <t>Authentication guards from the IR (enforce endpoint auth flag)</t>
        </is>
      </c>
      <c r="E74"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74" s="419" t="inlineStr">
        <is>
          <t>P0</t>
        </is>
      </c>
      <c r="G74" s="419" t="inlineStr">
        <is>
          <t>Claude (Opus 4.8)</t>
        </is>
      </c>
      <c r="H74" s="419" t="inlineStr">
        <is>
          <t>Done</t>
        </is>
      </c>
      <c r="I74" s="420" t="n">
        <v>1</v>
      </c>
      <c r="J74" s="419" t="inlineStr">
        <is>
          <t>R-240</t>
        </is>
      </c>
      <c r="K74" s="419" t="inlineStr">
        <is>
          <t>Founder Stage 0</t>
        </is>
      </c>
      <c r="L74" s="419" t="inlineStr">
        <is>
          <t>Done 4db716b — 265 tests (9 new); task verify + security:quick + env:check pass; auth=true routes guarded (Python Depends, Go RequireAuth), public routes untouched; token verification is a documented TODO.</t>
        </is>
      </c>
      <c r="M74" s="419" t="inlineStr">
        <is>
          <t>Reconstructed with founder approval (enforce the IR auth flag; a core real-app feature) from Brief Sections 9, 27, 34, 35, 55, 64, 74, 77, and 92.</t>
        </is>
      </c>
    </row>
    <row r="75" ht="34" customHeight="1" s="401">
      <c r="A75" s="419" t="inlineStr">
        <is>
          <t>R-240</t>
        </is>
      </c>
      <c r="B75" s="419" t="inlineStr">
        <is>
          <t>MVP</t>
        </is>
      </c>
      <c r="C75" s="419" t="inlineStr">
        <is>
          <t>Builder</t>
        </is>
      </c>
      <c r="D75" s="419" t="inlineStr">
        <is>
          <t>Route wiring: handlers call the repositories (real CRUD)</t>
        </is>
      </c>
      <c r="E75"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75" s="419" t="inlineStr">
        <is>
          <t>P0</t>
        </is>
      </c>
      <c r="G75" s="419" t="inlineStr">
        <is>
          <t>Claude (Opus 4.8)</t>
        </is>
      </c>
      <c r="H75" s="419" t="inlineStr">
        <is>
          <t>Done</t>
        </is>
      </c>
      <c r="I75" s="420" t="n">
        <v>1</v>
      </c>
      <c r="J75" s="419" t="inlineStr">
        <is>
          <t>R-239</t>
        </is>
      </c>
      <c r="K75" s="419" t="inlineStr">
        <is>
          <t>Founder Stage 0</t>
        </is>
      </c>
      <c r="L75" s="419" t="inlineStr">
        <is>
          <t>Done 013dfc4 — 256 tests (12 new); task verify + security:quick + env:check pass; Python routers call repositories, Go main opens store.Open()+handlers.New(db); ambiguous routes stay 501; nothing run.</t>
        </is>
      </c>
      <c r="M75" s="419" t="inlineStr">
        <is>
          <t>Reconstructed with founder approval (turn the 501 stubs into real CRUD over the data-access layer) from Brief Sections 9, 27, 34, 35, 42, 74, 77, and 92.</t>
        </is>
      </c>
    </row>
    <row r="76" ht="34" customHeight="1" s="401">
      <c r="A76" s="419" t="inlineStr">
        <is>
          <t>R-239</t>
        </is>
      </c>
      <c r="B76" s="419" t="inlineStr">
        <is>
          <t>MVP</t>
        </is>
      </c>
      <c r="C76" s="419" t="inlineStr">
        <is>
          <t>Builder</t>
        </is>
      </c>
      <c r="D76" s="419" t="inlineStr">
        <is>
          <t>Data-access/repository layer for the generated backends</t>
        </is>
      </c>
      <c r="E76"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76" s="419" t="inlineStr">
        <is>
          <t>P0</t>
        </is>
      </c>
      <c r="G76" s="419" t="inlineStr">
        <is>
          <t>Claude (Opus 4.8)</t>
        </is>
      </c>
      <c r="H76" s="419" t="inlineStr">
        <is>
          <t>Done</t>
        </is>
      </c>
      <c r="I76" s="420" t="n">
        <v>1</v>
      </c>
      <c r="J76" s="419" t="inlineStr">
        <is>
          <t>R-238</t>
        </is>
      </c>
      <c r="K76" s="419" t="inlineStr">
        <is>
          <t>Founder Stage 0</t>
        </is>
      </c>
      <c r="L76" s="419" t="inlineStr">
        <is>
          <t>Done f6792fa — 244 tests (7 new); task verify + security:quick + env:check pass; python repos parse + go store scans model structs; parameterized SQL; no DB connection.</t>
        </is>
      </c>
      <c r="M76" s="419" t="inlineStr">
        <is>
          <t>Reconstructed with founder approval (make the generated backend use the schema) from Brief Sections 9, 34, 35, 42, 74, 77, 90, and 92.</t>
        </is>
      </c>
    </row>
    <row r="77" ht="34" customHeight="1" s="401">
      <c r="A77" s="419" t="inlineStr">
        <is>
          <t>R-238</t>
        </is>
      </c>
      <c r="B77" s="419" t="inlineStr">
        <is>
          <t>MVP</t>
        </is>
      </c>
      <c r="C77" s="419" t="inlineStr">
        <is>
          <t>Builder</t>
        </is>
      </c>
      <c r="D77" s="419" t="inlineStr">
        <is>
          <t>PostgreSQL schema/migration generation from the Application IR</t>
        </is>
      </c>
      <c r="E77"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7" s="419" t="inlineStr">
        <is>
          <t>P0</t>
        </is>
      </c>
      <c r="G77" s="419" t="inlineStr">
        <is>
          <t>Claude (Opus 4.8)</t>
        </is>
      </c>
      <c r="H77" s="419" t="inlineStr">
        <is>
          <t>Done</t>
        </is>
      </c>
      <c r="I77" s="420" t="n">
        <v>1</v>
      </c>
      <c r="J77" s="419" t="inlineStr">
        <is>
          <t>R-232</t>
        </is>
      </c>
      <c r="K77" s="419" t="inlineStr">
        <is>
          <t>Founder Stage 0</t>
        </is>
      </c>
      <c r="L77" s="419" t="inlineStr">
        <is>
          <t>Done c6a4c6e — 237 tests (11 new); task verify + security:quick + env:check pass; schema demoed for rideshare (driver + favourite_driver FK); no DB connection/run.</t>
        </is>
      </c>
      <c r="M77" s="419" t="inlineStr">
        <is>
          <t>Reconstructed with founder approval (real persistence layer for the generated backend) from Brief Sections 9, 34, 35, 42, 74, 77, and 92.</t>
        </is>
      </c>
    </row>
    <row r="78" ht="34" customHeight="1" s="401">
      <c r="A78" s="419" t="inlineStr">
        <is>
          <t>R-237</t>
        </is>
      </c>
      <c r="B78" s="419" t="inlineStr">
        <is>
          <t>MVP</t>
        </is>
      </c>
      <c r="C78" s="419" t="inlineStr">
        <is>
          <t>Builder</t>
        </is>
      </c>
      <c r="D78" s="419" t="inlineStr">
        <is>
          <t>IR-diff -&gt; patch-apply edit loop (edit an existing app)</t>
        </is>
      </c>
      <c r="E78"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8" s="419" t="inlineStr">
        <is>
          <t>P0</t>
        </is>
      </c>
      <c r="G78" s="419" t="inlineStr">
        <is>
          <t>Claude (Opus 4.8)</t>
        </is>
      </c>
      <c r="H78" s="419" t="inlineStr">
        <is>
          <t>Done</t>
        </is>
      </c>
      <c r="I78" s="420" t="n">
        <v>1</v>
      </c>
      <c r="J78" s="419" t="inlineStr">
        <is>
          <t>R-232</t>
        </is>
      </c>
      <c r="K78" s="419" t="inlineStr">
        <is>
          <t>Founder Stage 0</t>
        </is>
      </c>
      <c r="L78" s="419" t="inlineStr">
        <is>
          <t>Done a0a494a — 226 tests (9 new); task verify + security:quick + env:check pass; apply round-trip + commit_edit history proven; no network/exec, no write outside target.</t>
        </is>
      </c>
      <c r="M78" s="419" t="inlineStr">
        <is>
          <t>Reconstructed with founder approval (edit-an-app motion after generate + verify) from Brief Sections 6, 9, 27, 34, 35, 74, 77, and 92.</t>
        </is>
      </c>
    </row>
    <row r="79" ht="34" customHeight="1" s="401">
      <c r="A79" s="419" t="inlineStr">
        <is>
          <t>R-236</t>
        </is>
      </c>
      <c r="B79" s="419" t="inlineStr">
        <is>
          <t>MVP</t>
        </is>
      </c>
      <c r="C79" s="419" t="inlineStr">
        <is>
          <t>Model Fabric</t>
        </is>
      </c>
      <c r="D79" s="419" t="inlineStr">
        <is>
          <t>Expand model-provider catalog + custom OpenAI-compatible providers</t>
        </is>
      </c>
      <c r="E79"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9" s="419" t="inlineStr">
        <is>
          <t>P0</t>
        </is>
      </c>
      <c r="G79" s="419" t="inlineStr">
        <is>
          <t>Claude (Opus 4.8)</t>
        </is>
      </c>
      <c r="H79" s="419" t="inlineStr">
        <is>
          <t>Done</t>
        </is>
      </c>
      <c r="I79" s="420" t="n">
        <v>1</v>
      </c>
      <c r="J79" s="419" t="inlineStr">
        <is>
          <t>R-223</t>
        </is>
      </c>
      <c r="K79" s="419" t="inlineStr">
        <is>
          <t>Founder Stage 0</t>
        </is>
      </c>
      <c r="L79" s="419" t="inlineStr">
        <is>
          <t>Done e6326bf — 217 tests (14 new); task verify + security:quick + env:check pass; overview demoed 12-provider catalog incl. custom myco; no key value shown.</t>
        </is>
      </c>
      <c r="M79" s="419" t="inlineStr">
        <is>
          <t>Reconstructed with founder approval (add DeepSeek/Grok/etc. + custom/local providers, done the platform's way) from Brief Sections 10, 11, 12, 13, 55, 64, 69, 70, 74, 77, 90, and 92.</t>
        </is>
      </c>
    </row>
    <row r="80" ht="34" customHeight="1" s="401">
      <c r="A80" s="419" t="inlineStr">
        <is>
          <t>R-235</t>
        </is>
      </c>
      <c r="B80" s="419" t="inlineStr">
        <is>
          <t>MVP</t>
        </is>
      </c>
      <c r="C80" s="419" t="inlineStr">
        <is>
          <t>Verify</t>
        </is>
      </c>
      <c r="D80" s="419" t="inlineStr">
        <is>
          <t>Verifiable-engineering verify plans (per-target gate ladders)</t>
        </is>
      </c>
      <c r="E80"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80" s="419" t="inlineStr">
        <is>
          <t>P0</t>
        </is>
      </c>
      <c r="G80" s="419" t="inlineStr">
        <is>
          <t>Claude (Opus 4.8)</t>
        </is>
      </c>
      <c r="H80" s="419" t="inlineStr">
        <is>
          <t>Done</t>
        </is>
      </c>
      <c r="I80" s="420" t="n">
        <v>1</v>
      </c>
      <c r="J80" s="419" t="inlineStr">
        <is>
          <t>R-232</t>
        </is>
      </c>
      <c r="K80" s="419" t="inlineStr">
        <is>
          <t>Founder Stage 0</t>
        </is>
      </c>
      <c r="L80" s="419" t="inlineStr">
        <is>
          <t>Done cb74d0c — 203 tests (9 new); task verify + security:quick + env:check pass; verify-plan demoed for backend-go/nextjs-web; nothing installed/built/run.</t>
        </is>
      </c>
      <c r="M80" s="419" t="inlineStr">
        <is>
          <t>Reconstructed with founder approval (verifiable engineering backbone) from Brief Sections 26, 27, 42, 44, 74, 77, 83, 84, 85, and 92.</t>
        </is>
      </c>
    </row>
    <row r="81" ht="34" customHeight="1" s="401">
      <c r="A81" s="419" t="inlineStr">
        <is>
          <t>R-234</t>
        </is>
      </c>
      <c r="B81" s="419" t="inlineStr">
        <is>
          <t>MVP</t>
        </is>
      </c>
      <c r="C81" s="419" t="inlineStr">
        <is>
          <t>Runtime</t>
        </is>
      </c>
      <c r="D81" s="419" t="inlineStr">
        <is>
          <t>Tier switch + cloud provider drivers</t>
        </is>
      </c>
      <c r="E81"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81" s="419" t="inlineStr">
        <is>
          <t>P0</t>
        </is>
      </c>
      <c r="G81" s="419" t="inlineStr">
        <is>
          <t>Claude (Opus 4.8)</t>
        </is>
      </c>
      <c r="H81" s="419" t="inlineStr">
        <is>
          <t>Done</t>
        </is>
      </c>
      <c r="I81" s="420" t="n">
        <v>1</v>
      </c>
      <c r="J81" s="419" t="inlineStr">
        <is>
          <t>R-233</t>
        </is>
      </c>
      <c r="K81" s="419" t="inlineStr">
        <is>
          <t>Founder Stage 0</t>
        </is>
      </c>
      <c r="L81" s="419" t="inlineStr">
        <is>
          <t>Done dcb7d2d — 194 tests (13 new); task verify + security:quick + env:check pass; platform:status demoed tier 0 and tier 2.</t>
        </is>
      </c>
      <c r="M81" s="419" t="inlineStr">
        <is>
          <t>Reconstructed with founder approval (one knob to switch tiers; all cloud providers get drivers) from Brief Sections 15, 51, 55, 64, 75, 91, and 92.</t>
        </is>
      </c>
    </row>
    <row r="82" ht="34" customHeight="1" s="401">
      <c r="A82" s="419" t="inlineStr">
        <is>
          <t>R-233</t>
        </is>
      </c>
      <c r="B82" s="419" t="inlineStr">
        <is>
          <t>MVP</t>
        </is>
      </c>
      <c r="C82" s="419" t="inlineStr">
        <is>
          <t>Runtime</t>
        </is>
      </c>
      <c r="D82" s="419" t="inlineStr">
        <is>
          <t>Runtime &amp; deploy provider layer (Tier 0-3)</t>
        </is>
      </c>
      <c r="E82"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82" s="419" t="inlineStr">
        <is>
          <t>P0</t>
        </is>
      </c>
      <c r="G82" s="419" t="inlineStr">
        <is>
          <t>Claude (Opus 4.8)</t>
        </is>
      </c>
      <c r="H82" s="419" t="inlineStr">
        <is>
          <t>Done</t>
        </is>
      </c>
      <c r="I82" s="420" t="n">
        <v>1</v>
      </c>
      <c r="J82" s="419" t="inlineStr">
        <is>
          <t>R-232</t>
        </is>
      </c>
      <c r="K82" s="419" t="inlineStr">
        <is>
          <t>Founder Stage 0</t>
        </is>
      </c>
      <c r="L82" s="419" t="inlineStr">
        <is>
          <t>Implementation ae11bac55fb9d865dbc6281c26f7df260edc3477; task verify passed with 181 agent-engine tests (12 new); local runtime works (Tier 0/1), cloud sandbox/deploy providers activate by key (Tier 2/3); no run/deploy, no secret leak; cloud_calls=0.</t>
        </is>
      </c>
      <c r="M82" s="419" t="inlineStr">
        <is>
          <t>Reconstructed with founder approval (wire Tier 0-3, keys plug in) from Brief Sections 15, 51, 55, 64, 75, 91, and 92.</t>
        </is>
      </c>
    </row>
    <row r="83" ht="34" customHeight="1" s="401">
      <c r="A83" s="419" t="inlineStr">
        <is>
          <t>R-232</t>
        </is>
      </c>
      <c r="B83" s="419" t="inlineStr">
        <is>
          <t>MVP</t>
        </is>
      </c>
      <c r="C83" s="419" t="inlineStr">
        <is>
          <t>Product</t>
        </is>
      </c>
      <c r="D83" s="419" t="inlineStr">
        <is>
          <t>Customer project assembler (IR -&gt; monorepo)</t>
        </is>
      </c>
      <c r="E83"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83" s="419" t="inlineStr">
        <is>
          <t>P0</t>
        </is>
      </c>
      <c r="G83" s="419" t="inlineStr">
        <is>
          <t>Claude (Opus 4.8)</t>
        </is>
      </c>
      <c r="H83" s="419" t="inlineStr">
        <is>
          <t>Done</t>
        </is>
      </c>
      <c r="I83" s="420" t="n">
        <v>1</v>
      </c>
      <c r="J83" s="419" t="inlineStr">
        <is>
          <t>R-228</t>
        </is>
      </c>
      <c r="K83" s="419" t="inlineStr">
        <is>
          <t>Founder Stage 0</t>
        </is>
      </c>
      <c r="L83" s="419" t="inlineStr">
        <is>
          <t>Implementation cf28cb0f46ae1f66b9f87b59232eceb2a113b508; task verify passed with 169 agent-engine tests (6 new); one IR -&gt; 24-file customer monorepo (apps/web + services/api) -&gt; owned Git repo in one commit; no install/build/disk; cloud_calls=0.</t>
        </is>
      </c>
      <c r="M83" s="419" t="inlineStr">
        <is>
          <t>Reconstructed with founder approval from Brief Sections 6, 34, 35, 46, 74, 91, and 92.</t>
        </is>
      </c>
    </row>
    <row r="84" ht="34" customHeight="1" s="401">
      <c r="A84" s="419" t="inlineStr">
        <is>
          <t>R-231</t>
        </is>
      </c>
      <c r="B84" s="419" t="inlineStr">
        <is>
          <t>MVP</t>
        </is>
      </c>
      <c r="C84" s="419" t="inlineStr">
        <is>
          <t>Product</t>
        </is>
      </c>
      <c r="D84" s="419" t="inlineStr">
        <is>
          <t>IR validator/normalizer + example fixtures</t>
        </is>
      </c>
      <c r="E84"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84" s="419" t="inlineStr">
        <is>
          <t>P1</t>
        </is>
      </c>
      <c r="G84" s="419" t="inlineStr">
        <is>
          <t>Claude (Opus 4.8)</t>
        </is>
      </c>
      <c r="H84" s="419" t="inlineStr">
        <is>
          <t>Done</t>
        </is>
      </c>
      <c r="I84" s="420" t="n">
        <v>1</v>
      </c>
      <c r="J84" s="419" t="inlineStr">
        <is>
          <t>R-225</t>
        </is>
      </c>
      <c r="K84" s="419" t="inlineStr">
        <is>
          <t>Founder Stage 0</t>
        </is>
      </c>
      <c r="L84" s="419" t="inlineStr">
        <is>
          <t>Implementation f2027a6a7bc6bae37b14226838519c86657f8ff3; task verify passed with 163 agent-engine tests (9 new); validator + normalizer + 2 example fixtures; no dependency/network/model call; cloud_calls=0.</t>
        </is>
      </c>
      <c r="M84" s="419" t="inlineStr">
        <is>
          <t>Reconstructed with founder approval from Brief Sections 9, 12, 19, 66, 74, 91, and 92.</t>
        </is>
      </c>
    </row>
    <row r="85" ht="34" customHeight="1" s="401">
      <c r="A85" s="419" t="inlineStr">
        <is>
          <t>R-230</t>
        </is>
      </c>
      <c r="B85" s="419" t="inlineStr">
        <is>
          <t>MVP</t>
        </is>
      </c>
      <c r="C85" s="419" t="inlineStr">
        <is>
          <t>Product</t>
        </is>
      </c>
      <c r="D85" s="419" t="inlineStr">
        <is>
          <t>Go backend adapter (IR -&gt; Go net/http service)</t>
        </is>
      </c>
      <c r="E85"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85" s="419" t="inlineStr">
        <is>
          <t>P0</t>
        </is>
      </c>
      <c r="G85" s="419" t="inlineStr">
        <is>
          <t>Claude (Opus 4.8)</t>
        </is>
      </c>
      <c r="H85" s="419" t="inlineStr">
        <is>
          <t>Done</t>
        </is>
      </c>
      <c r="I85" s="420" t="n">
        <v>1</v>
      </c>
      <c r="J85" s="419" t="inlineStr">
        <is>
          <t>R-226</t>
        </is>
      </c>
      <c r="K85" s="419" t="inlineStr">
        <is>
          <t>Founder Stage 0</t>
        </is>
      </c>
      <c r="L85" s="419" t="inlineStr">
        <is>
          <t>Implementation e2515a8f1b0314ec287a02cdaf25e72a17b9da3f; task verify passed with 154 agent-engine tests (7 new); one IR -&gt; 12-file Next.js + 11-file FastAPI + 8-file Go service; no install/build/disk; cloud_calls=0.</t>
        </is>
      </c>
      <c r="M85" s="419" t="inlineStr">
        <is>
          <t>Reconstructed with founder approval (multi-target from one IR) from Brief Sections 9, 16, 42, 43, 46, 47, 74, 91, and 92.</t>
        </is>
      </c>
    </row>
    <row r="86" ht="34" customHeight="1" s="401">
      <c r="A86" s="419" t="inlineStr">
        <is>
          <t>R-229</t>
        </is>
      </c>
      <c r="B86" s="419" t="inlineStr">
        <is>
          <t>MVP</t>
        </is>
      </c>
      <c r="C86" s="419" t="inlineStr">
        <is>
          <t>Product</t>
        </is>
      </c>
      <c r="D86" s="419" t="inlineStr">
        <is>
          <t>Python (FastAPI) backend adapter (IR -&gt; backend)</t>
        </is>
      </c>
      <c r="E86"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86" s="419" t="inlineStr">
        <is>
          <t>P0</t>
        </is>
      </c>
      <c r="G86" s="419" t="inlineStr">
        <is>
          <t>Claude (Opus 4.8)</t>
        </is>
      </c>
      <c r="H86" s="419" t="inlineStr">
        <is>
          <t>Done</t>
        </is>
      </c>
      <c r="I86" s="420" t="n">
        <v>1</v>
      </c>
      <c r="J86" s="419" t="inlineStr">
        <is>
          <t>R-226</t>
        </is>
      </c>
      <c r="K86" s="419" t="inlineStr">
        <is>
          <t>Founder Stage 0</t>
        </is>
      </c>
      <c r="L86" s="419" t="inlineStr">
        <is>
          <t>Implementation 04f1e6ad03ff52522efda81845ea3ee73e736a7d; task verify passed with 147 agent-engine tests (7 new); demo IR -&gt; 12-file Next.js web + 11-file FastAPI backend; no install/build/disk; cloud_calls=0.</t>
        </is>
      </c>
      <c r="M86" s="419" t="inlineStr">
        <is>
          <t>Reconstructed with founder approval (multi-target from one IR) from Brief Sections 9, 16, 42, 43, 46, 47, 74, 91, and 92.</t>
        </is>
      </c>
    </row>
    <row r="87" ht="34" customHeight="1" s="401">
      <c r="A87" s="419" t="inlineStr">
        <is>
          <t>R-228</t>
        </is>
      </c>
      <c r="B87" s="419" t="inlineStr">
        <is>
          <t>MVP</t>
        </is>
      </c>
      <c r="C87" s="419" t="inlineStr">
        <is>
          <t>Product</t>
        </is>
      </c>
      <c r="D87" s="419" t="inlineStr">
        <is>
          <t>Git service (materialize project -&gt; owned repo)</t>
        </is>
      </c>
      <c r="E87"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7" s="419" t="inlineStr">
        <is>
          <t>P0</t>
        </is>
      </c>
      <c r="G87" s="419" t="inlineStr">
        <is>
          <t>Claude (Opus 4.8)</t>
        </is>
      </c>
      <c r="H87" s="419" t="inlineStr">
        <is>
          <t>Done</t>
        </is>
      </c>
      <c r="I87" s="420" t="n">
        <v>1</v>
      </c>
      <c r="J87" s="419" t="inlineStr">
        <is>
          <t>R-227</t>
        </is>
      </c>
      <c r="K87" s="419" t="inlineStr">
        <is>
          <t>Founder Stage 0</t>
        </is>
      </c>
      <c r="L87"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7" s="419" t="inlineStr">
        <is>
          <t>Reconstructed with founder approval from Brief Sections 6, 20, 34, 71, 74, 75, 91, and 92.</t>
        </is>
      </c>
    </row>
    <row r="88" ht="34" customHeight="1" s="401">
      <c r="A88" s="419" t="inlineStr">
        <is>
          <t>R-227</t>
        </is>
      </c>
      <c r="B88" s="419" t="inlineStr">
        <is>
          <t>MVP</t>
        </is>
      </c>
      <c r="C88" s="419" t="inlineStr">
        <is>
          <t>Product</t>
        </is>
      </c>
      <c r="D88" s="419" t="inlineStr">
        <is>
          <t>Next.js web code adapter (IR -&gt; app)</t>
        </is>
      </c>
      <c r="E88"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8" s="419" t="inlineStr">
        <is>
          <t>P0</t>
        </is>
      </c>
      <c r="G88" s="419" t="inlineStr">
        <is>
          <t>Claude (Opus 4.8)</t>
        </is>
      </c>
      <c r="H88" s="419" t="inlineStr">
        <is>
          <t>Done</t>
        </is>
      </c>
      <c r="I88" s="420" t="n">
        <v>1</v>
      </c>
      <c r="J88" s="419" t="inlineStr">
        <is>
          <t>R-226</t>
        </is>
      </c>
      <c r="K88" s="419" t="inlineStr">
        <is>
          <t>Founder Stage 0</t>
        </is>
      </c>
      <c r="L88" s="419" t="inlineStr">
        <is>
          <t>Implementation 1a4f8a9b8cc2ca59be32142bb6c16992cb4dbd40; task verify passed with 134 agent-engine tests (9 new adapter/path tests); generates a 13-file Next.js app from the demo IR (entities-&gt;interfaces, {param}-&gt;[param] routes); no install/build/disk; cloud_calls=0.</t>
        </is>
      </c>
      <c r="M88" s="419" t="inlineStr">
        <is>
          <t>Reconstructed with founder approval from Brief Sections 9, 16, 40, 43, 46, 47, 74, 91, and 92.</t>
        </is>
      </c>
    </row>
    <row r="89" ht="34" customHeight="1" s="401">
      <c r="A89" s="419" t="inlineStr">
        <is>
          <t>R-226</t>
        </is>
      </c>
      <c r="B89" s="419" t="inlineStr">
        <is>
          <t>MVP</t>
        </is>
      </c>
      <c r="C89" s="419" t="inlineStr">
        <is>
          <t>Product</t>
        </is>
      </c>
      <c r="D89" s="419" t="inlineStr">
        <is>
          <t>Framework adapter contract + file-set model</t>
        </is>
      </c>
      <c r="E89"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9" s="419" t="inlineStr">
        <is>
          <t>P0</t>
        </is>
      </c>
      <c r="G89" s="419" t="inlineStr">
        <is>
          <t>Claude (Opus 4.8)</t>
        </is>
      </c>
      <c r="H89" s="419" t="inlineStr">
        <is>
          <t>Done</t>
        </is>
      </c>
      <c r="I89" s="420" t="n">
        <v>1</v>
      </c>
      <c r="J89" s="419" t="inlineStr">
        <is>
          <t>R-225</t>
        </is>
      </c>
      <c r="K89" s="419" t="inlineStr">
        <is>
          <t>Founder Stage 0</t>
        </is>
      </c>
      <c r="L89" s="419" t="inlineStr">
        <is>
          <t>Implementation f27bf416e99423d281e1c4e6f3eabc363848f95f; task verify passed with 125 agent-engine tests (10 new codegen-contract tests); pure in-memory file-set + adapter contract + registry; no disk writes; cloud_calls=0.</t>
        </is>
      </c>
      <c r="M89" s="419" t="inlineStr">
        <is>
          <t>Reconstructed with founder approval from Brief Sections 16, 17, 46, 47, 74, 75, 91, and 92.</t>
        </is>
      </c>
    </row>
    <row r="90" ht="34" customHeight="1" s="401">
      <c r="A90" s="419" t="inlineStr">
        <is>
          <t>R-225</t>
        </is>
      </c>
      <c r="B90" s="419" t="inlineStr">
        <is>
          <t>MVP</t>
        </is>
      </c>
      <c r="C90" s="419" t="inlineStr">
        <is>
          <t>Product</t>
        </is>
      </c>
      <c r="D90" s="419" t="inlineStr">
        <is>
          <t>Application IR v1 (framework-neutral)</t>
        </is>
      </c>
      <c r="E90"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90" s="419" t="inlineStr">
        <is>
          <t>P0</t>
        </is>
      </c>
      <c r="G90" s="419" t="inlineStr">
        <is>
          <t>Claude (Opus 4.8)</t>
        </is>
      </c>
      <c r="H90" s="419" t="inlineStr">
        <is>
          <t>Done</t>
        </is>
      </c>
      <c r="I90" s="420" t="n">
        <v>1</v>
      </c>
      <c r="J90" s="419" t="inlineStr">
        <is>
          <t>R-004</t>
        </is>
      </c>
      <c r="K90" s="419" t="inlineStr">
        <is>
          <t>Founder Stage 0</t>
        </is>
      </c>
      <c r="L90" s="419" t="inlineStr">
        <is>
          <t>Implementation ad5e4ddf5918ddf3e4005c21a07c21601faf2ee6; task verify passed with 115 agent-engine tests (17 new IR tests); validated, versioned, framework-neutral Application IR with lossless serialization; cloud_calls=0.</t>
        </is>
      </c>
      <c r="M90" s="419" t="inlineStr">
        <is>
          <t>Reconstructed with founder approval to begin the actual product per Brief Sections 2, 9, 24, 47, 77, 91, and 92.</t>
        </is>
      </c>
    </row>
    <row r="91" ht="34" customHeight="1" s="401">
      <c r="A91" s="419" t="inlineStr">
        <is>
          <t>R-224</t>
        </is>
      </c>
      <c r="B91" s="419" t="inlineStr">
        <is>
          <t>MVP</t>
        </is>
      </c>
      <c r="C91" s="419" t="inlineStr">
        <is>
          <t>Console</t>
        </is>
      </c>
      <c r="D91" s="419" t="inlineStr">
        <is>
          <t>Next.js console upgrade</t>
        </is>
      </c>
      <c r="E91" s="419" t="inlineStr">
        <is>
          <t>Upgrade the static console to a real Next.js (App Router, TypeScript) app, preserving the overview.json data contract and design, with security headers and a production build.</t>
        </is>
      </c>
      <c r="F91" s="419" t="inlineStr">
        <is>
          <t>P1</t>
        </is>
      </c>
      <c r="G91" s="419" t="inlineStr">
        <is>
          <t>Claude (Opus 4.8)</t>
        </is>
      </c>
      <c r="H91" s="419" t="inlineStr">
        <is>
          <t>Deferred</t>
        </is>
      </c>
      <c r="I91" s="420" t="n">
        <v>0</v>
      </c>
      <c r="J91" s="419" t="inlineStr">
        <is>
          <t>R-222</t>
        </is>
      </c>
      <c r="K91" s="419" t="inlineStr">
        <is>
          <t>Founder Stage 0</t>
        </is>
      </c>
      <c r="L91" s="419" t="inlineStr">
        <is>
          <t>Deferred: Next.js SWC binary install times out in this sandbox (attempted 3x, incl. standalone with 10-min timeout). Static console (R-222) remains the working slice; resume plan recorded in .ai/tasks/R-224.md. No code committed; cloud_calls=0.</t>
        </is>
      </c>
      <c r="M91" s="419" t="inlineStr">
        <is>
          <t>Reconstructed with founder approval; DEFERRED because the Next.js SWC binary install times out in this sandbox (attempted 3x). Static console (R-222) remains the working slice.</t>
        </is>
      </c>
    </row>
    <row r="92" ht="34" customHeight="1" s="401">
      <c r="A92" s="419" t="inlineStr">
        <is>
          <t>R-223</t>
        </is>
      </c>
      <c r="B92" s="419" t="inlineStr">
        <is>
          <t>MVP</t>
        </is>
      </c>
      <c r="C92" s="419" t="inlineStr">
        <is>
          <t>Models</t>
        </is>
      </c>
      <c r="D92" s="419" t="inlineStr">
        <is>
          <t>Env-driven fallback &amp; circuit-breaker wiring</t>
        </is>
      </c>
      <c r="E92"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92" s="419" t="inlineStr">
        <is>
          <t>P1</t>
        </is>
      </c>
      <c r="G92" s="419" t="inlineStr">
        <is>
          <t>Claude (Opus 4.8)</t>
        </is>
      </c>
      <c r="H92" s="419" t="inlineStr">
        <is>
          <t>Done</t>
        </is>
      </c>
      <c r="I92" s="420" t="n">
        <v>1</v>
      </c>
      <c r="J92" s="419" t="inlineStr">
        <is>
          <t>R-221</t>
        </is>
      </c>
      <c r="K92" s="419" t="inlineStr">
        <is>
          <t>Founder Stage 0</t>
        </is>
      </c>
      <c r="L92" s="419" t="inlineStr">
        <is>
          <t>Implementation 9ec809149ab91ebaa13b88ff0a15ebd382d7a728; task verify passed with 98 agent-engine tests (6 new); env-driven fallback chain + circuit breaker; default single-provider unchanged; cloud_calls=0.</t>
        </is>
      </c>
      <c r="M92" s="419" t="inlineStr">
        <is>
          <t>Reconstructed with founder approval (complete remaining items one by one) from Brief Sections 18.3, 84, 87, 89, 91, and 92.</t>
        </is>
      </c>
    </row>
    <row r="93" ht="34" customHeight="1" s="401">
      <c r="A93" s="419" t="inlineStr">
        <is>
          <t>R-222</t>
        </is>
      </c>
      <c r="B93" s="419" t="inlineStr">
        <is>
          <t>MVP</t>
        </is>
      </c>
      <c r="C93" s="419" t="inlineStr">
        <is>
          <t>Console</t>
        </is>
      </c>
      <c r="D93" s="419" t="inlineStr">
        <is>
          <t>Platform console slice (model &amp; cost overview)</t>
        </is>
      </c>
      <c r="E93"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93" s="419" t="inlineStr">
        <is>
          <t>P0</t>
        </is>
      </c>
      <c r="G93" s="419" t="inlineStr">
        <is>
          <t>Claude (Opus 4.8)</t>
        </is>
      </c>
      <c r="H93" s="419" t="inlineStr">
        <is>
          <t>Done</t>
        </is>
      </c>
      <c r="I93" s="420" t="n">
        <v>1</v>
      </c>
      <c r="J93" s="419" t="inlineStr">
        <is>
          <t>R-221</t>
        </is>
      </c>
      <c r="K93" s="419" t="inlineStr">
        <is>
          <t>Founder Stage 0</t>
        </is>
      </c>
      <c r="L93"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93" s="419" t="inlineStr">
        <is>
          <t>Reconstructed with founder approval (advanced, smooth, secure platform) from Brief Sections 8, 15.2, 40, 41, 77, 90, 91, and 92.</t>
        </is>
      </c>
    </row>
    <row r="94" ht="34" customHeight="1" s="401">
      <c r="A94" s="419" t="inlineStr">
        <is>
          <t>R-221</t>
        </is>
      </c>
      <c r="B94" s="419" t="inlineStr">
        <is>
          <t>MVP</t>
        </is>
      </c>
      <c r="C94" s="419" t="inlineStr">
        <is>
          <t>Models</t>
        </is>
      </c>
      <c r="D94" s="419" t="inlineStr">
        <is>
          <t>Cross-provider fallback and circuit breaking</t>
        </is>
      </c>
      <c r="E94"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94" s="419" t="inlineStr">
        <is>
          <t>P0</t>
        </is>
      </c>
      <c r="G94" s="419" t="inlineStr">
        <is>
          <t>Claude (Opus 4.8)</t>
        </is>
      </c>
      <c r="H94" s="419" t="inlineStr">
        <is>
          <t>Done</t>
        </is>
      </c>
      <c r="I94" s="420" t="n">
        <v>1</v>
      </c>
      <c r="J94" s="419" t="inlineStr">
        <is>
          <t>R-220</t>
        </is>
      </c>
      <c r="K94" s="419" t="inlineStr">
        <is>
          <t>Founder Stage 0</t>
        </is>
      </c>
      <c r="L94" s="419" t="inlineStr">
        <is>
          <t>Implementation d0ee9f75b0d124fe60f1121b7f2a70d3b73040de; task verify passed with 86 agent-engine tests (8 new fallback/circuit-breaker tests); explicit allowlist fail-over + per-provider breaker; cloud_calls=0; Compose unchanged (postgres, control-plane).</t>
        </is>
      </c>
      <c r="M94" s="419" t="inlineStr">
        <is>
          <t>Reconstructed with founder approval (complete both required items one by one) from Brief Sections 18, 18.3, 84, 89, 90, 91, and 92.</t>
        </is>
      </c>
    </row>
    <row r="95" ht="34" customHeight="1" s="401">
      <c r="A95" s="419" t="inlineStr">
        <is>
          <t>R-220</t>
        </is>
      </c>
      <c r="B95" s="419" t="inlineStr">
        <is>
          <t>MVP</t>
        </is>
      </c>
      <c r="C95" s="419" t="inlineStr">
        <is>
          <t>Models</t>
        </is>
      </c>
      <c r="D95" s="419" t="inlineStr">
        <is>
          <t>Cloud streaming (Server-Sent Events)</t>
        </is>
      </c>
      <c r="E95" s="419" t="inlineStr">
        <is>
          <t>Replace the single-event cloud stream wrapper with true incremental SSE streaming for OpenAI-compatible, Anthropic, and Gemini adapters; ordered delta events plus a final event with measured usage, reusing the HTTP-safety bounds.</t>
        </is>
      </c>
      <c r="F95" s="419" t="inlineStr">
        <is>
          <t>P0</t>
        </is>
      </c>
      <c r="G95" s="419" t="inlineStr">
        <is>
          <t>Claude (Opus 4.8)</t>
        </is>
      </c>
      <c r="H95" s="419" t="inlineStr">
        <is>
          <t>Done</t>
        </is>
      </c>
      <c r="I95" s="420" t="n">
        <v>1</v>
      </c>
      <c r="J95" s="419" t="inlineStr">
        <is>
          <t>R-009</t>
        </is>
      </c>
      <c r="K95" s="419" t="inlineStr">
        <is>
          <t>Founder Stage 0</t>
        </is>
      </c>
      <c r="L95" s="419" t="inlineStr">
        <is>
          <t>Implementation 4e31841e730a6466da55843ff352f7144dd763e9; task verify passed with 78 agent-engine tests (5 new SSE streaming tests); true incremental streaming for OpenAI/Anthropic/Gemini; cloud_calls=0; Compose unchanged (postgres, control-plane).</t>
        </is>
      </c>
      <c r="M95" s="419" t="inlineStr">
        <is>
          <t>Reconstructed with founder approval (complete both required items one by one) from Brief Sections 18, 57, 84, 85, 90, 91, and 92.</t>
        </is>
      </c>
    </row>
    <row r="96" ht="34" customHeight="1" s="401">
      <c r="A96" s="419" t="inlineStr">
        <is>
          <t>R-009</t>
        </is>
      </c>
      <c r="B96" s="419" t="inlineStr">
        <is>
          <t>MVP</t>
        </is>
      </c>
      <c r="C96" s="419" t="inlineStr">
        <is>
          <t>Models</t>
        </is>
      </c>
      <c r="D96" s="419" t="inlineStr">
        <is>
          <t>Usage and cost accounting</t>
        </is>
      </c>
      <c r="E96"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96" s="419" t="inlineStr">
        <is>
          <t>P0</t>
        </is>
      </c>
      <c r="G96" s="419" t="inlineStr">
        <is>
          <t>Claude (Opus 4.8)</t>
        </is>
      </c>
      <c r="H96" s="419" t="inlineStr">
        <is>
          <t>Done</t>
        </is>
      </c>
      <c r="I96" s="420" t="n">
        <v>1</v>
      </c>
      <c r="J96" s="419" t="inlineStr">
        <is>
          <t>R-008</t>
        </is>
      </c>
      <c r="K96" s="419" t="inlineStr">
        <is>
          <t>Founder Stage 0</t>
        </is>
      </c>
      <c r="L96"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96" s="419" t="inlineStr">
        <is>
          <t>Reconstructed with founder approval (best-in-class usage/cost accounting) from Brief Sections 18.4, 23, 68, 84, 85, 90, 91, and 92.</t>
        </is>
      </c>
    </row>
    <row r="97" ht="34" customHeight="1" s="401">
      <c r="A97" s="419" t="inlineStr">
        <is>
          <t>R-008</t>
        </is>
      </c>
      <c r="B97" s="419" t="inlineStr">
        <is>
          <t>MVP</t>
        </is>
      </c>
      <c r="C97" s="419" t="inlineStr">
        <is>
          <t>Models</t>
        </is>
      </c>
      <c r="D97" s="419" t="inlineStr">
        <is>
          <t>Cloud API-key provider adapters</t>
        </is>
      </c>
      <c r="E97"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7" s="419" t="inlineStr">
        <is>
          <t>P0</t>
        </is>
      </c>
      <c r="G97" s="419" t="inlineStr">
        <is>
          <t>Claude (Opus 4.8)</t>
        </is>
      </c>
      <c r="H97" s="419" t="inlineStr">
        <is>
          <t>Done</t>
        </is>
      </c>
      <c r="I97" s="420" t="n">
        <v>1</v>
      </c>
      <c r="J97" s="419" t="inlineStr">
        <is>
          <t>R-007</t>
        </is>
      </c>
      <c r="K97" s="419" t="inlineStr">
        <is>
          <t>Founder Stage 0</t>
        </is>
      </c>
      <c r="L97"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7" s="419" t="inlineStr">
        <is>
          <t>Reconstructed with founder approval (configure each provider; run locally on Ollama until keys are added) from Brief Sections 18, 18.3, 84, 85, 87, 90, 91, and 92.</t>
        </is>
      </c>
    </row>
    <row r="98" ht="34" customHeight="1" s="401">
      <c r="A98" s="419" t="inlineStr">
        <is>
          <t>R-007</t>
        </is>
      </c>
      <c r="B98" s="419" t="inlineStr">
        <is>
          <t>MVP</t>
        </is>
      </c>
      <c r="C98" s="419" t="inlineStr">
        <is>
          <t>Models</t>
        </is>
      </c>
      <c r="D98" s="419" t="inlineStr">
        <is>
          <t>Balanced Model Gateway router</t>
        </is>
      </c>
      <c r="E98" s="419" t="inlineStr">
        <is>
          <t>Route model work under Balanced policy: reject L0 deterministic work, send sub-L3 work to the local Ollama provider, escalate L3/L4 to a cloud provider only when one is registered, guard the context budget, and never silently fall back to cloud.</t>
        </is>
      </c>
      <c r="F98" s="419" t="inlineStr">
        <is>
          <t>P0</t>
        </is>
      </c>
      <c r="G98" s="419" t="inlineStr">
        <is>
          <t>Claude (Opus 4.8)</t>
        </is>
      </c>
      <c r="H98" s="419" t="inlineStr">
        <is>
          <t>Done</t>
        </is>
      </c>
      <c r="I98" s="420" t="n">
        <v>1</v>
      </c>
      <c r="J98" s="419" t="inlineStr">
        <is>
          <t>R-006</t>
        </is>
      </c>
      <c r="K98" s="419" t="inlineStr">
        <is>
          <t>Founder Stage 0</t>
        </is>
      </c>
      <c r="L98"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8" s="419" t="inlineStr">
        <is>
          <t>Reconstructed with founder approval from Brief Sections 18, 18.1, 18.2, 18.3, 84, 85, 91, and 92; founder intent to support both cloud API-key and local providers one at a time.</t>
        </is>
      </c>
    </row>
    <row r="99" ht="34" customHeight="1" s="401">
      <c r="A99" s="419" t="inlineStr">
        <is>
          <t>R-006</t>
        </is>
      </c>
      <c r="B99" s="419" t="inlineStr">
        <is>
          <t>MVP</t>
        </is>
      </c>
      <c r="C99" s="419" t="inlineStr">
        <is>
          <t>Models</t>
        </is>
      </c>
      <c r="D99" s="419" t="inlineStr">
        <is>
          <t>Loopback Ollama provider adapter</t>
        </is>
      </c>
      <c r="E99" s="419" t="inlineStr">
        <is>
          <t>Implement bounded health, discovery, chat generation, and NDJSON streaming against the accepted ModelProvider contract.</t>
        </is>
      </c>
      <c r="F99" s="419" t="inlineStr">
        <is>
          <t>P0</t>
        </is>
      </c>
      <c r="G99" s="419" t="inlineStr">
        <is>
          <t>Codex</t>
        </is>
      </c>
      <c r="H99" s="419" t="inlineStr">
        <is>
          <t>Done</t>
        </is>
      </c>
      <c r="I99" s="420" t="n">
        <v>1</v>
      </c>
      <c r="J99" s="419" t="inlineStr">
        <is>
          <t>R-005</t>
        </is>
      </c>
      <c r="K99" s="419" t="inlineStr">
        <is>
          <t>Founder Stage 0</t>
        </is>
      </c>
      <c r="L99" s="419" t="inlineStr">
        <is>
          <t>Implementation 8061ca3b129539ada4b0838d7d70c8acd3df1ea3; task verify, adapter tests, and live loopback conformance passed; local_calls=3, cloud_calls=0</t>
        </is>
      </c>
      <c r="M99" s="419" t="inlineStr">
        <is>
          <t>Reconstructed with founder approval from Brief Sections 18.3, 75, 84, 85, 91, and 92.</t>
        </is>
      </c>
    </row>
    <row r="100" ht="34" customHeight="1" s="401">
      <c r="A100" s="419" t="inlineStr">
        <is>
          <t>R-005</t>
        </is>
      </c>
      <c r="B100" s="419" t="inlineStr">
        <is>
          <t>MVP</t>
        </is>
      </c>
      <c r="C100" s="419" t="inlineStr">
        <is>
          <t>Models</t>
        </is>
      </c>
      <c r="D100" s="419" t="inlineStr">
        <is>
          <t>ModelProvider contract and registry</t>
        </is>
      </c>
      <c r="E100" s="419" t="inlineStr">
        <is>
          <t>Define the vendor-neutral Python provider protocol, typed model-call records, and deterministic registry before any adapter exists.</t>
        </is>
      </c>
      <c r="F100" s="419" t="inlineStr">
        <is>
          <t>P0</t>
        </is>
      </c>
      <c r="G100" s="419" t="inlineStr">
        <is>
          <t>Codex</t>
        </is>
      </c>
      <c r="H100" s="419" t="inlineStr">
        <is>
          <t>Done</t>
        </is>
      </c>
      <c r="I100" s="420" t="n">
        <v>1</v>
      </c>
      <c r="J100" s="419" t="inlineStr">
        <is>
          <t>R-004</t>
        </is>
      </c>
      <c r="K100" s="419" t="inlineStr">
        <is>
          <t>Founder Stage 0</t>
        </is>
      </c>
      <c r="L100" s="419" t="inlineStr">
        <is>
          <t>Implementation afdc4ba9c14b231dece9533dbdd39e1e79e9ace3; task verify and 13 contract tests passed; local_calls=2 inconclusive, cloud_calls=0</t>
        </is>
      </c>
      <c r="M100" s="419" t="inlineStr">
        <is>
          <t>Reconstructed with founder approval from Brief Sections 18.3, 75, 83, 84, and 91.</t>
        </is>
      </c>
    </row>
    <row r="101" ht="34" customHeight="1" s="401">
      <c r="A101" s="419" t="inlineStr">
        <is>
          <t>R-004</t>
        </is>
      </c>
      <c r="B101" s="419" t="inlineStr">
        <is>
          <t>MVP</t>
        </is>
      </c>
      <c r="C101" s="419" t="inlineStr">
        <is>
          <t>Backend</t>
        </is>
      </c>
      <c r="D101" s="419" t="inlineStr">
        <is>
          <t>Go control-plane foundation</t>
        </is>
      </c>
      <c r="E101" s="419" t="inlineStr">
        <is>
          <t>Add the minimal Go modular-monolith service with typed configuration, liveness, PostgreSQL readiness, and graceful shutdown.</t>
        </is>
      </c>
      <c r="F101" s="419" t="inlineStr">
        <is>
          <t>P0</t>
        </is>
      </c>
      <c r="G101" s="419" t="inlineStr">
        <is>
          <t>Codex</t>
        </is>
      </c>
      <c r="H101" s="419" t="inlineStr">
        <is>
          <t>Done</t>
        </is>
      </c>
      <c r="I101" s="420" t="n">
        <v>1</v>
      </c>
      <c r="J101" s="419" t="inlineStr">
        <is>
          <t>R-003</t>
        </is>
      </c>
      <c r="K101" s="419" t="inlineStr">
        <is>
          <t>Founder Stage 0</t>
        </is>
      </c>
      <c r="L101" s="419" t="inlineStr">
        <is>
          <t>Implementation c44fd8d013e3ec1497ccb4ab55f1433df042aeb5; task verify, race tests, and live health/readiness passed; local_calls=1, cloud_calls=0</t>
        </is>
      </c>
      <c r="M101" s="419" t="inlineStr">
        <is>
          <t>Reconstructed with founder approval from Brief Sections 33, 74, and 84.1.</t>
        </is>
      </c>
    </row>
    <row r="102" ht="34" customHeight="1" s="401">
      <c r="A102" s="419" t="inlineStr">
        <is>
          <t>R-003</t>
        </is>
      </c>
      <c r="B102" s="419" t="inlineStr">
        <is>
          <t>MVP</t>
        </is>
      </c>
      <c r="C102" s="419" t="inlineStr">
        <is>
          <t>Models</t>
        </is>
      </c>
      <c r="D102" s="419" t="inlineStr">
        <is>
          <t>Local Ollama Stage 0 bootstrap</t>
        </is>
      </c>
      <c r="E102" s="419" t="inlineStr">
        <is>
          <t>Validate a loopback-only Ollama runtime, discover the configured local coder, and run a deterministic inference smoke test.</t>
        </is>
      </c>
      <c r="F102" s="419" t="inlineStr">
        <is>
          <t>P0</t>
        </is>
      </c>
      <c r="G102" s="419" t="inlineStr">
        <is>
          <t>Codex</t>
        </is>
      </c>
      <c r="H102" s="419" t="inlineStr">
        <is>
          <t>Done</t>
        </is>
      </c>
      <c r="I102" s="420" t="n">
        <v>1</v>
      </c>
      <c r="J102" s="419" t="inlineStr">
        <is>
          <t>R-002</t>
        </is>
      </c>
      <c r="K102" s="419" t="inlineStr">
        <is>
          <t>Founder Stage 0</t>
        </is>
      </c>
      <c r="L102" s="419" t="inlineStr">
        <is>
          <t>task verify: PASS; task ollama:verify: qwen2.5-coder:14b generated 6 tokens, cloud calls 0; implementation commit 822db27aa9c9e6ab836c28abba10f41dc27918d7</t>
        </is>
      </c>
      <c r="M102" s="419" t="inlineStr">
        <is>
          <t>Reconstructed with founder approval from Brief Sections 79 and 84.1.</t>
        </is>
      </c>
    </row>
    <row r="103" ht="34" customHeight="1" s="401">
      <c r="A103" s="419" t="inlineStr">
        <is>
          <t>R-002</t>
        </is>
      </c>
      <c r="B103" s="419" t="inlineStr">
        <is>
          <t>MVP</t>
        </is>
      </c>
      <c r="C103" s="419" t="inlineStr">
        <is>
          <t>Data</t>
        </is>
      </c>
      <c r="D103" s="419" t="inlineStr">
        <is>
          <t>PostgreSQL + pgvector local bootstrap</t>
        </is>
      </c>
      <c r="E103" s="419" t="inlineStr">
        <is>
          <t>Add local Docker Compose PostgreSQL with pgvector and a versioned initial migration.</t>
        </is>
      </c>
      <c r="F103" s="419" t="inlineStr">
        <is>
          <t>P0</t>
        </is>
      </c>
      <c r="G103" s="419" t="inlineStr">
        <is>
          <t>Codex</t>
        </is>
      </c>
      <c r="H103" s="419" t="inlineStr">
        <is>
          <t>Done</t>
        </is>
      </c>
      <c r="I103" s="420" t="n">
        <v>1</v>
      </c>
      <c r="J103" s="419" t="inlineStr">
        <is>
          <t>R-001</t>
        </is>
      </c>
      <c r="K103" s="419" t="inlineStr">
        <is>
          <t>Founder Stage 0</t>
        </is>
      </c>
      <c r="L103" s="419" t="inlineStr">
        <is>
          <t>task verify: PASS; task db:verify: PostgreSQL healthy, pgvector 0.8.6, migration 1; implementation commit 56bf4b0dea5486f8d6dcde0c7b1054249ebbb064</t>
        </is>
      </c>
      <c r="M103" s="419" t="inlineStr">
        <is>
          <t>Reconstructed with founder approval from the kickoff kit's canonical R-002 example.</t>
        </is>
      </c>
    </row>
    <row r="104" ht="34" customHeight="1" s="401">
      <c r="A104" s="419" t="inlineStr">
        <is>
          <t>R-001</t>
        </is>
      </c>
      <c r="B104" s="419" t="inlineStr">
        <is>
          <t>MVP</t>
        </is>
      </c>
      <c r="C104" s="419" t="inlineStr">
        <is>
          <t>Foundation</t>
        </is>
      </c>
      <c r="D104" s="419" t="inlineStr">
        <is>
          <t>Platform monorepo bootstrap</t>
        </is>
      </c>
      <c r="E104" s="419" t="inlineStr">
        <is>
          <t>Bootstrap the Section 74 skeleton and Stage 0 portable onboarding, verification, state, and handoff contract without implementing services or infrastructure.</t>
        </is>
      </c>
      <c r="F104" s="419" t="inlineStr">
        <is>
          <t>P0</t>
        </is>
      </c>
      <c r="G104" s="419" t="inlineStr">
        <is>
          <t>Codex</t>
        </is>
      </c>
      <c r="H104" s="419" t="inlineStr">
        <is>
          <t>Done</t>
        </is>
      </c>
      <c r="I104" s="420" t="n">
        <v>1</v>
      </c>
      <c r="J104" s="419" t="inlineStr">
        <is>
          <t>None</t>
        </is>
      </c>
      <c r="K104" s="419" t="inlineStr">
        <is>
          <t>Founder Stage 0</t>
        </is>
      </c>
      <c r="L104" s="419" t="inlineStr">
        <is>
          <t>task verify: PASS; implementation commit 655f01fa0425e8df9022ce6bb1d2040f56b1cb73</t>
        </is>
      </c>
      <c r="M104" s="419" t="inlineStr">
        <is>
          <t>Reconstructed with founder approval because R-001 through R-009 were absent from the supplied workbook.</t>
        </is>
      </c>
    </row>
    <row r="105" ht="34" customHeight="1" s="401">
      <c r="A105" s="419" t="inlineStr">
        <is>
          <t>R-010</t>
        </is>
      </c>
      <c r="B105" s="419" t="inlineStr">
        <is>
          <t>MVP</t>
        </is>
      </c>
      <c r="C105" s="419" t="inlineStr">
        <is>
          <t>Agents</t>
        </is>
      </c>
      <c r="D105" s="419" t="inlineStr">
        <is>
          <t>Native iOS Agent</t>
        </is>
      </c>
      <c r="E105" s="419" t="inlineStr">
        <is>
          <t>Activated only for native iOS targets or native modules; generates Swift + SwiftUI using project conventions.</t>
        </is>
      </c>
      <c r="F105" s="419" t="inlineStr">
        <is>
          <t>P0</t>
        </is>
      </c>
      <c r="G105" s="419" t="n"/>
      <c r="H105" s="419" t="inlineStr">
        <is>
          <t>Not Started</t>
        </is>
      </c>
      <c r="I105" s="420" t="n">
        <v>0</v>
      </c>
      <c r="J105" s="419" t="n"/>
      <c r="K105" s="419" t="n"/>
      <c r="L105" s="419" t="n"/>
      <c r="M105" s="419" t="n"/>
    </row>
    <row r="106" ht="34" customHeight="1" s="401">
      <c r="A106" s="419" t="inlineStr">
        <is>
          <t>R-011</t>
        </is>
      </c>
      <c r="B106" s="419" t="inlineStr">
        <is>
          <t>MVP</t>
        </is>
      </c>
      <c r="C106" s="419" t="inlineStr">
        <is>
          <t>Agents</t>
        </is>
      </c>
      <c r="D106" s="419" t="inlineStr">
        <is>
          <t>Web/Admin Agent</t>
        </is>
      </c>
      <c r="E106" s="419" t="inlineStr">
        <is>
          <t>Generate/modify React/Next.js TypeScript.</t>
        </is>
      </c>
      <c r="F106" s="419" t="inlineStr">
        <is>
          <t>P0</t>
        </is>
      </c>
      <c r="G106" s="419" t="n"/>
      <c r="H106" s="419" t="inlineStr">
        <is>
          <t>Not Started</t>
        </is>
      </c>
      <c r="I106" s="420" t="n">
        <v>0</v>
      </c>
      <c r="J106" s="419" t="n"/>
      <c r="K106" s="419" t="n"/>
      <c r="L106" s="419" t="n"/>
      <c r="M106" s="419" t="n"/>
    </row>
    <row r="107" ht="34" customHeight="1" s="401">
      <c r="A107" s="419" t="inlineStr">
        <is>
          <t>R-012</t>
        </is>
      </c>
      <c r="B107" s="419" t="inlineStr">
        <is>
          <t>MVP</t>
        </is>
      </c>
      <c r="C107" s="419" t="inlineStr">
        <is>
          <t>Agents</t>
        </is>
      </c>
      <c r="D107" s="419" t="inlineStr">
        <is>
          <t>Backend Agent</t>
        </is>
      </c>
      <c r="E107" s="419" t="inlineStr">
        <is>
          <t>Generate/modify backend services; platform default Go/Python, generated app backend selectable.</t>
        </is>
      </c>
      <c r="F107" s="419" t="inlineStr">
        <is>
          <t>P0</t>
        </is>
      </c>
      <c r="G107" s="419" t="n"/>
      <c r="H107" s="419" t="inlineStr">
        <is>
          <t>Not Started</t>
        </is>
      </c>
      <c r="I107" s="420" t="n">
        <v>0</v>
      </c>
      <c r="J107" s="419" t="n"/>
      <c r="K107" s="419" t="n"/>
      <c r="L107" s="419" t="n"/>
      <c r="M107" s="419" t="n"/>
    </row>
    <row r="108" ht="34" customHeight="1" s="401">
      <c r="A108" s="419" t="inlineStr">
        <is>
          <t>R-013</t>
        </is>
      </c>
      <c r="B108" s="419" t="inlineStr">
        <is>
          <t>MVP</t>
        </is>
      </c>
      <c r="C108" s="419" t="inlineStr">
        <is>
          <t>Agents</t>
        </is>
      </c>
      <c r="D108" s="419" t="inlineStr">
        <is>
          <t>Database Agent</t>
        </is>
      </c>
      <c r="E108" s="419" t="inlineStr">
        <is>
          <t>Schema, indexes, migrations, rollback strategy and query checks.</t>
        </is>
      </c>
      <c r="F108" s="419" t="inlineStr">
        <is>
          <t>P0</t>
        </is>
      </c>
      <c r="G108" s="419" t="n"/>
      <c r="H108" s="419" t="inlineStr">
        <is>
          <t>Not Started</t>
        </is>
      </c>
      <c r="I108" s="420" t="n">
        <v>0</v>
      </c>
      <c r="J108" s="419" t="n"/>
      <c r="K108" s="419" t="n"/>
      <c r="L108" s="419" t="n"/>
      <c r="M108" s="419" t="n"/>
    </row>
    <row r="109" ht="34" customHeight="1" s="401">
      <c r="A109" s="419" t="inlineStr">
        <is>
          <t>R-014</t>
        </is>
      </c>
      <c r="B109" s="419" t="inlineStr">
        <is>
          <t>MVP</t>
        </is>
      </c>
      <c r="C109" s="419" t="inlineStr">
        <is>
          <t>Agents</t>
        </is>
      </c>
      <c r="D109" s="419" t="inlineStr">
        <is>
          <t>QA Agent</t>
        </is>
      </c>
      <c r="E109" s="419" t="inlineStr">
        <is>
          <t>Select tests from impact graph and add tests for new behavior.</t>
        </is>
      </c>
      <c r="F109" s="419" t="inlineStr">
        <is>
          <t>P0</t>
        </is>
      </c>
      <c r="G109" s="419" t="n"/>
      <c r="H109" s="419" t="inlineStr">
        <is>
          <t>Not Started</t>
        </is>
      </c>
      <c r="I109" s="420" t="n">
        <v>0</v>
      </c>
      <c r="J109" s="419" t="n"/>
      <c r="K109" s="419" t="n"/>
      <c r="L109" s="419" t="n"/>
      <c r="M109" s="419" t="n"/>
    </row>
    <row r="110" ht="34" customHeight="1" s="401">
      <c r="A110" s="419" t="inlineStr">
        <is>
          <t>R-015</t>
        </is>
      </c>
      <c r="B110" s="419" t="inlineStr">
        <is>
          <t>MVP</t>
        </is>
      </c>
      <c r="C110" s="419" t="inlineStr">
        <is>
          <t>Agents</t>
        </is>
      </c>
      <c r="D110" s="419" t="inlineStr">
        <is>
          <t>Security Review Agent</t>
        </is>
      </c>
      <c r="E110" s="419" t="inlineStr">
        <is>
          <t>Scan change for auth, secrets, input validation and dependency risk.</t>
        </is>
      </c>
      <c r="F110" s="419" t="inlineStr">
        <is>
          <t>P0</t>
        </is>
      </c>
      <c r="G110" s="419" t="n"/>
      <c r="H110" s="419" t="inlineStr">
        <is>
          <t>Not Started</t>
        </is>
      </c>
      <c r="I110" s="420" t="n">
        <v>0</v>
      </c>
      <c r="J110" s="419" t="n"/>
      <c r="K110" s="419" t="n"/>
      <c r="L110" s="419" t="n"/>
      <c r="M110" s="419" t="n"/>
    </row>
    <row r="111" ht="34" customHeight="1" s="401">
      <c r="A111" s="419" t="inlineStr">
        <is>
          <t>R-016</t>
        </is>
      </c>
      <c r="B111" s="419" t="inlineStr">
        <is>
          <t>MVP</t>
        </is>
      </c>
      <c r="C111" s="419" t="inlineStr">
        <is>
          <t>Change Safety</t>
        </is>
      </c>
      <c r="D111" s="419" t="inlineStr">
        <is>
          <t>Change Impact Engine v1</t>
        </is>
      </c>
      <c r="E111" s="419" t="inlineStr">
        <is>
          <t>Identify affected modules/APIs/schema/tests before edits.</t>
        </is>
      </c>
      <c r="F111" s="419" t="inlineStr">
        <is>
          <t>P0</t>
        </is>
      </c>
      <c r="G111" s="419" t="n"/>
      <c r="H111" s="419" t="inlineStr">
        <is>
          <t>Not Started</t>
        </is>
      </c>
      <c r="I111" s="420" t="n">
        <v>0</v>
      </c>
      <c r="J111" s="419" t="n"/>
      <c r="K111" s="419" t="n"/>
      <c r="L111" s="419" t="n"/>
      <c r="M111" s="419" t="n"/>
    </row>
    <row r="112" ht="34" customHeight="1" s="401">
      <c r="A112" s="419" t="inlineStr">
        <is>
          <t>R-017</t>
        </is>
      </c>
      <c r="B112" s="419" t="inlineStr">
        <is>
          <t>MVP</t>
        </is>
      </c>
      <c r="C112" s="419" t="inlineStr">
        <is>
          <t>Change Safety</t>
        </is>
      </c>
      <c r="D112" s="419" t="inlineStr">
        <is>
          <t>Blast-radius policy</t>
        </is>
      </c>
      <c r="E112" s="419" t="inlineStr">
        <is>
          <t>Reject or require review when changed files exceed expected scope.</t>
        </is>
      </c>
      <c r="F112" s="419" t="inlineStr">
        <is>
          <t>P0</t>
        </is>
      </c>
      <c r="G112" s="419" t="n"/>
      <c r="H112" s="419" t="inlineStr">
        <is>
          <t>Not Started</t>
        </is>
      </c>
      <c r="I112" s="420" t="n">
        <v>0</v>
      </c>
      <c r="J112" s="419" t="n"/>
      <c r="K112" s="419" t="n"/>
      <c r="L112" s="419" t="n"/>
      <c r="M112" s="419" t="n"/>
    </row>
    <row r="113" ht="34" customHeight="1" s="401">
      <c r="A113" s="419" t="inlineStr">
        <is>
          <t>R-018</t>
        </is>
      </c>
      <c r="B113" s="419" t="inlineStr">
        <is>
          <t>MVP</t>
        </is>
      </c>
      <c r="C113" s="419" t="inlineStr">
        <is>
          <t>Code Intelligence</t>
        </is>
      </c>
      <c r="D113" s="419" t="inlineStr">
        <is>
          <t>Repository index</t>
        </is>
      </c>
      <c r="E113" s="419" t="inlineStr">
        <is>
          <t>Symbols, imports, routes, schemas and dependencies indexed per commit.</t>
        </is>
      </c>
      <c r="F113" s="419" t="inlineStr">
        <is>
          <t>P0</t>
        </is>
      </c>
      <c r="G113" s="419" t="n"/>
      <c r="H113" s="419" t="inlineStr">
        <is>
          <t>Not Started</t>
        </is>
      </c>
      <c r="I113" s="420" t="n">
        <v>0</v>
      </c>
      <c r="J113" s="419" t="n"/>
      <c r="K113" s="419" t="n"/>
      <c r="L113" s="419" t="n"/>
      <c r="M113" s="419" t="n"/>
    </row>
    <row r="114" ht="34" customHeight="1" s="401">
      <c r="A114" s="419" t="inlineStr">
        <is>
          <t>R-019</t>
        </is>
      </c>
      <c r="B114" s="419" t="inlineStr">
        <is>
          <t>MVP</t>
        </is>
      </c>
      <c r="C114" s="419" t="inlineStr">
        <is>
          <t>Code Intelligence</t>
        </is>
      </c>
      <c r="D114" s="419" t="inlineStr">
        <is>
          <t>Semantic context retrieval</t>
        </is>
      </c>
      <c r="E114" s="419" t="inlineStr">
        <is>
          <t>Send only relevant code/context to models.</t>
        </is>
      </c>
      <c r="F114" s="419" t="inlineStr">
        <is>
          <t>P0</t>
        </is>
      </c>
      <c r="G114" s="419" t="n"/>
      <c r="H114" s="419" t="inlineStr">
        <is>
          <t>Not Started</t>
        </is>
      </c>
      <c r="I114" s="420" t="n">
        <v>0</v>
      </c>
      <c r="J114" s="419" t="n"/>
      <c r="K114" s="419" t="n"/>
      <c r="L114" s="419" t="n"/>
      <c r="M114" s="419" t="n"/>
    </row>
    <row r="115" ht="34" customHeight="1" s="401">
      <c r="A115" s="419" t="inlineStr">
        <is>
          <t>R-020</t>
        </is>
      </c>
      <c r="B115" s="419" t="inlineStr">
        <is>
          <t>MVP</t>
        </is>
      </c>
      <c r="C115" s="419" t="inlineStr">
        <is>
          <t>Code Editing</t>
        </is>
      </c>
      <c r="D115" s="419" t="inlineStr">
        <is>
          <t>Structured patch engine</t>
        </is>
      </c>
      <c r="E115" s="419" t="inlineStr">
        <is>
          <t>Prefer symbol/AST-aware targeted patches over full-file rewrites.</t>
        </is>
      </c>
      <c r="F115" s="419" t="inlineStr">
        <is>
          <t>P0</t>
        </is>
      </c>
      <c r="G115" s="419" t="n"/>
      <c r="H115" s="419" t="inlineStr">
        <is>
          <t>Not Started</t>
        </is>
      </c>
      <c r="I115" s="420" t="n">
        <v>0</v>
      </c>
      <c r="J115" s="419" t="n"/>
      <c r="K115" s="419" t="n"/>
      <c r="L115" s="419" t="n"/>
      <c r="M115" s="419" t="n"/>
    </row>
    <row r="116" ht="34" customHeight="1" s="401">
      <c r="A116" s="419" t="inlineStr">
        <is>
          <t>R-021</t>
        </is>
      </c>
      <c r="B116" s="419" t="inlineStr">
        <is>
          <t>MVP</t>
        </is>
      </c>
      <c r="C116" s="419" t="inlineStr">
        <is>
          <t>Git</t>
        </is>
      </c>
      <c r="D116" s="419" t="inlineStr">
        <is>
          <t>Branch per task</t>
        </is>
      </c>
      <c r="E116" s="419" t="inlineStr">
        <is>
          <t>Every AI task runs on its own branch/checkpoint.</t>
        </is>
      </c>
      <c r="F116" s="419" t="inlineStr">
        <is>
          <t>P0</t>
        </is>
      </c>
      <c r="G116" s="419" t="n"/>
      <c r="H116" s="419" t="inlineStr">
        <is>
          <t>Not Started</t>
        </is>
      </c>
      <c r="I116" s="420" t="n">
        <v>0</v>
      </c>
      <c r="J116" s="419" t="n"/>
      <c r="K116" s="419" t="n"/>
      <c r="L116" s="419" t="n"/>
      <c r="M116" s="419" t="n"/>
    </row>
    <row r="117" ht="34" customHeight="1" s="401">
      <c r="A117" s="419" t="inlineStr">
        <is>
          <t>R-022</t>
        </is>
      </c>
      <c r="B117" s="419" t="inlineStr">
        <is>
          <t>MVP</t>
        </is>
      </c>
      <c r="C117" s="419" t="inlineStr">
        <is>
          <t>Git</t>
        </is>
      </c>
      <c r="D117" s="419" t="inlineStr">
        <is>
          <t>Non-destructive rollback</t>
        </is>
      </c>
      <c r="E117" s="419" t="inlineStr">
        <is>
          <t>Use Git revert/cherry-pick; never destroy later work as the only rollback method.</t>
        </is>
      </c>
      <c r="F117" s="419" t="inlineStr">
        <is>
          <t>P0</t>
        </is>
      </c>
      <c r="G117" s="419" t="n"/>
      <c r="H117" s="419" t="inlineStr">
        <is>
          <t>Not Started</t>
        </is>
      </c>
      <c r="I117" s="420" t="n">
        <v>0</v>
      </c>
      <c r="J117" s="419" t="n"/>
      <c r="K117" s="419" t="n"/>
      <c r="L117" s="419" t="n"/>
      <c r="M117" s="419" t="n"/>
    </row>
    <row r="118" ht="34" customHeight="1" s="401">
      <c r="A118" s="419" t="inlineStr">
        <is>
          <t>R-023</t>
        </is>
      </c>
      <c r="B118" s="419" t="inlineStr">
        <is>
          <t>MVP</t>
        </is>
      </c>
      <c r="C118" s="419" t="inlineStr">
        <is>
          <t>Models</t>
        </is>
      </c>
      <c r="D118" s="419" t="inlineStr">
        <is>
          <t>Model gateway</t>
        </is>
      </c>
      <c r="E118" s="419" t="inlineStr">
        <is>
          <t>One internal API for OpenAI/Anthropic/Gemini and future models.</t>
        </is>
      </c>
      <c r="F118" s="419" t="inlineStr">
        <is>
          <t>P0</t>
        </is>
      </c>
      <c r="G118" s="419" t="n"/>
      <c r="H118" s="419" t="inlineStr">
        <is>
          <t>Not Started</t>
        </is>
      </c>
      <c r="I118" s="420" t="n">
        <v>0</v>
      </c>
      <c r="J118" s="419" t="n"/>
      <c r="K118" s="419" t="n"/>
      <c r="L118" s="419" t="n"/>
      <c r="M118" s="419" t="n"/>
    </row>
    <row r="119" ht="34" customHeight="1" s="401">
      <c r="A119" s="419" t="inlineStr">
        <is>
          <t>R-024</t>
        </is>
      </c>
      <c r="B119" s="419" t="inlineStr">
        <is>
          <t>MVP</t>
        </is>
      </c>
      <c r="C119" s="419" t="inlineStr">
        <is>
          <t>Models</t>
        </is>
      </c>
      <c r="D119" s="419" t="inlineStr">
        <is>
          <t>Routing + fallback</t>
        </is>
      </c>
      <c r="E119" s="419" t="inlineStr">
        <is>
          <t>Route by task quality/cost/latency; retry on another approved model after provider failure.</t>
        </is>
      </c>
      <c r="F119" s="419" t="inlineStr">
        <is>
          <t>P0</t>
        </is>
      </c>
      <c r="G119" s="419" t="n"/>
      <c r="H119" s="419" t="inlineStr">
        <is>
          <t>Not Started</t>
        </is>
      </c>
      <c r="I119" s="420" t="n">
        <v>0</v>
      </c>
      <c r="J119" s="419" t="n"/>
      <c r="K119" s="419" t="n"/>
      <c r="L119" s="419" t="n"/>
      <c r="M119" s="419" t="n"/>
    </row>
    <row r="120" ht="34" customHeight="1" s="401">
      <c r="A120" s="419" t="inlineStr">
        <is>
          <t>R-025</t>
        </is>
      </c>
      <c r="B120" s="419" t="inlineStr">
        <is>
          <t>MVP</t>
        </is>
      </c>
      <c r="C120" s="419" t="inlineStr">
        <is>
          <t>Models</t>
        </is>
      </c>
      <c r="D120" s="419" t="inlineStr">
        <is>
          <t>Per-task budgets</t>
        </is>
      </c>
      <c r="E120" s="419" t="inlineStr">
        <is>
          <t>Token/tool/time/retry limits prevent runaway loops.</t>
        </is>
      </c>
      <c r="F120" s="419" t="inlineStr">
        <is>
          <t>P0</t>
        </is>
      </c>
      <c r="G120" s="419" t="n"/>
      <c r="H120" s="419" t="inlineStr">
        <is>
          <t>Not Started</t>
        </is>
      </c>
      <c r="I120" s="420" t="n">
        <v>0</v>
      </c>
      <c r="J120" s="419" t="n"/>
      <c r="K120" s="419" t="n"/>
      <c r="L120" s="419" t="n"/>
      <c r="M120" s="419" t="n"/>
    </row>
    <row r="121" ht="34" customHeight="1" s="401">
      <c r="A121" s="419" t="inlineStr">
        <is>
          <t>R-026</t>
        </is>
      </c>
      <c r="B121" s="419" t="inlineStr">
        <is>
          <t>MVP</t>
        </is>
      </c>
      <c r="C121" s="419" t="inlineStr">
        <is>
          <t>Data</t>
        </is>
      </c>
      <c r="D121" s="419" t="inlineStr">
        <is>
          <t>PostgreSQL</t>
        </is>
      </c>
      <c r="E121" s="419" t="inlineStr">
        <is>
          <t>Platform metadata, users, projects, billing, IR and audit records.</t>
        </is>
      </c>
      <c r="F121" s="419" t="inlineStr">
        <is>
          <t>P0</t>
        </is>
      </c>
      <c r="G121" s="419" t="n"/>
      <c r="H121" s="419" t="inlineStr">
        <is>
          <t>Not Started</t>
        </is>
      </c>
      <c r="I121" s="420" t="n">
        <v>0</v>
      </c>
      <c r="J121" s="419" t="n"/>
      <c r="K121" s="419" t="n"/>
      <c r="L121" s="419" t="n"/>
      <c r="M121" s="419" t="n"/>
    </row>
    <row r="122" ht="34" customHeight="1" s="401">
      <c r="A122" s="419" t="inlineStr">
        <is>
          <t>R-027</t>
        </is>
      </c>
      <c r="B122" s="419" t="inlineStr">
        <is>
          <t>MVP</t>
        </is>
      </c>
      <c r="C122" s="419" t="inlineStr">
        <is>
          <t>Data</t>
        </is>
      </c>
      <c r="D122" s="419" t="inlineStr">
        <is>
          <t>pgvector initially</t>
        </is>
      </c>
      <c r="E122" s="419" t="inlineStr">
        <is>
          <t>Project/code embeddings in PostgreSQL to avoid operating a separate vector DB too early.</t>
        </is>
      </c>
      <c r="F122" s="419" t="inlineStr">
        <is>
          <t>P0</t>
        </is>
      </c>
      <c r="G122" s="419" t="n"/>
      <c r="H122" s="419" t="inlineStr">
        <is>
          <t>Not Started</t>
        </is>
      </c>
      <c r="I122" s="420" t="n">
        <v>0</v>
      </c>
      <c r="J122" s="419" t="n"/>
      <c r="K122" s="419" t="n"/>
      <c r="L122" s="419" t="n"/>
      <c r="M122" s="419" t="n"/>
    </row>
    <row r="123" ht="34" customHeight="1" s="401">
      <c r="A123" s="419" t="inlineStr">
        <is>
          <t>R-028</t>
        </is>
      </c>
      <c r="B123" s="419" t="inlineStr">
        <is>
          <t>MVP</t>
        </is>
      </c>
      <c r="C123" s="419" t="inlineStr">
        <is>
          <t>Data</t>
        </is>
      </c>
      <c r="D123" s="419" t="inlineStr">
        <is>
          <t>Redis</t>
        </is>
      </c>
      <c r="E123" s="419" t="inlineStr">
        <is>
          <t>Cache, short-lived agent state, rate limits and queues where appropriate.</t>
        </is>
      </c>
      <c r="F123" s="419" t="inlineStr">
        <is>
          <t>P0</t>
        </is>
      </c>
      <c r="G123" s="419" t="n"/>
      <c r="H123" s="419" t="inlineStr">
        <is>
          <t>Not Started</t>
        </is>
      </c>
      <c r="I123" s="420" t="n">
        <v>0</v>
      </c>
      <c r="J123" s="419" t="n"/>
      <c r="K123" s="419" t="n"/>
      <c r="L123" s="419" t="n"/>
      <c r="M123" s="419" t="n"/>
    </row>
    <row r="124" ht="34" customHeight="1" s="401">
      <c r="A124" s="419" t="inlineStr">
        <is>
          <t>R-029</t>
        </is>
      </c>
      <c r="B124" s="419" t="inlineStr">
        <is>
          <t>MVP</t>
        </is>
      </c>
      <c r="C124" s="419" t="inlineStr">
        <is>
          <t>Data</t>
        </is>
      </c>
      <c r="D124" s="419" t="inlineStr">
        <is>
          <t>NATS / managed queue</t>
        </is>
      </c>
      <c r="E124" s="419" t="inlineStr">
        <is>
          <t>Agent/build events with simpler operations than Kafka for MVP.</t>
        </is>
      </c>
      <c r="F124" s="419" t="inlineStr">
        <is>
          <t>P0</t>
        </is>
      </c>
      <c r="G124" s="419" t="n"/>
      <c r="H124" s="419" t="inlineStr">
        <is>
          <t>Not Started</t>
        </is>
      </c>
      <c r="I124" s="420" t="n">
        <v>0</v>
      </c>
      <c r="J124" s="419" t="n"/>
      <c r="K124" s="419" t="n"/>
      <c r="L124" s="419" t="n"/>
      <c r="M124" s="419" t="n"/>
    </row>
    <row r="125" ht="34" customHeight="1" s="401">
      <c r="A125" s="419" t="inlineStr">
        <is>
          <t>R-030</t>
        </is>
      </c>
      <c r="B125" s="419" t="inlineStr">
        <is>
          <t>MVP</t>
        </is>
      </c>
      <c r="C125" s="419" t="inlineStr">
        <is>
          <t>Data</t>
        </is>
      </c>
      <c r="D125" s="419" t="inlineStr">
        <is>
          <t>S3-compatible object storage</t>
        </is>
      </c>
      <c r="E125" s="419" t="inlineStr">
        <is>
          <t>Builds, screenshots, archives, test artifacts and logs.</t>
        </is>
      </c>
      <c r="F125" s="419" t="inlineStr">
        <is>
          <t>P0</t>
        </is>
      </c>
      <c r="G125" s="419" t="n"/>
      <c r="H125" s="419" t="inlineStr">
        <is>
          <t>Not Started</t>
        </is>
      </c>
      <c r="I125" s="420" t="n">
        <v>0</v>
      </c>
      <c r="J125" s="419" t="n"/>
      <c r="K125" s="419" t="n"/>
      <c r="L125" s="419" t="n"/>
      <c r="M125" s="419" t="n"/>
    </row>
    <row r="126" ht="34" customHeight="1" s="401">
      <c r="A126" s="419" t="inlineStr">
        <is>
          <t>R-031</t>
        </is>
      </c>
      <c r="B126" s="419" t="inlineStr">
        <is>
          <t>MVP</t>
        </is>
      </c>
      <c r="C126" s="419" t="inlineStr">
        <is>
          <t>Sandbox</t>
        </is>
      </c>
      <c r="D126" s="419" t="inlineStr">
        <is>
          <t>Ephemeral Linux sandbox</t>
        </is>
      </c>
      <c r="E126" s="419" t="inlineStr">
        <is>
          <t>Isolated build/run environment with CPU/RAM/disk/network limits.</t>
        </is>
      </c>
      <c r="F126" s="419" t="inlineStr">
        <is>
          <t>P0</t>
        </is>
      </c>
      <c r="G126" s="419" t="n"/>
      <c r="H126" s="419" t="inlineStr">
        <is>
          <t>Not Started</t>
        </is>
      </c>
      <c r="I126" s="420" t="n">
        <v>0</v>
      </c>
      <c r="J126" s="419" t="n"/>
      <c r="K126" s="419" t="n"/>
      <c r="L126" s="419" t="n"/>
      <c r="M126" s="419" t="n"/>
    </row>
    <row r="127" ht="34" customHeight="1" s="401">
      <c r="A127" s="419" t="inlineStr">
        <is>
          <t>R-032</t>
        </is>
      </c>
      <c r="B127" s="419" t="inlineStr">
        <is>
          <t>MVP</t>
        </is>
      </c>
      <c r="C127" s="419" t="inlineStr">
        <is>
          <t>Sandbox</t>
        </is>
      </c>
      <c r="D127" s="419" t="inlineStr">
        <is>
          <t>Secret broker</t>
        </is>
      </c>
      <c r="E127" s="419" t="inlineStr">
        <is>
          <t>Give tasks short-lived scoped credentials, never raw master secrets.</t>
        </is>
      </c>
      <c r="F127" s="419" t="inlineStr">
        <is>
          <t>P0</t>
        </is>
      </c>
      <c r="G127" s="419" t="n"/>
      <c r="H127" s="419" t="inlineStr">
        <is>
          <t>Not Started</t>
        </is>
      </c>
      <c r="I127" s="420" t="n">
        <v>0</v>
      </c>
      <c r="J127" s="419" t="n"/>
      <c r="K127" s="419" t="n"/>
      <c r="L127" s="419" t="n"/>
      <c r="M127" s="419" t="n"/>
    </row>
    <row r="128" ht="34" customHeight="1" s="401">
      <c r="A128" s="419" t="inlineStr">
        <is>
          <t>R-033</t>
        </is>
      </c>
      <c r="B128" s="419" t="inlineStr">
        <is>
          <t>MVP</t>
        </is>
      </c>
      <c r="C128" s="419" t="inlineStr">
        <is>
          <t>Preview</t>
        </is>
      </c>
      <c r="D128" s="419" t="inlineStr">
        <is>
          <t>Application-IR browser preview</t>
        </is>
      </c>
      <c r="E128" s="419" t="inlineStr">
        <is>
          <t>Fast Android/iOS-like UI preview from same canonical IR.</t>
        </is>
      </c>
      <c r="F128" s="419" t="inlineStr">
        <is>
          <t>P0</t>
        </is>
      </c>
      <c r="G128" s="419" t="n"/>
      <c r="H128" s="419" t="inlineStr">
        <is>
          <t>Not Started</t>
        </is>
      </c>
      <c r="I128" s="420" t="n">
        <v>0</v>
      </c>
      <c r="J128" s="419" t="n"/>
      <c r="K128" s="419" t="n"/>
      <c r="L128" s="419" t="n"/>
      <c r="M128" s="419" t="n"/>
    </row>
    <row r="129" ht="34" customHeight="1" s="401">
      <c r="A129" s="419" t="inlineStr">
        <is>
          <t>R-034</t>
        </is>
      </c>
      <c r="B129" s="419" t="inlineStr">
        <is>
          <t>MVP</t>
        </is>
      </c>
      <c r="C129" s="419" t="inlineStr">
        <is>
          <t>Preview</t>
        </is>
      </c>
      <c r="D129" s="419" t="inlineStr">
        <is>
          <t>Web/Admin live preview</t>
        </is>
      </c>
      <c r="E129" s="419" t="inlineStr">
        <is>
          <t>Run generated web apps in isolated preview containers.</t>
        </is>
      </c>
      <c r="F129" s="419" t="inlineStr">
        <is>
          <t>P0</t>
        </is>
      </c>
      <c r="G129" s="419" t="n"/>
      <c r="H129" s="419" t="inlineStr">
        <is>
          <t>Not Started</t>
        </is>
      </c>
      <c r="I129" s="420" t="n">
        <v>0</v>
      </c>
      <c r="J129" s="419" t="n"/>
      <c r="K129" s="419" t="n"/>
      <c r="L129" s="419" t="n"/>
      <c r="M129" s="419" t="n"/>
    </row>
    <row r="130" ht="34" customHeight="1" s="401">
      <c r="A130" s="419" t="inlineStr">
        <is>
          <t>R-035</t>
        </is>
      </c>
      <c r="B130" s="419" t="inlineStr">
        <is>
          <t>MVP</t>
        </is>
      </c>
      <c r="C130" s="419" t="inlineStr">
        <is>
          <t>Android</t>
        </is>
      </c>
      <c r="D130" s="419" t="inlineStr">
        <is>
          <t>Android build verification</t>
        </is>
      </c>
      <c r="E130" s="419" t="inlineStr">
        <is>
          <t>Compile generated Kotlin/Compose on Linux workers.</t>
        </is>
      </c>
      <c r="F130" s="419" t="inlineStr">
        <is>
          <t>P0</t>
        </is>
      </c>
      <c r="G130" s="419" t="n"/>
      <c r="H130" s="419" t="inlineStr">
        <is>
          <t>Not Started</t>
        </is>
      </c>
      <c r="I130" s="420" t="n">
        <v>0</v>
      </c>
      <c r="J130" s="419" t="n"/>
      <c r="K130" s="419" t="n"/>
      <c r="L130" s="419" t="n"/>
      <c r="M130" s="419" t="n"/>
    </row>
    <row r="131" ht="34" customHeight="1" s="401">
      <c r="A131" s="419" t="inlineStr">
        <is>
          <t>R-036</t>
        </is>
      </c>
      <c r="B131" s="419" t="inlineStr">
        <is>
          <t>MVP</t>
        </is>
      </c>
      <c r="C131" s="419" t="inlineStr">
        <is>
          <t>iOS</t>
        </is>
      </c>
      <c r="D131" s="419" t="inlineStr">
        <is>
          <t>Cloud macOS compile verification</t>
        </is>
      </c>
      <c r="E131" s="419" t="inlineStr">
        <is>
          <t>Compile Swift/SwiftUI on a Mac pool when needed; user OS irrelevant.</t>
        </is>
      </c>
      <c r="F131" s="419" t="inlineStr">
        <is>
          <t>P0</t>
        </is>
      </c>
      <c r="G131" s="419" t="n"/>
      <c r="H131" s="419" t="inlineStr">
        <is>
          <t>Not Started</t>
        </is>
      </c>
      <c r="I131" s="420" t="n">
        <v>0</v>
      </c>
      <c r="J131" s="419" t="n"/>
      <c r="K131" s="419" t="n"/>
      <c r="L131" s="419" t="n"/>
      <c r="M131" s="419" t="n"/>
    </row>
    <row r="132" ht="34" customHeight="1" s="401">
      <c r="A132" s="419" t="inlineStr">
        <is>
          <t>R-037</t>
        </is>
      </c>
      <c r="B132" s="419" t="inlineStr">
        <is>
          <t>MVP</t>
        </is>
      </c>
      <c r="C132" s="419" t="inlineStr">
        <is>
          <t>Testing</t>
        </is>
      </c>
      <c r="D132" s="419" t="inlineStr">
        <is>
          <t>Unit + integration baseline</t>
        </is>
      </c>
      <c r="E132" s="419" t="inlineStr">
        <is>
          <t>Generated changes require relevant tests.</t>
        </is>
      </c>
      <c r="F132" s="419" t="inlineStr">
        <is>
          <t>P0</t>
        </is>
      </c>
      <c r="G132" s="419" t="n"/>
      <c r="H132" s="419" t="inlineStr">
        <is>
          <t>Not Started</t>
        </is>
      </c>
      <c r="I132" s="420" t="n">
        <v>0</v>
      </c>
      <c r="J132" s="419" t="n"/>
      <c r="K132" s="419" t="n"/>
      <c r="L132" s="419" t="n"/>
      <c r="M132" s="419" t="n"/>
    </row>
    <row r="133" ht="34" customHeight="1" s="401">
      <c r="A133" s="419" t="inlineStr">
        <is>
          <t>R-038</t>
        </is>
      </c>
      <c r="B133" s="419" t="inlineStr">
        <is>
          <t>MVP</t>
        </is>
      </c>
      <c r="C133" s="419" t="inlineStr">
        <is>
          <t>Testing</t>
        </is>
      </c>
      <c r="D133" s="419" t="inlineStr">
        <is>
          <t>Regression gate</t>
        </is>
      </c>
      <c r="E133" s="419" t="inlineStr">
        <is>
          <t>Existing passing tests must stay passing before merge.</t>
        </is>
      </c>
      <c r="F133" s="419" t="inlineStr">
        <is>
          <t>P0</t>
        </is>
      </c>
      <c r="G133" s="419" t="n"/>
      <c r="H133" s="419" t="inlineStr">
        <is>
          <t>Not Started</t>
        </is>
      </c>
      <c r="I133" s="420" t="n">
        <v>0</v>
      </c>
      <c r="J133" s="419" t="n"/>
      <c r="K133" s="419" t="n"/>
      <c r="L133" s="419" t="n"/>
      <c r="M133" s="419" t="n"/>
    </row>
    <row r="134" ht="34" customHeight="1" s="401">
      <c r="A134" s="419" t="inlineStr">
        <is>
          <t>R-039</t>
        </is>
      </c>
      <c r="B134" s="419" t="inlineStr">
        <is>
          <t>MVP</t>
        </is>
      </c>
      <c r="C134" s="419" t="inlineStr">
        <is>
          <t>Testing</t>
        </is>
      </c>
      <c r="D134" s="419" t="inlineStr">
        <is>
          <t>API contract tests</t>
        </is>
      </c>
      <c r="E134" s="419" t="inlineStr">
        <is>
          <t>Catch backend/mobile/web contract drift.</t>
        </is>
      </c>
      <c r="F134" s="419" t="inlineStr">
        <is>
          <t>P0</t>
        </is>
      </c>
      <c r="G134" s="419" t="n"/>
      <c r="H134" s="419" t="inlineStr">
        <is>
          <t>Not Started</t>
        </is>
      </c>
      <c r="I134" s="420" t="n">
        <v>0</v>
      </c>
      <c r="J134" s="419" t="n"/>
      <c r="K134" s="419" t="n"/>
      <c r="L134" s="419" t="n"/>
      <c r="M134" s="419" t="n"/>
    </row>
    <row r="135" ht="34" customHeight="1" s="401">
      <c r="A135" s="419" t="inlineStr">
        <is>
          <t>R-040</t>
        </is>
      </c>
      <c r="B135" s="419" t="inlineStr">
        <is>
          <t>MVP</t>
        </is>
      </c>
      <c r="C135" s="419" t="inlineStr">
        <is>
          <t>Testing</t>
        </is>
      </c>
      <c r="D135" s="419" t="inlineStr">
        <is>
          <t>Migration safety checks</t>
        </is>
      </c>
      <c r="E135" s="419" t="inlineStr">
        <is>
          <t>Detect destructive schema changes and require explicit migration plan.</t>
        </is>
      </c>
      <c r="F135" s="419" t="inlineStr">
        <is>
          <t>P0</t>
        </is>
      </c>
      <c r="G135" s="419" t="n"/>
      <c r="H135" s="419" t="inlineStr">
        <is>
          <t>Not Started</t>
        </is>
      </c>
      <c r="I135" s="420" t="n">
        <v>0</v>
      </c>
      <c r="J135" s="419" t="n"/>
      <c r="K135" s="419" t="n"/>
      <c r="L135" s="419" t="n"/>
      <c r="M135" s="419" t="n"/>
    </row>
    <row r="136" ht="34" customHeight="1" s="401">
      <c r="A136" s="419" t="inlineStr">
        <is>
          <t>R-041</t>
        </is>
      </c>
      <c r="B136" s="419" t="inlineStr">
        <is>
          <t>MVP</t>
        </is>
      </c>
      <c r="C136" s="419" t="inlineStr">
        <is>
          <t>Security</t>
        </is>
      </c>
      <c r="D136" s="419" t="inlineStr">
        <is>
          <t>SAST + dependency scanning</t>
        </is>
      </c>
      <c r="E136" s="419" t="inlineStr">
        <is>
          <t>Scan generated and modified code before deploy.</t>
        </is>
      </c>
      <c r="F136" s="419" t="inlineStr">
        <is>
          <t>P0</t>
        </is>
      </c>
      <c r="G136" s="419" t="n"/>
      <c r="H136" s="419" t="inlineStr">
        <is>
          <t>Not Started</t>
        </is>
      </c>
      <c r="I136" s="420" t="n">
        <v>0</v>
      </c>
      <c r="J136" s="419" t="n"/>
      <c r="K136" s="419" t="n"/>
      <c r="L136" s="419" t="n"/>
      <c r="M136" s="419" t="n"/>
    </row>
    <row r="137" ht="34" customHeight="1" s="401">
      <c r="A137" s="419" t="inlineStr">
        <is>
          <t>R-042</t>
        </is>
      </c>
      <c r="B137" s="419" t="inlineStr">
        <is>
          <t>MVP</t>
        </is>
      </c>
      <c r="C137" s="419" t="inlineStr">
        <is>
          <t>Security</t>
        </is>
      </c>
      <c r="D137" s="419" t="inlineStr">
        <is>
          <t>Prompt/tool policy</t>
        </is>
      </c>
      <c r="E137" s="419" t="inlineStr">
        <is>
          <t>Repo content cannot silently override system policy or exfiltrate secrets.</t>
        </is>
      </c>
      <c r="F137" s="419" t="inlineStr">
        <is>
          <t>P0</t>
        </is>
      </c>
      <c r="G137" s="419" t="n"/>
      <c r="H137" s="419" t="inlineStr">
        <is>
          <t>Not Started</t>
        </is>
      </c>
      <c r="I137" s="420" t="n">
        <v>0</v>
      </c>
      <c r="J137" s="419" t="n"/>
      <c r="K137" s="419" t="n"/>
      <c r="L137" s="419" t="n"/>
      <c r="M137" s="419" t="n"/>
    </row>
    <row r="138" ht="34" customHeight="1" s="401">
      <c r="A138" s="419" t="inlineStr">
        <is>
          <t>R-043</t>
        </is>
      </c>
      <c r="B138" s="419" t="inlineStr">
        <is>
          <t>MVP</t>
        </is>
      </c>
      <c r="C138" s="419" t="inlineStr">
        <is>
          <t>Observability</t>
        </is>
      </c>
      <c r="D138" s="419" t="inlineStr">
        <is>
          <t>Task trace</t>
        </is>
      </c>
      <c r="E138" s="419" t="inlineStr">
        <is>
          <t>Trace prompt -&gt; plan -&gt; tools -&gt; patches -&gt; tests -&gt; cost -&gt; result.</t>
        </is>
      </c>
      <c r="F138" s="419" t="inlineStr">
        <is>
          <t>P0</t>
        </is>
      </c>
      <c r="G138" s="419" t="n"/>
      <c r="H138" s="419" t="inlineStr">
        <is>
          <t>Not Started</t>
        </is>
      </c>
      <c r="I138" s="420" t="n">
        <v>0</v>
      </c>
      <c r="J138" s="419" t="n"/>
      <c r="K138" s="419" t="n"/>
      <c r="L138" s="419" t="n"/>
      <c r="M138" s="419" t="n"/>
    </row>
    <row r="139" ht="34" customHeight="1" s="401">
      <c r="A139" s="419" t="inlineStr">
        <is>
          <t>R-044</t>
        </is>
      </c>
      <c r="B139" s="419" t="inlineStr">
        <is>
          <t>MVP</t>
        </is>
      </c>
      <c r="C139" s="419" t="inlineStr">
        <is>
          <t>Observability</t>
        </is>
      </c>
      <c r="D139" s="419" t="inlineStr">
        <is>
          <t>Platform logs/metrics</t>
        </is>
      </c>
      <c r="E139" s="419" t="inlineStr">
        <is>
          <t>OpenTelemetry plus central logs and core service metrics.</t>
        </is>
      </c>
      <c r="F139" s="419" t="inlineStr">
        <is>
          <t>P0</t>
        </is>
      </c>
      <c r="G139" s="419" t="n"/>
      <c r="H139" s="419" t="inlineStr">
        <is>
          <t>Not Started</t>
        </is>
      </c>
      <c r="I139" s="420" t="n">
        <v>0</v>
      </c>
      <c r="J139" s="419" t="n"/>
      <c r="K139" s="419" t="n"/>
      <c r="L139" s="419" t="n"/>
      <c r="M139" s="419" t="n"/>
    </row>
    <row r="140" ht="34" customHeight="1" s="401">
      <c r="A140" s="419" t="inlineStr">
        <is>
          <t>R-045</t>
        </is>
      </c>
      <c r="B140" s="419" t="inlineStr">
        <is>
          <t>MVP</t>
        </is>
      </c>
      <c r="C140" s="419" t="inlineStr">
        <is>
          <t>Billing</t>
        </is>
      </c>
      <c r="D140" s="419" t="inlineStr">
        <is>
          <t>Usage ledger</t>
        </is>
      </c>
      <c r="E140" s="419" t="inlineStr">
        <is>
          <t>Track model tokens, build minutes, storage and Mac minutes per task/project.</t>
        </is>
      </c>
      <c r="F140" s="419" t="inlineStr">
        <is>
          <t>P0</t>
        </is>
      </c>
      <c r="G140" s="419" t="n"/>
      <c r="H140" s="419" t="inlineStr">
        <is>
          <t>Not Started</t>
        </is>
      </c>
      <c r="I140" s="420" t="n">
        <v>0</v>
      </c>
      <c r="J140" s="419" t="n"/>
      <c r="K140" s="419" t="n"/>
      <c r="L140" s="419" t="n"/>
      <c r="M140" s="419" t="n"/>
    </row>
    <row r="141" ht="34" customHeight="1" s="401">
      <c r="A141" s="419" t="inlineStr">
        <is>
          <t>R-046</t>
        </is>
      </c>
      <c r="B141" s="419" t="inlineStr">
        <is>
          <t>MVP</t>
        </is>
      </c>
      <c r="C141" s="419" t="inlineStr">
        <is>
          <t>Billing</t>
        </is>
      </c>
      <c r="D141" s="419" t="inlineStr">
        <is>
          <t>Pre-task estimate</t>
        </is>
      </c>
      <c r="E141" s="419" t="inlineStr">
        <is>
          <t>Show estimated credit range before expensive tasks/native sessions.</t>
        </is>
      </c>
      <c r="F141" s="419" t="inlineStr">
        <is>
          <t>P0</t>
        </is>
      </c>
      <c r="G141" s="419" t="n"/>
      <c r="H141" s="419" t="inlineStr">
        <is>
          <t>Not Started</t>
        </is>
      </c>
      <c r="I141" s="420" t="n">
        <v>0</v>
      </c>
      <c r="J141" s="419" t="n"/>
      <c r="K141" s="419" t="n"/>
      <c r="L141" s="419" t="n"/>
      <c r="M141" s="419" t="n"/>
    </row>
    <row r="142" ht="34" customHeight="1" s="401">
      <c r="A142" s="419" t="inlineStr">
        <is>
          <t>R-047</t>
        </is>
      </c>
      <c r="B142" s="419" t="inlineStr">
        <is>
          <t>MVP</t>
        </is>
      </c>
      <c r="C142" s="419" t="inlineStr">
        <is>
          <t>Billing</t>
        </is>
      </c>
      <c r="D142" s="419" t="inlineStr">
        <is>
          <t>No charge for internal failed retries</t>
        </is>
      </c>
      <c r="E142" s="419" t="inlineStr">
        <is>
          <t>Customer pays intended task budget, not repeated agent mistakes within policy.</t>
        </is>
      </c>
      <c r="F142" s="419" t="inlineStr">
        <is>
          <t>P0</t>
        </is>
      </c>
      <c r="G142" s="419" t="n"/>
      <c r="H142" s="419" t="inlineStr">
        <is>
          <t>Not Started</t>
        </is>
      </c>
      <c r="I142" s="420" t="n">
        <v>0</v>
      </c>
      <c r="J142" s="419" t="n"/>
      <c r="K142" s="419" t="n"/>
      <c r="L142" s="419" t="n"/>
      <c r="M142" s="419" t="n"/>
    </row>
    <row r="143" ht="34" customHeight="1" s="401">
      <c r="A143" s="419" t="inlineStr">
        <is>
          <t>R-048</t>
        </is>
      </c>
      <c r="B143" s="419" t="inlineStr">
        <is>
          <t>MVP</t>
        </is>
      </c>
      <c r="C143" s="419" t="inlineStr">
        <is>
          <t>Deployment</t>
        </is>
      </c>
      <c r="D143" s="419" t="inlineStr">
        <is>
          <t>Web/backend deployment</t>
        </is>
      </c>
      <c r="E143" s="419" t="inlineStr">
        <is>
          <t>Immutable versioned deployments with health checks and rollback.</t>
        </is>
      </c>
      <c r="F143" s="419" t="inlineStr">
        <is>
          <t>P0</t>
        </is>
      </c>
      <c r="G143" s="419" t="n"/>
      <c r="H143" s="419" t="inlineStr">
        <is>
          <t>Not Started</t>
        </is>
      </c>
      <c r="I143" s="420" t="n">
        <v>0</v>
      </c>
      <c r="J143" s="419" t="n"/>
      <c r="K143" s="419" t="n"/>
      <c r="L143" s="419" t="n"/>
      <c r="M143" s="419" t="n"/>
    </row>
    <row r="144" ht="34" customHeight="1" s="401">
      <c r="A144" s="419" t="inlineStr">
        <is>
          <t>R-049</t>
        </is>
      </c>
      <c r="B144" s="419" t="inlineStr">
        <is>
          <t>MVP</t>
        </is>
      </c>
      <c r="C144" s="419" t="inlineStr">
        <is>
          <t>Deployment</t>
        </is>
      </c>
      <c r="D144" s="419" t="inlineStr">
        <is>
          <t>Android APK/AAB build</t>
        </is>
      </c>
      <c r="E144" s="419" t="inlineStr">
        <is>
          <t>Generate signed artifacts using customer-owned signing configuration.</t>
        </is>
      </c>
      <c r="F144" s="419" t="inlineStr">
        <is>
          <t>P0</t>
        </is>
      </c>
      <c r="G144" s="419" t="n"/>
      <c r="H144" s="419" t="inlineStr">
        <is>
          <t>Not Started</t>
        </is>
      </c>
      <c r="I144" s="420" t="n">
        <v>0</v>
      </c>
      <c r="J144" s="419" t="n"/>
      <c r="K144" s="419" t="n"/>
      <c r="L144" s="419" t="n"/>
      <c r="M144" s="419" t="n"/>
    </row>
    <row r="145" ht="34" customHeight="1" s="401">
      <c r="A145" s="419" t="inlineStr">
        <is>
          <t>R-050</t>
        </is>
      </c>
      <c r="B145" s="419" t="inlineStr">
        <is>
          <t>MVP</t>
        </is>
      </c>
      <c r="C145" s="419" t="inlineStr">
        <is>
          <t>Deployment</t>
        </is>
      </c>
      <c r="D145" s="419" t="inlineStr">
        <is>
          <t>iOS IPA build pipeline</t>
        </is>
      </c>
      <c r="E145" s="419" t="inlineStr">
        <is>
          <t>Secure Mac signing worker; certificate/profile stored in vault.</t>
        </is>
      </c>
      <c r="F145" s="419" t="inlineStr">
        <is>
          <t>P0</t>
        </is>
      </c>
      <c r="G145" s="419" t="n"/>
      <c r="H145" s="419" t="inlineStr">
        <is>
          <t>Not Started</t>
        </is>
      </c>
      <c r="I145" s="420" t="n">
        <v>0</v>
      </c>
      <c r="J145" s="419" t="n"/>
      <c r="K145" s="419" t="n"/>
      <c r="L145" s="419" t="n"/>
      <c r="M145" s="419" t="n"/>
    </row>
    <row r="146" ht="34" customHeight="1" s="401">
      <c r="A146" s="419" t="inlineStr">
        <is>
          <t>R-051</t>
        </is>
      </c>
      <c r="B146" s="419" t="inlineStr">
        <is>
          <t>MVP</t>
        </is>
      </c>
      <c r="C146" s="419" t="inlineStr">
        <is>
          <t>Analytics</t>
        </is>
      </c>
      <c r="D146" s="419" t="inlineStr">
        <is>
          <t>Core product KPIs</t>
        </is>
      </c>
      <c r="E146" s="419" t="inlineStr">
        <is>
          <t>Track build success, regression, deployment, cost/task and user success.</t>
        </is>
      </c>
      <c r="F146" s="419" t="inlineStr">
        <is>
          <t>P0</t>
        </is>
      </c>
      <c r="G146" s="419" t="n"/>
      <c r="H146" s="419" t="inlineStr">
        <is>
          <t>Not Started</t>
        </is>
      </c>
      <c r="I146" s="420" t="n">
        <v>0</v>
      </c>
      <c r="J146" s="419" t="n"/>
      <c r="K146" s="419" t="n"/>
      <c r="L146" s="419" t="n"/>
      <c r="M146" s="419" t="n"/>
    </row>
    <row r="147" ht="34" customHeight="1" s="401">
      <c r="A147" s="419" t="inlineStr">
        <is>
          <t>R-052</t>
        </is>
      </c>
      <c r="B147" s="419" t="inlineStr">
        <is>
          <t>MID</t>
        </is>
      </c>
      <c r="C147" s="419" t="inlineStr">
        <is>
          <t>Preview</t>
        </is>
      </c>
      <c r="D147" s="419" t="inlineStr">
        <is>
          <t>Interactive Android emulator streaming</t>
        </is>
      </c>
      <c r="E147" s="419" t="inlineStr">
        <is>
          <t>Real Android runtime streamed into browser.</t>
        </is>
      </c>
      <c r="F147" s="419" t="inlineStr">
        <is>
          <t>P1</t>
        </is>
      </c>
      <c r="G147" s="419" t="n"/>
      <c r="H147" s="419" t="inlineStr">
        <is>
          <t>Not Started</t>
        </is>
      </c>
      <c r="I147" s="420" t="n">
        <v>0</v>
      </c>
      <c r="J147" s="419" t="n"/>
      <c r="K147" s="419" t="n"/>
      <c r="L147" s="419" t="n"/>
      <c r="M147" s="419" t="n"/>
    </row>
    <row r="148" ht="34" customHeight="1" s="401">
      <c r="A148" s="419" t="inlineStr">
        <is>
          <t>R-053</t>
        </is>
      </c>
      <c r="B148" s="419" t="inlineStr">
        <is>
          <t>MID</t>
        </is>
      </c>
      <c r="C148" s="419" t="inlineStr">
        <is>
          <t>Preview</t>
        </is>
      </c>
      <c r="D148" s="419" t="inlineStr">
        <is>
          <t>Interactive iOS simulator streaming</t>
        </is>
      </c>
      <c r="E148" s="419" t="inlineStr">
        <is>
          <t>Remote Mac+iOS Simulator streamed through browser; metered credits.</t>
        </is>
      </c>
      <c r="F148" s="419" t="inlineStr">
        <is>
          <t>P1</t>
        </is>
      </c>
      <c r="G148" s="419" t="n"/>
      <c r="H148" s="419" t="inlineStr">
        <is>
          <t>Not Started</t>
        </is>
      </c>
      <c r="I148" s="420" t="n">
        <v>0</v>
      </c>
      <c r="J148" s="419" t="n"/>
      <c r="K148" s="419" t="n"/>
      <c r="L148" s="419" t="n"/>
      <c r="M148" s="419" t="n"/>
    </row>
    <row r="149" ht="34" customHeight="1" s="401">
      <c r="A149" s="419" t="inlineStr">
        <is>
          <t>R-054</t>
        </is>
      </c>
      <c r="B149" s="419" t="inlineStr">
        <is>
          <t>MID</t>
        </is>
      </c>
      <c r="C149" s="419" t="inlineStr">
        <is>
          <t>iOS</t>
        </is>
      </c>
      <c r="D149" s="419" t="inlineStr">
        <is>
          <t>Local Mac Agent</t>
        </is>
      </c>
      <c r="E149" s="419" t="inlineStr">
        <is>
          <t>Opt-in desktop helper uses customer Mac/Xcode instead of cloud Mac.</t>
        </is>
      </c>
      <c r="F149" s="419" t="inlineStr">
        <is>
          <t>P1</t>
        </is>
      </c>
      <c r="G149" s="419" t="n"/>
      <c r="H149" s="419" t="inlineStr">
        <is>
          <t>Not Started</t>
        </is>
      </c>
      <c r="I149" s="420" t="n">
        <v>0</v>
      </c>
      <c r="J149" s="419" t="n"/>
      <c r="K149" s="419" t="n"/>
      <c r="L149" s="419" t="n"/>
      <c r="M149" s="419" t="n"/>
    </row>
    <row r="150" ht="34" customHeight="1" s="401">
      <c r="A150" s="419" t="inlineStr">
        <is>
          <t>R-055</t>
        </is>
      </c>
      <c r="B150" s="419" t="inlineStr">
        <is>
          <t>MID</t>
        </is>
      </c>
      <c r="C150" s="419" t="inlineStr">
        <is>
          <t>Integrations</t>
        </is>
      </c>
      <c r="D150" s="419" t="inlineStr">
        <is>
          <t>Verified integration catalog</t>
        </is>
      </c>
      <c r="E150" s="419" t="inlineStr">
        <is>
          <t>Tested templates for payments, maps, auth, messaging, analytics and storage.</t>
        </is>
      </c>
      <c r="F150" s="419" t="inlineStr">
        <is>
          <t>P1</t>
        </is>
      </c>
      <c r="G150" s="419" t="n"/>
      <c r="H150" s="419" t="inlineStr">
        <is>
          <t>Not Started</t>
        </is>
      </c>
      <c r="I150" s="420" t="n">
        <v>0</v>
      </c>
      <c r="J150" s="419" t="n"/>
      <c r="K150" s="419" t="n"/>
      <c r="L150" s="419" t="n"/>
      <c r="M150" s="419" t="n"/>
    </row>
    <row r="151" ht="34" customHeight="1" s="401">
      <c r="A151" s="419" t="inlineStr">
        <is>
          <t>R-056</t>
        </is>
      </c>
      <c r="B151" s="419" t="inlineStr">
        <is>
          <t>MID</t>
        </is>
      </c>
      <c r="C151" s="419" t="inlineStr">
        <is>
          <t>Integrations</t>
        </is>
      </c>
      <c r="D151" s="419" t="inlineStr">
        <is>
          <t>Integration health tests</t>
        </is>
      </c>
      <c r="E151" s="419" t="inlineStr">
        <is>
          <t>Credentials/scopes/webhooks verified automatically.</t>
        </is>
      </c>
      <c r="F151" s="419" t="inlineStr">
        <is>
          <t>P1</t>
        </is>
      </c>
      <c r="G151" s="419" t="n"/>
      <c r="H151" s="419" t="inlineStr">
        <is>
          <t>Not Started</t>
        </is>
      </c>
      <c r="I151" s="420" t="n">
        <v>0</v>
      </c>
      <c r="J151" s="419" t="n"/>
      <c r="K151" s="419" t="n"/>
      <c r="L151" s="419" t="n"/>
      <c r="M151" s="419" t="n"/>
    </row>
    <row r="152" ht="34" customHeight="1" s="401">
      <c r="A152" s="419" t="inlineStr">
        <is>
          <t>R-057</t>
        </is>
      </c>
      <c r="B152" s="419" t="inlineStr">
        <is>
          <t>MID</t>
        </is>
      </c>
      <c r="C152" s="419" t="inlineStr">
        <is>
          <t>Context</t>
        </is>
      </c>
      <c r="D152" s="419" t="inlineStr">
        <is>
          <t>Long-project memory compaction</t>
        </is>
      </c>
      <c r="E152" s="419" t="inlineStr">
        <is>
          <t>Summaries + graph + ADRs replace dependence on raw chat history.</t>
        </is>
      </c>
      <c r="F152" s="419" t="inlineStr">
        <is>
          <t>P1</t>
        </is>
      </c>
      <c r="G152" s="419" t="n"/>
      <c r="H152" s="419" t="inlineStr">
        <is>
          <t>Not Started</t>
        </is>
      </c>
      <c r="I152" s="420" t="n">
        <v>0</v>
      </c>
      <c r="J152" s="419" t="n"/>
      <c r="K152" s="419" t="n"/>
      <c r="L152" s="419" t="n"/>
      <c r="M152" s="419" t="n"/>
    </row>
    <row r="153" ht="34" customHeight="1" s="401">
      <c r="A153" s="419" t="inlineStr">
        <is>
          <t>R-058</t>
        </is>
      </c>
      <c r="B153" s="419" t="inlineStr">
        <is>
          <t>MID</t>
        </is>
      </c>
      <c r="C153" s="419" t="inlineStr">
        <is>
          <t>Code Editing</t>
        </is>
      </c>
      <c r="D153" s="419" t="inlineStr">
        <is>
          <t>Language-specific structured editors</t>
        </is>
      </c>
      <c r="E153" s="419" t="inlineStr">
        <is>
          <t>SwiftSyntax, Kotlin PSI/tree-sitter, TS compiler APIs, Python LibCST, Go AST.</t>
        </is>
      </c>
      <c r="F153" s="419" t="inlineStr">
        <is>
          <t>P1</t>
        </is>
      </c>
      <c r="G153" s="419" t="n"/>
      <c r="H153" s="419" t="inlineStr">
        <is>
          <t>Not Started</t>
        </is>
      </c>
      <c r="I153" s="420" t="n">
        <v>0</v>
      </c>
      <c r="J153" s="419" t="n"/>
      <c r="K153" s="419" t="n"/>
      <c r="L153" s="419" t="n"/>
      <c r="M153" s="419" t="n"/>
    </row>
    <row r="154" ht="34" customHeight="1" s="401">
      <c r="A154" s="419" t="inlineStr">
        <is>
          <t>R-059</t>
        </is>
      </c>
      <c r="B154" s="419" t="inlineStr">
        <is>
          <t>MID</t>
        </is>
      </c>
      <c r="C154" s="419" t="inlineStr">
        <is>
          <t>Quality</t>
        </is>
      </c>
      <c r="D154" s="419" t="inlineStr">
        <is>
          <t>Visual regression</t>
        </is>
      </c>
      <c r="E154" s="419" t="inlineStr">
        <is>
          <t>Screenshot comparison with approved baselines.</t>
        </is>
      </c>
      <c r="F154" s="419" t="inlineStr">
        <is>
          <t>P1</t>
        </is>
      </c>
      <c r="G154" s="419" t="n"/>
      <c r="H154" s="419" t="inlineStr">
        <is>
          <t>Not Started</t>
        </is>
      </c>
      <c r="I154" s="420" t="n">
        <v>0</v>
      </c>
      <c r="J154" s="419" t="n"/>
      <c r="K154" s="419" t="n"/>
      <c r="L154" s="419" t="n"/>
      <c r="M154" s="419" t="n"/>
    </row>
    <row r="155" ht="34" customHeight="1" s="401">
      <c r="A155" s="419" t="inlineStr">
        <is>
          <t>R-060</t>
        </is>
      </c>
      <c r="B155" s="419" t="inlineStr">
        <is>
          <t>MID</t>
        </is>
      </c>
      <c r="C155" s="419" t="inlineStr">
        <is>
          <t>Quality</t>
        </is>
      </c>
      <c r="D155" s="419" t="inlineStr">
        <is>
          <t>Performance budgets</t>
        </is>
      </c>
      <c r="E155" s="419" t="inlineStr">
        <is>
          <t>Build size, API latency, query, memory and frontend performance gates.</t>
        </is>
      </c>
      <c r="F155" s="419" t="inlineStr">
        <is>
          <t>P1</t>
        </is>
      </c>
      <c r="G155" s="419" t="n"/>
      <c r="H155" s="419" t="inlineStr">
        <is>
          <t>Not Started</t>
        </is>
      </c>
      <c r="I155" s="420" t="n">
        <v>0</v>
      </c>
      <c r="J155" s="419" t="n"/>
      <c r="K155" s="419" t="n"/>
      <c r="L155" s="419" t="n"/>
      <c r="M155" s="419" t="n"/>
    </row>
    <row r="156" ht="34" customHeight="1" s="401">
      <c r="A156" s="419" t="inlineStr">
        <is>
          <t>R-061</t>
        </is>
      </c>
      <c r="B156" s="419" t="inlineStr">
        <is>
          <t>MID</t>
        </is>
      </c>
      <c r="C156" s="419" t="inlineStr">
        <is>
          <t>Deployment</t>
        </is>
      </c>
      <c r="D156" s="419" t="inlineStr">
        <is>
          <t>Environment parity</t>
        </is>
      </c>
      <c r="E156" s="419" t="inlineStr">
        <is>
          <t>Preview/staging/production share same container and config contract.</t>
        </is>
      </c>
      <c r="F156" s="419" t="inlineStr">
        <is>
          <t>P1</t>
        </is>
      </c>
      <c r="G156" s="419" t="n"/>
      <c r="H156" s="419" t="inlineStr">
        <is>
          <t>Not Started</t>
        </is>
      </c>
      <c r="I156" s="420" t="n">
        <v>0</v>
      </c>
      <c r="J156" s="419" t="n"/>
      <c r="K156" s="419" t="n"/>
      <c r="L156" s="419" t="n"/>
      <c r="M156" s="419" t="n"/>
    </row>
    <row r="157" ht="34" customHeight="1" s="401">
      <c r="A157" s="419" t="inlineStr">
        <is>
          <t>R-062</t>
        </is>
      </c>
      <c r="B157" s="419" t="inlineStr">
        <is>
          <t>MID</t>
        </is>
      </c>
      <c r="C157" s="419" t="inlineStr">
        <is>
          <t>Deployment</t>
        </is>
      </c>
      <c r="D157" s="419" t="inlineStr">
        <is>
          <t>App Store / TestFlight automation</t>
        </is>
      </c>
      <c r="E157" s="419" t="inlineStr">
        <is>
          <t>Prepare/upload builds with explicit user approval.</t>
        </is>
      </c>
      <c r="F157" s="419" t="inlineStr">
        <is>
          <t>P1</t>
        </is>
      </c>
      <c r="G157" s="419" t="n"/>
      <c r="H157" s="419" t="inlineStr">
        <is>
          <t>Not Started</t>
        </is>
      </c>
      <c r="I157" s="420" t="n">
        <v>0</v>
      </c>
      <c r="J157" s="419" t="n"/>
      <c r="K157" s="419" t="n"/>
      <c r="L157" s="419" t="n"/>
      <c r="M157" s="419" t="n"/>
    </row>
    <row r="158" ht="34" customHeight="1" s="401">
      <c r="A158" s="419" t="inlineStr">
        <is>
          <t>R-063</t>
        </is>
      </c>
      <c r="B158" s="419" t="inlineStr">
        <is>
          <t>MID</t>
        </is>
      </c>
      <c r="C158" s="419" t="inlineStr">
        <is>
          <t>Deployment</t>
        </is>
      </c>
      <c r="D158" s="419" t="inlineStr">
        <is>
          <t>Play Store automation</t>
        </is>
      </c>
      <c r="E158" s="419" t="inlineStr">
        <is>
          <t>Prepare/upload AAB with explicit user approval.</t>
        </is>
      </c>
      <c r="F158" s="419" t="inlineStr">
        <is>
          <t>P1</t>
        </is>
      </c>
      <c r="G158" s="419" t="n"/>
      <c r="H158" s="419" t="inlineStr">
        <is>
          <t>Not Started</t>
        </is>
      </c>
      <c r="I158" s="420" t="n">
        <v>0</v>
      </c>
      <c r="J158" s="419" t="n"/>
      <c r="K158" s="419" t="n"/>
      <c r="L158" s="419" t="n"/>
      <c r="M158" s="419" t="n"/>
    </row>
    <row r="159" ht="34" customHeight="1" s="401">
      <c r="A159" s="419" t="inlineStr">
        <is>
          <t>R-064</t>
        </is>
      </c>
      <c r="B159" s="419" t="inlineStr">
        <is>
          <t>MID</t>
        </is>
      </c>
      <c r="C159" s="419" t="inlineStr">
        <is>
          <t>Collaboration</t>
        </is>
      </c>
      <c r="D159" s="419" t="inlineStr">
        <is>
          <t>RBAC + approvals</t>
        </is>
      </c>
      <c r="E159" s="419" t="inlineStr">
        <is>
          <t>Owners can require code/security/deploy approvals.</t>
        </is>
      </c>
      <c r="F159" s="419" t="inlineStr">
        <is>
          <t>P1</t>
        </is>
      </c>
      <c r="G159" s="419" t="n"/>
      <c r="H159" s="419" t="inlineStr">
        <is>
          <t>Not Started</t>
        </is>
      </c>
      <c r="I159" s="420" t="n">
        <v>0</v>
      </c>
      <c r="J159" s="419" t="n"/>
      <c r="K159" s="419" t="n"/>
      <c r="L159" s="419" t="n"/>
      <c r="M159" s="419" t="n"/>
    </row>
    <row r="160" ht="34" customHeight="1" s="401">
      <c r="A160" s="419" t="inlineStr">
        <is>
          <t>R-065</t>
        </is>
      </c>
      <c r="B160" s="419" t="inlineStr">
        <is>
          <t>MID</t>
        </is>
      </c>
      <c r="C160" s="419" t="inlineStr">
        <is>
          <t>Collaboration</t>
        </is>
      </c>
      <c r="D160" s="419" t="inlineStr">
        <is>
          <t>Comments/review workflow</t>
        </is>
      </c>
      <c r="E160" s="419" t="inlineStr">
        <is>
          <t>Human review on AI plan and diff.</t>
        </is>
      </c>
      <c r="F160" s="419" t="inlineStr">
        <is>
          <t>P1</t>
        </is>
      </c>
      <c r="G160" s="419" t="n"/>
      <c r="H160" s="419" t="inlineStr">
        <is>
          <t>Not Started</t>
        </is>
      </c>
      <c r="I160" s="420" t="n">
        <v>0</v>
      </c>
      <c r="J160" s="419" t="n"/>
      <c r="K160" s="419" t="n"/>
      <c r="L160" s="419" t="n"/>
      <c r="M160" s="419" t="n"/>
    </row>
    <row r="161" ht="34" customHeight="1" s="401">
      <c r="A161" s="419" t="inlineStr">
        <is>
          <t>R-066</t>
        </is>
      </c>
      <c r="B161" s="419" t="inlineStr">
        <is>
          <t>MID</t>
        </is>
      </c>
      <c r="C161" s="419" t="inlineStr">
        <is>
          <t>Billing</t>
        </is>
      </c>
      <c r="D161" s="419" t="inlineStr">
        <is>
          <t>BYOK</t>
        </is>
      </c>
      <c r="E161" s="419" t="inlineStr">
        <is>
          <t>Customer can use approved provider API keys with clear cost ownership.</t>
        </is>
      </c>
      <c r="F161" s="419" t="inlineStr">
        <is>
          <t>P1</t>
        </is>
      </c>
      <c r="G161" s="419" t="n"/>
      <c r="H161" s="419" t="inlineStr">
        <is>
          <t>Not Started</t>
        </is>
      </c>
      <c r="I161" s="420" t="n">
        <v>0</v>
      </c>
      <c r="J161" s="419" t="n"/>
      <c r="K161" s="419" t="n"/>
      <c r="L161" s="419" t="n"/>
      <c r="M161" s="419" t="n"/>
    </row>
    <row r="162" ht="34" customHeight="1" s="401">
      <c r="A162" s="419" t="inlineStr">
        <is>
          <t>R-067</t>
        </is>
      </c>
      <c r="B162" s="419" t="inlineStr">
        <is>
          <t>MID</t>
        </is>
      </c>
      <c r="C162" s="419" t="inlineStr">
        <is>
          <t>Recovery</t>
        </is>
      </c>
      <c r="D162" s="419" t="inlineStr">
        <is>
          <t>Auto-recovery agent</t>
        </is>
      </c>
      <c r="E162" s="419" t="inlineStr">
        <is>
          <t>Diagnose failed build/test and retry within strict bounded policy.</t>
        </is>
      </c>
      <c r="F162" s="419" t="inlineStr">
        <is>
          <t>P1</t>
        </is>
      </c>
      <c r="G162" s="419" t="n"/>
      <c r="H162" s="419" t="inlineStr">
        <is>
          <t>Not Started</t>
        </is>
      </c>
      <c r="I162" s="420" t="n">
        <v>0</v>
      </c>
      <c r="J162" s="419" t="n"/>
      <c r="K162" s="419" t="n"/>
      <c r="L162" s="419" t="n"/>
      <c r="M162" s="419" t="n"/>
    </row>
    <row r="163" ht="34" customHeight="1" s="401">
      <c r="A163" s="419" t="inlineStr">
        <is>
          <t>R-068</t>
        </is>
      </c>
      <c r="B163" s="419" t="inlineStr">
        <is>
          <t>MID</t>
        </is>
      </c>
      <c r="C163" s="419" t="inlineStr">
        <is>
          <t>Analytics</t>
        </is>
      </c>
      <c r="D163" s="419" t="inlineStr">
        <is>
          <t>Project health score</t>
        </is>
      </c>
      <c r="E163" s="419" t="inlineStr">
        <is>
          <t>Derived from measurable checks, with drill-down evidence.</t>
        </is>
      </c>
      <c r="F163" s="419" t="inlineStr">
        <is>
          <t>P1</t>
        </is>
      </c>
      <c r="G163" s="419" t="n"/>
      <c r="H163" s="419" t="inlineStr">
        <is>
          <t>Not Started</t>
        </is>
      </c>
      <c r="I163" s="420" t="n">
        <v>0</v>
      </c>
      <c r="J163" s="419" t="n"/>
      <c r="K163" s="419" t="n"/>
      <c r="L163" s="419" t="n"/>
      <c r="M163" s="419" t="n"/>
    </row>
    <row r="164" ht="34" customHeight="1" s="401">
      <c r="A164" s="419" t="inlineStr">
        <is>
          <t>R-069</t>
        </is>
      </c>
      <c r="B164" s="419" t="inlineStr">
        <is>
          <t>MID</t>
        </is>
      </c>
      <c r="C164" s="419" t="inlineStr">
        <is>
          <t>Security</t>
        </is>
      </c>
      <c r="D164" s="419" t="inlineStr">
        <is>
          <t>DAST</t>
        </is>
      </c>
      <c r="E164" s="419" t="inlineStr">
        <is>
          <t>Run dynamic scans against staging/preview.</t>
        </is>
      </c>
      <c r="F164" s="419" t="inlineStr">
        <is>
          <t>P1</t>
        </is>
      </c>
      <c r="G164" s="419" t="n"/>
      <c r="H164" s="419" t="inlineStr">
        <is>
          <t>Not Started</t>
        </is>
      </c>
      <c r="I164" s="420" t="n">
        <v>0</v>
      </c>
      <c r="J164" s="419" t="n"/>
      <c r="K164" s="419" t="n"/>
      <c r="L164" s="419" t="n"/>
      <c r="M164" s="419" t="n"/>
    </row>
    <row r="165" ht="34" customHeight="1" s="401">
      <c r="A165" s="419" t="inlineStr">
        <is>
          <t>R-070</t>
        </is>
      </c>
      <c r="B165" s="419" t="inlineStr">
        <is>
          <t>MID</t>
        </is>
      </c>
      <c r="C165" s="419" t="inlineStr">
        <is>
          <t>Security</t>
        </is>
      </c>
      <c r="D165" s="419" t="inlineStr">
        <is>
          <t>SBOM + license policy</t>
        </is>
      </c>
      <c r="E165" s="419" t="inlineStr">
        <is>
          <t>Software bill of materials and restricted-license checks.</t>
        </is>
      </c>
      <c r="F165" s="419" t="inlineStr">
        <is>
          <t>P1</t>
        </is>
      </c>
      <c r="G165" s="419" t="n"/>
      <c r="H165" s="419" t="inlineStr">
        <is>
          <t>Not Started</t>
        </is>
      </c>
      <c r="I165" s="420" t="n">
        <v>0</v>
      </c>
      <c r="J165" s="419" t="n"/>
      <c r="K165" s="419" t="n"/>
      <c r="L165" s="419" t="n"/>
      <c r="M165" s="419" t="n"/>
    </row>
    <row r="166" ht="34" customHeight="1" s="401">
      <c r="A166" s="419" t="inlineStr">
        <is>
          <t>R-071</t>
        </is>
      </c>
      <c r="B166" s="419" t="inlineStr">
        <is>
          <t>MID</t>
        </is>
      </c>
      <c r="C166" s="419" t="inlineStr">
        <is>
          <t>Security</t>
        </is>
      </c>
      <c r="D166" s="419" t="inlineStr">
        <is>
          <t>Egress policy</t>
        </is>
      </c>
      <c r="E166" s="419" t="inlineStr">
        <is>
          <t>Sandbox network allowlist/denylist and per-integration scopes.</t>
        </is>
      </c>
      <c r="F166" s="419" t="inlineStr">
        <is>
          <t>P1</t>
        </is>
      </c>
      <c r="G166" s="419" t="n"/>
      <c r="H166" s="419" t="inlineStr">
        <is>
          <t>Not Started</t>
        </is>
      </c>
      <c r="I166" s="420" t="n">
        <v>0</v>
      </c>
      <c r="J166" s="419" t="n"/>
      <c r="K166" s="419" t="n"/>
      <c r="L166" s="419" t="n"/>
      <c r="M166" s="419" t="n"/>
    </row>
    <row r="167" ht="34" customHeight="1" s="401">
      <c r="A167" s="419" t="inlineStr">
        <is>
          <t>R-072</t>
        </is>
      </c>
      <c r="B167" s="419" t="inlineStr">
        <is>
          <t>MID</t>
        </is>
      </c>
      <c r="C167" s="419" t="inlineStr">
        <is>
          <t>Reliability</t>
        </is>
      </c>
      <c r="D167" s="419" t="inlineStr">
        <is>
          <t>Build artifact caching</t>
        </is>
      </c>
      <c r="E167" s="419" t="inlineStr">
        <is>
          <t>Cache dependencies and unchanged build outputs.</t>
        </is>
      </c>
      <c r="F167" s="419" t="inlineStr">
        <is>
          <t>P1</t>
        </is>
      </c>
      <c r="G167" s="419" t="n"/>
      <c r="H167" s="419" t="inlineStr">
        <is>
          <t>Not Started</t>
        </is>
      </c>
      <c r="I167" s="420" t="n">
        <v>0</v>
      </c>
      <c r="J167" s="419" t="n"/>
      <c r="K167" s="419" t="n"/>
      <c r="L167" s="419" t="n"/>
      <c r="M167" s="419" t="n"/>
    </row>
    <row r="168" ht="34" customHeight="1" s="401">
      <c r="A168" s="419" t="inlineStr">
        <is>
          <t>R-073</t>
        </is>
      </c>
      <c r="B168" s="419" t="inlineStr">
        <is>
          <t>MID</t>
        </is>
      </c>
      <c r="C168" s="419" t="inlineStr">
        <is>
          <t>Reliability</t>
        </is>
      </c>
      <c r="D168" s="419" t="inlineStr">
        <is>
          <t>Incremental test selection</t>
        </is>
      </c>
      <c r="E168" s="419" t="inlineStr">
        <is>
          <t>Impact graph selects relevant tests, while periodic full regression remains mandatory.</t>
        </is>
      </c>
      <c r="F168" s="419" t="inlineStr">
        <is>
          <t>P1</t>
        </is>
      </c>
      <c r="G168" s="419" t="n"/>
      <c r="H168" s="419" t="inlineStr">
        <is>
          <t>Not Started</t>
        </is>
      </c>
      <c r="I168" s="420" t="n">
        <v>0</v>
      </c>
      <c r="J168" s="419" t="n"/>
      <c r="K168" s="419" t="n"/>
      <c r="L168" s="419" t="n"/>
      <c r="M168" s="419" t="n"/>
    </row>
    <row r="169" ht="34" customHeight="1" s="401">
      <c r="A169" s="419" t="inlineStr">
        <is>
          <t>R-074</t>
        </is>
      </c>
      <c r="B169" s="419" t="inlineStr">
        <is>
          <t>MID</t>
        </is>
      </c>
      <c r="C169" s="419" t="inlineStr">
        <is>
          <t>Multi-stack</t>
        </is>
      </c>
      <c r="D169" s="419" t="inlineStr">
        <is>
          <t>Backend stack profiles</t>
        </is>
      </c>
      <c r="E169" s="419" t="inlineStr">
        <is>
          <t>Offer Go, Python/FastAPI and optional Node/NestJS project templates.</t>
        </is>
      </c>
      <c r="F169" s="419" t="inlineStr">
        <is>
          <t>P1</t>
        </is>
      </c>
      <c r="G169" s="419" t="n"/>
      <c r="H169" s="419" t="inlineStr">
        <is>
          <t>Not Started</t>
        </is>
      </c>
      <c r="I169" s="420" t="n">
        <v>0</v>
      </c>
      <c r="J169" s="419" t="n"/>
      <c r="K169" s="419" t="n"/>
      <c r="L169" s="419" t="n"/>
      <c r="M169" s="419" t="n"/>
    </row>
    <row r="170" ht="34" customHeight="1" s="401">
      <c r="A170" s="419" t="inlineStr">
        <is>
          <t>R-075</t>
        </is>
      </c>
      <c r="B170" s="419" t="inlineStr">
        <is>
          <t>MID</t>
        </is>
      </c>
      <c r="C170" s="419" t="inlineStr">
        <is>
          <t>Data</t>
        </is>
      </c>
      <c r="D170" s="419" t="inlineStr">
        <is>
          <t>Database profiles</t>
        </is>
      </c>
      <c r="E170" s="419" t="inlineStr">
        <is>
          <t>PostgreSQL default; optional MySQL, MongoDB, Supabase/Firebase connectors.</t>
        </is>
      </c>
      <c r="F170" s="419" t="inlineStr">
        <is>
          <t>P1</t>
        </is>
      </c>
      <c r="G170" s="419" t="n"/>
      <c r="H170" s="419" t="inlineStr">
        <is>
          <t>Not Started</t>
        </is>
      </c>
      <c r="I170" s="420" t="n">
        <v>0</v>
      </c>
      <c r="J170" s="419" t="n"/>
      <c r="K170" s="419" t="n"/>
      <c r="L170" s="419" t="n"/>
      <c r="M170" s="419" t="n"/>
    </row>
    <row r="171" ht="34" customHeight="1" s="401">
      <c r="A171" s="419" t="inlineStr">
        <is>
          <t>R-076</t>
        </is>
      </c>
      <c r="B171" s="419" t="inlineStr">
        <is>
          <t>MID</t>
        </is>
      </c>
      <c r="C171" s="419" t="inlineStr">
        <is>
          <t>Developer UX</t>
        </is>
      </c>
      <c r="D171" s="419" t="inlineStr">
        <is>
          <t>Existing repo import</t>
        </is>
      </c>
      <c r="E171" s="419" t="inlineStr">
        <is>
          <t>Understand and modify non-generated projects safely.</t>
        </is>
      </c>
      <c r="F171" s="419" t="inlineStr">
        <is>
          <t>P1</t>
        </is>
      </c>
      <c r="G171" s="419" t="n"/>
      <c r="H171" s="419" t="inlineStr">
        <is>
          <t>Not Started</t>
        </is>
      </c>
      <c r="I171" s="420" t="n">
        <v>0</v>
      </c>
      <c r="J171" s="419" t="n"/>
      <c r="K171" s="419" t="n"/>
      <c r="L171" s="419" t="n"/>
      <c r="M171" s="419" t="n"/>
    </row>
    <row r="172" ht="34" customHeight="1" s="401">
      <c r="A172" s="419" t="inlineStr">
        <is>
          <t>R-077</t>
        </is>
      </c>
      <c r="B172" s="419" t="inlineStr">
        <is>
          <t>MVP</t>
        </is>
      </c>
      <c r="C172" s="419" t="inlineStr">
        <is>
          <t>Mobile</t>
        </is>
      </c>
      <c r="D172" s="419" t="inlineStr">
        <is>
          <t>Flutter target (GA baseline)</t>
        </is>
      </c>
      <c r="E172" s="419" t="inlineStr">
        <is>
          <t>Generate one Dart codebase for Android/iOS; optional Flutter Web only when project profile fits.</t>
        </is>
      </c>
      <c r="F172" s="419" t="inlineStr">
        <is>
          <t>P0</t>
        </is>
      </c>
      <c r="G172" s="419" t="n"/>
      <c r="H172" s="419" t="inlineStr">
        <is>
          <t>Not Started</t>
        </is>
      </c>
      <c r="I172" s="420" t="n">
        <v>0</v>
      </c>
      <c r="J172" s="419" t="n"/>
      <c r="K172" s="419" t="n"/>
      <c r="L172" s="419" t="n"/>
      <c r="M172" s="419" t="n"/>
    </row>
    <row r="173" ht="34" customHeight="1" s="401">
      <c r="A173" s="419" t="inlineStr">
        <is>
          <t>R-078</t>
        </is>
      </c>
      <c r="B173" s="419" t="inlineStr">
        <is>
          <t>MVP</t>
        </is>
      </c>
      <c r="C173" s="419" t="inlineStr">
        <is>
          <t>Mobile</t>
        </is>
      </c>
      <c r="D173" s="419" t="inlineStr">
        <is>
          <t>React Native target (GA/beta by team capacity)</t>
        </is>
      </c>
      <c r="E173" s="419" t="inlineStr">
        <is>
          <t>Generate one TypeScript/React Native codebase for Android/iOS; Expo optional; share TS logic/components with web where safe.</t>
        </is>
      </c>
      <c r="F173" s="419" t="inlineStr">
        <is>
          <t>P1</t>
        </is>
      </c>
      <c r="G173" s="419" t="n"/>
      <c r="H173" s="419" t="inlineStr">
        <is>
          <t>Not Started</t>
        </is>
      </c>
      <c r="I173" s="420" t="n">
        <v>0</v>
      </c>
      <c r="J173" s="419" t="n"/>
      <c r="K173" s="419" t="n"/>
      <c r="L173" s="419" t="n"/>
      <c r="M173" s="419" t="n"/>
    </row>
    <row r="174" ht="34" customHeight="1" s="401">
      <c r="A174" s="419" t="inlineStr">
        <is>
          <t>R-079</t>
        </is>
      </c>
      <c r="B174" s="419" t="inlineStr">
        <is>
          <t>ADVANCED</t>
        </is>
      </c>
      <c r="C174" s="419" t="inlineStr">
        <is>
          <t>Models</t>
        </is>
      </c>
      <c r="D174" s="419" t="inlineStr">
        <is>
          <t>Model benchmark service</t>
        </is>
      </c>
      <c r="E174" s="419" t="inlineStr">
        <is>
          <t>Continuously score models on internal coding/repair/security tasks.</t>
        </is>
      </c>
      <c r="F174" s="419" t="inlineStr">
        <is>
          <t>P2</t>
        </is>
      </c>
      <c r="G174" s="419" t="n"/>
      <c r="H174" s="419" t="inlineStr">
        <is>
          <t>Not Started</t>
        </is>
      </c>
      <c r="I174" s="420" t="n">
        <v>0</v>
      </c>
      <c r="J174" s="419" t="n"/>
      <c r="K174" s="419" t="n"/>
      <c r="L174" s="419" t="n"/>
      <c r="M174" s="419" t="n"/>
    </row>
    <row r="175" ht="34" customHeight="1" s="401">
      <c r="A175" s="419" t="inlineStr">
        <is>
          <t>R-080</t>
        </is>
      </c>
      <c r="B175" s="419" t="inlineStr">
        <is>
          <t>ADVANCED</t>
        </is>
      </c>
      <c r="C175" s="419" t="inlineStr">
        <is>
          <t>Models</t>
        </is>
      </c>
      <c r="D175" s="419" t="inlineStr">
        <is>
          <t>Self-hosted/local models</t>
        </is>
      </c>
      <c r="E175" s="419" t="inlineStr">
        <is>
          <t>Private model endpoints for enterprise or low-cost tasks.</t>
        </is>
      </c>
      <c r="F175" s="419" t="inlineStr">
        <is>
          <t>P2</t>
        </is>
      </c>
      <c r="G175" s="419" t="n"/>
      <c r="H175" s="419" t="inlineStr">
        <is>
          <t>Not Started</t>
        </is>
      </c>
      <c r="I175" s="420" t="n">
        <v>0</v>
      </c>
      <c r="J175" s="419" t="n"/>
      <c r="K175" s="419" t="n"/>
      <c r="L175" s="419" t="n"/>
      <c r="M175" s="419" t="n"/>
    </row>
    <row r="176" ht="34" customHeight="1" s="401">
      <c r="A176" s="419" t="inlineStr">
        <is>
          <t>R-081</t>
        </is>
      </c>
      <c r="B176" s="419" t="inlineStr">
        <is>
          <t>ADVANCED</t>
        </is>
      </c>
      <c r="C176" s="419" t="inlineStr">
        <is>
          <t>Agents</t>
        </is>
      </c>
      <c r="D176" s="419" t="inlineStr">
        <is>
          <t>Specialist agent marketplace</t>
        </is>
      </c>
      <c r="E176" s="419" t="inlineStr">
        <is>
          <t>Versioned approved agents with capability and permission manifests.</t>
        </is>
      </c>
      <c r="F176" s="419" t="inlineStr">
        <is>
          <t>P2</t>
        </is>
      </c>
      <c r="G176" s="419" t="n"/>
      <c r="H176" s="419" t="inlineStr">
        <is>
          <t>Not Started</t>
        </is>
      </c>
      <c r="I176" s="420" t="n">
        <v>0</v>
      </c>
      <c r="J176" s="419" t="n"/>
      <c r="K176" s="419" t="n"/>
      <c r="L176" s="419" t="n"/>
      <c r="M176" s="419" t="n"/>
    </row>
    <row r="177" ht="34" customHeight="1" s="401">
      <c r="A177" s="419" t="inlineStr">
        <is>
          <t>R-082</t>
        </is>
      </c>
      <c r="B177" s="419" t="inlineStr">
        <is>
          <t>ADVANCED</t>
        </is>
      </c>
      <c r="C177" s="419" t="inlineStr">
        <is>
          <t>Testing</t>
        </is>
      </c>
      <c r="D177" s="419" t="inlineStr">
        <is>
          <t>Physical device cloud</t>
        </is>
      </c>
      <c r="E177" s="419" t="inlineStr">
        <is>
          <t>Run selected flows on real iPhones/Android devices.</t>
        </is>
      </c>
      <c r="F177" s="419" t="inlineStr">
        <is>
          <t>P2</t>
        </is>
      </c>
      <c r="G177" s="419" t="n"/>
      <c r="H177" s="419" t="inlineStr">
        <is>
          <t>Not Started</t>
        </is>
      </c>
      <c r="I177" s="420" t="n">
        <v>0</v>
      </c>
      <c r="J177" s="419" t="n"/>
      <c r="K177" s="419" t="n"/>
      <c r="L177" s="419" t="n"/>
      <c r="M177" s="419" t="n"/>
    </row>
    <row r="178" ht="34" customHeight="1" s="401">
      <c r="A178" s="419" t="inlineStr">
        <is>
          <t>R-083</t>
        </is>
      </c>
      <c r="B178" s="419" t="inlineStr">
        <is>
          <t>ADVANCED</t>
        </is>
      </c>
      <c r="C178" s="419" t="inlineStr">
        <is>
          <t>Infrastructure</t>
        </is>
      </c>
      <c r="D178" s="419" t="inlineStr">
        <is>
          <t>MicroVM sandbox</t>
        </is>
      </c>
      <c r="E178" s="419" t="inlineStr">
        <is>
          <t>Firecracker/Kata/gVisor isolation for higher-risk arbitrary code execution.</t>
        </is>
      </c>
      <c r="F178" s="419" t="inlineStr">
        <is>
          <t>P2</t>
        </is>
      </c>
      <c r="G178" s="419" t="n"/>
      <c r="H178" s="419" t="inlineStr">
        <is>
          <t>Not Started</t>
        </is>
      </c>
      <c r="I178" s="420" t="n">
        <v>0</v>
      </c>
      <c r="J178" s="419" t="n"/>
      <c r="K178" s="419" t="n"/>
      <c r="L178" s="419" t="n"/>
      <c r="M178" s="419" t="n"/>
    </row>
    <row r="179" ht="34" customHeight="1" s="401">
      <c r="A179" s="419" t="inlineStr">
        <is>
          <t>R-084</t>
        </is>
      </c>
      <c r="B179" s="419" t="inlineStr">
        <is>
          <t>ADVANCED</t>
        </is>
      </c>
      <c r="C179" s="419" t="inlineStr">
        <is>
          <t>Infrastructure</t>
        </is>
      </c>
      <c r="D179" s="419" t="inlineStr">
        <is>
          <t>Multi-region build/control plane</t>
        </is>
      </c>
      <c r="E179" s="419" t="inlineStr">
        <is>
          <t>Regional workload placement and disaster recovery.</t>
        </is>
      </c>
      <c r="F179" s="419" t="inlineStr">
        <is>
          <t>P2</t>
        </is>
      </c>
      <c r="G179" s="419" t="n"/>
      <c r="H179" s="419" t="inlineStr">
        <is>
          <t>Not Started</t>
        </is>
      </c>
      <c r="I179" s="420" t="n">
        <v>0</v>
      </c>
      <c r="J179" s="419" t="n"/>
      <c r="K179" s="419" t="n"/>
      <c r="L179" s="419" t="n"/>
      <c r="M179" s="419" t="n"/>
    </row>
    <row r="180" ht="34" customHeight="1" s="401">
      <c r="A180" s="419" t="inlineStr">
        <is>
          <t>R-085</t>
        </is>
      </c>
      <c r="B180" s="419" t="inlineStr">
        <is>
          <t>ADVANCED</t>
        </is>
      </c>
      <c r="C180" s="419" t="inlineStr">
        <is>
          <t>Enterprise</t>
        </is>
      </c>
      <c r="D180" s="419" t="inlineStr">
        <is>
          <t>BYOC</t>
        </is>
      </c>
      <c r="E180" s="419" t="inlineStr">
        <is>
          <t>Deploy sandboxes/build workers into customer cloud/VPC.</t>
        </is>
      </c>
      <c r="F180" s="419" t="inlineStr">
        <is>
          <t>P2</t>
        </is>
      </c>
      <c r="G180" s="419" t="n"/>
      <c r="H180" s="419" t="inlineStr">
        <is>
          <t>Not Started</t>
        </is>
      </c>
      <c r="I180" s="420" t="n">
        <v>0</v>
      </c>
      <c r="J180" s="419" t="n"/>
      <c r="K180" s="419" t="n"/>
      <c r="L180" s="419" t="n"/>
      <c r="M180" s="419" t="n"/>
    </row>
    <row r="181" ht="34" customHeight="1" s="401">
      <c r="A181" s="419" t="inlineStr">
        <is>
          <t>R-086</t>
        </is>
      </c>
      <c r="B181" s="419" t="inlineStr">
        <is>
          <t>ADVANCED</t>
        </is>
      </c>
      <c r="C181" s="419" t="inlineStr">
        <is>
          <t>Enterprise</t>
        </is>
      </c>
      <c r="D181" s="419" t="inlineStr">
        <is>
          <t>Data residency controls</t>
        </is>
      </c>
      <c r="E181" s="419" t="inlineStr">
        <is>
          <t>Pin project data/logs/builds to approved regions.</t>
        </is>
      </c>
      <c r="F181" s="419" t="inlineStr">
        <is>
          <t>P2</t>
        </is>
      </c>
      <c r="G181" s="419" t="n"/>
      <c r="H181" s="419" t="inlineStr">
        <is>
          <t>Not Started</t>
        </is>
      </c>
      <c r="I181" s="420" t="n">
        <v>0</v>
      </c>
      <c r="J181" s="419" t="n"/>
      <c r="K181" s="419" t="n"/>
      <c r="L181" s="419" t="n"/>
      <c r="M181" s="419" t="n"/>
    </row>
    <row r="182" ht="34" customHeight="1" s="401">
      <c r="A182" s="419" t="inlineStr">
        <is>
          <t>R-087</t>
        </is>
      </c>
      <c r="B182" s="419" t="inlineStr">
        <is>
          <t>ADVANCED</t>
        </is>
      </c>
      <c r="C182" s="419" t="inlineStr">
        <is>
          <t>Enterprise</t>
        </is>
      </c>
      <c r="D182" s="419" t="inlineStr">
        <is>
          <t>Policy-as-code</t>
        </is>
      </c>
      <c r="E182" s="419" t="inlineStr">
        <is>
          <t>Organization rules for models, packages, deployment, approvals and secrets.</t>
        </is>
      </c>
      <c r="F182" s="419" t="inlineStr">
        <is>
          <t>P2</t>
        </is>
      </c>
      <c r="G182" s="419" t="n"/>
      <c r="H182" s="419" t="inlineStr">
        <is>
          <t>Not Started</t>
        </is>
      </c>
      <c r="I182" s="420" t="n">
        <v>0</v>
      </c>
      <c r="J182" s="419" t="n"/>
      <c r="K182" s="419" t="n"/>
      <c r="L182" s="419" t="n"/>
      <c r="M182" s="419" t="n"/>
    </row>
    <row r="183" ht="34" customHeight="1" s="401">
      <c r="A183" s="419" t="inlineStr">
        <is>
          <t>R-088</t>
        </is>
      </c>
      <c r="B183" s="419" t="inlineStr">
        <is>
          <t>ADVANCED</t>
        </is>
      </c>
      <c r="C183" s="419" t="inlineStr">
        <is>
          <t>Architecture</t>
        </is>
      </c>
      <c r="D183" s="419" t="inlineStr">
        <is>
          <t>Cross-platform consistency checker</t>
        </is>
      </c>
      <c r="E183" s="419" t="inlineStr">
        <is>
          <t>Ensure feature behavior/API semantics stay aligned across Android/iOS/web.</t>
        </is>
      </c>
      <c r="F183" s="419" t="inlineStr">
        <is>
          <t>P2</t>
        </is>
      </c>
      <c r="G183" s="419" t="n"/>
      <c r="H183" s="419" t="inlineStr">
        <is>
          <t>Not Started</t>
        </is>
      </c>
      <c r="I183" s="420" t="n">
        <v>0</v>
      </c>
      <c r="J183" s="419" t="n"/>
      <c r="K183" s="419" t="n"/>
      <c r="L183" s="419" t="n"/>
      <c r="M183" s="419" t="n"/>
    </row>
    <row r="184" ht="34" customHeight="1" s="401">
      <c r="A184" s="419" t="inlineStr">
        <is>
          <t>R-089</t>
        </is>
      </c>
      <c r="B184" s="419" t="inlineStr">
        <is>
          <t>ADVANCED</t>
        </is>
      </c>
      <c r="C184" s="419" t="inlineStr">
        <is>
          <t>Architecture</t>
        </is>
      </c>
      <c r="D184" s="419" t="inlineStr">
        <is>
          <t>Automated refactoring planner</t>
        </is>
      </c>
      <c r="E184" s="419" t="inlineStr">
        <is>
          <t>Detect debt and create safe incremental refactor plans.</t>
        </is>
      </c>
      <c r="F184" s="419" t="inlineStr">
        <is>
          <t>P2</t>
        </is>
      </c>
      <c r="G184" s="419" t="n"/>
      <c r="H184" s="419" t="inlineStr">
        <is>
          <t>Not Started</t>
        </is>
      </c>
      <c r="I184" s="420" t="n">
        <v>0</v>
      </c>
      <c r="J184" s="419" t="n"/>
      <c r="K184" s="419" t="n"/>
      <c r="L184" s="419" t="n"/>
      <c r="M184" s="419" t="n"/>
    </row>
    <row r="185" ht="34" customHeight="1" s="401">
      <c r="A185" s="419" t="inlineStr">
        <is>
          <t>R-090</t>
        </is>
      </c>
      <c r="B185" s="419" t="inlineStr">
        <is>
          <t>ADVANCED</t>
        </is>
      </c>
      <c r="C185" s="419" t="inlineStr">
        <is>
          <t>Quality</t>
        </is>
      </c>
      <c r="D185" s="419" t="inlineStr">
        <is>
          <t>Mutation/fuzz testing</t>
        </is>
      </c>
      <c r="E185" s="419" t="inlineStr">
        <is>
          <t>Higher assurance for critical services and parsers.</t>
        </is>
      </c>
      <c r="F185" s="419" t="inlineStr">
        <is>
          <t>P2</t>
        </is>
      </c>
      <c r="G185" s="419" t="n"/>
      <c r="H185" s="419" t="inlineStr">
        <is>
          <t>Not Started</t>
        </is>
      </c>
      <c r="I185" s="420" t="n">
        <v>0</v>
      </c>
      <c r="J185" s="419" t="n"/>
      <c r="K185" s="419" t="n"/>
      <c r="L185" s="419" t="n"/>
      <c r="M185" s="419" t="n"/>
    </row>
    <row r="186" ht="34" customHeight="1" s="401">
      <c r="A186" s="419" t="inlineStr">
        <is>
          <t>R-091</t>
        </is>
      </c>
      <c r="B186" s="419" t="inlineStr">
        <is>
          <t>ADVANCED</t>
        </is>
      </c>
      <c r="C186" s="419" t="inlineStr">
        <is>
          <t>Cost</t>
        </is>
      </c>
      <c r="D186" s="419" t="inlineStr">
        <is>
          <t>Predictive capacity scheduler</t>
        </is>
      </c>
      <c r="E186" s="419" t="inlineStr">
        <is>
          <t>Prewarm Mac/Linux workers using demand forecasts.</t>
        </is>
      </c>
      <c r="F186" s="419" t="inlineStr">
        <is>
          <t>P2</t>
        </is>
      </c>
      <c r="G186" s="419" t="n"/>
      <c r="H186" s="419" t="inlineStr">
        <is>
          <t>Not Started</t>
        </is>
      </c>
      <c r="I186" s="420" t="n">
        <v>0</v>
      </c>
      <c r="J186" s="419" t="n"/>
      <c r="K186" s="419" t="n"/>
      <c r="L186" s="419" t="n"/>
      <c r="M186" s="419" t="n"/>
    </row>
    <row r="187" ht="34" customHeight="1" s="401">
      <c r="A187" s="419" t="inlineStr">
        <is>
          <t>R-092</t>
        </is>
      </c>
      <c r="B187" s="419" t="inlineStr">
        <is>
          <t>ADVANCED</t>
        </is>
      </c>
      <c r="C187" s="419" t="inlineStr">
        <is>
          <t>Cost</t>
        </is>
      </c>
      <c r="D187" s="419" t="inlineStr">
        <is>
          <t>Spot/preemptible optimization</t>
        </is>
      </c>
      <c r="E187" s="419" t="inlineStr">
        <is>
          <t>Use interruptible compute for safe non-release workloads.</t>
        </is>
      </c>
      <c r="F187" s="419" t="inlineStr">
        <is>
          <t>P2</t>
        </is>
      </c>
      <c r="G187" s="419" t="n"/>
      <c r="H187" s="419" t="inlineStr">
        <is>
          <t>Not Started</t>
        </is>
      </c>
      <c r="I187" s="420" t="n">
        <v>0</v>
      </c>
      <c r="J187" s="419" t="n"/>
      <c r="K187" s="419" t="n"/>
      <c r="L187" s="419" t="n"/>
      <c r="M187" s="419" t="n"/>
    </row>
    <row r="188" ht="34" customHeight="1" s="401">
      <c r="A188" s="419" t="inlineStr">
        <is>
          <t>R-093</t>
        </is>
      </c>
      <c r="B188" s="419" t="inlineStr">
        <is>
          <t>ADVANCED</t>
        </is>
      </c>
      <c r="C188" s="419" t="inlineStr">
        <is>
          <t>Analytics</t>
        </is>
      </c>
      <c r="D188" s="419" t="inlineStr">
        <is>
          <t>Quality trend analytics</t>
        </is>
      </c>
      <c r="E188" s="419" t="inlineStr">
        <is>
          <t>Track regression, debt and agent success by model/version/framework.</t>
        </is>
      </c>
      <c r="F188" s="419" t="inlineStr">
        <is>
          <t>P2</t>
        </is>
      </c>
      <c r="G188" s="419" t="n"/>
      <c r="H188" s="419" t="inlineStr">
        <is>
          <t>Not Started</t>
        </is>
      </c>
      <c r="I188" s="420" t="n">
        <v>0</v>
      </c>
      <c r="J188" s="419" t="n"/>
      <c r="K188" s="419" t="n"/>
      <c r="L188" s="419" t="n"/>
      <c r="M188" s="419" t="n"/>
    </row>
    <row r="189">
      <c r="A189" s="419" t="inlineStr">
        <is>
          <t>R-094</t>
        </is>
      </c>
      <c r="B189" s="419" t="inlineStr">
        <is>
          <t>PRODUCTION</t>
        </is>
      </c>
      <c r="C189" s="419" t="inlineStr">
        <is>
          <t>Reliability</t>
        </is>
      </c>
      <c r="D189" s="419" t="inlineStr">
        <is>
          <t>SLO/SLA framework</t>
        </is>
      </c>
      <c r="E189" s="419" t="inlineStr">
        <is>
          <t>Define availability, task success, build latency and recovery objectives.</t>
        </is>
      </c>
      <c r="F189" s="419" t="inlineStr">
        <is>
          <t>P0</t>
        </is>
      </c>
      <c r="G189" s="419" t="n"/>
      <c r="H189" s="419" t="inlineStr">
        <is>
          <t>Not Started</t>
        </is>
      </c>
      <c r="I189" s="420" t="n">
        <v>0</v>
      </c>
      <c r="J189" s="419" t="n"/>
      <c r="K189" s="419" t="n"/>
      <c r="L189" s="419" t="n"/>
      <c r="M189" s="419" t="n"/>
    </row>
    <row r="190">
      <c r="A190" s="419" t="inlineStr">
        <is>
          <t>R-095</t>
        </is>
      </c>
      <c r="B190" s="419" t="inlineStr">
        <is>
          <t>PRODUCTION</t>
        </is>
      </c>
      <c r="C190" s="419" t="inlineStr">
        <is>
          <t>Reliability</t>
        </is>
      </c>
      <c r="D190" s="419" t="inlineStr">
        <is>
          <t>HA control plane</t>
        </is>
      </c>
      <c r="E190" s="419" t="inlineStr">
        <is>
          <t>Remove single points of failure across API, queue, DB and model gateway.</t>
        </is>
      </c>
      <c r="F190" s="419" t="inlineStr">
        <is>
          <t>P0</t>
        </is>
      </c>
      <c r="G190" s="419" t="n"/>
      <c r="H190" s="419" t="inlineStr">
        <is>
          <t>Not Started</t>
        </is>
      </c>
      <c r="I190" s="420" t="n">
        <v>0</v>
      </c>
      <c r="J190" s="419" t="n"/>
      <c r="K190" s="419" t="n"/>
      <c r="L190" s="419" t="n"/>
      <c r="M190" s="419" t="n"/>
    </row>
    <row r="191">
      <c r="A191" s="419" t="inlineStr">
        <is>
          <t>R-096</t>
        </is>
      </c>
      <c r="B191" s="419" t="inlineStr">
        <is>
          <t>PRODUCTION</t>
        </is>
      </c>
      <c r="C191" s="419" t="inlineStr">
        <is>
          <t>Reliability</t>
        </is>
      </c>
      <c r="D191" s="419" t="inlineStr">
        <is>
          <t>Backup + restore drills</t>
        </is>
      </c>
      <c r="E191" s="419" t="inlineStr">
        <is>
          <t>Automated backups plus regularly tested restoration.</t>
        </is>
      </c>
      <c r="F191" s="419" t="inlineStr">
        <is>
          <t>P0</t>
        </is>
      </c>
      <c r="G191" s="419" t="n"/>
      <c r="H191" s="419" t="inlineStr">
        <is>
          <t>Not Started</t>
        </is>
      </c>
      <c r="I191" s="420" t="n">
        <v>0</v>
      </c>
      <c r="J191" s="419" t="n"/>
      <c r="K191" s="419" t="n"/>
      <c r="L191" s="419" t="n"/>
      <c r="M191" s="419" t="n"/>
    </row>
    <row r="192">
      <c r="A192" s="419" t="inlineStr">
        <is>
          <t>R-097</t>
        </is>
      </c>
      <c r="B192" s="419" t="inlineStr">
        <is>
          <t>PRODUCTION</t>
        </is>
      </c>
      <c r="C192" s="419" t="inlineStr">
        <is>
          <t>Reliability</t>
        </is>
      </c>
      <c r="D192" s="419" t="inlineStr">
        <is>
          <t>Disaster recovery</t>
        </is>
      </c>
      <c r="E192" s="419" t="inlineStr">
        <is>
          <t>Document and exercise regional recovery procedures.</t>
        </is>
      </c>
      <c r="F192" s="419" t="inlineStr">
        <is>
          <t>P0</t>
        </is>
      </c>
      <c r="G192" s="419" t="n"/>
      <c r="H192" s="419" t="inlineStr">
        <is>
          <t>Not Started</t>
        </is>
      </c>
      <c r="I192" s="420" t="n">
        <v>0</v>
      </c>
      <c r="J192" s="419" t="n"/>
      <c r="K192" s="419" t="n"/>
      <c r="L192" s="419" t="n"/>
      <c r="M192" s="419" t="n"/>
    </row>
    <row r="193">
      <c r="A193" s="419" t="inlineStr">
        <is>
          <t>R-098</t>
        </is>
      </c>
      <c r="B193" s="419" t="inlineStr">
        <is>
          <t>PRODUCTION</t>
        </is>
      </c>
      <c r="C193" s="419" t="inlineStr">
        <is>
          <t>Security</t>
        </is>
      </c>
      <c r="D193" s="419" t="inlineStr">
        <is>
          <t>Independent penetration test</t>
        </is>
      </c>
      <c r="E193" s="419" t="inlineStr">
        <is>
          <t>External security assessment before broad enterprise launch.</t>
        </is>
      </c>
      <c r="F193" s="419" t="inlineStr">
        <is>
          <t>P0</t>
        </is>
      </c>
      <c r="G193" s="419" t="n"/>
      <c r="H193" s="419" t="inlineStr">
        <is>
          <t>Not Started</t>
        </is>
      </c>
      <c r="I193" s="420" t="n">
        <v>0</v>
      </c>
      <c r="J193" s="419" t="n"/>
      <c r="K193" s="419" t="n"/>
      <c r="L193" s="419" t="n"/>
      <c r="M193" s="419" t="n"/>
    </row>
    <row r="194">
      <c r="A194" s="419" t="inlineStr">
        <is>
          <t>R-099</t>
        </is>
      </c>
      <c r="B194" s="419" t="inlineStr">
        <is>
          <t>PRODUCTION</t>
        </is>
      </c>
      <c r="C194" s="419" t="inlineStr">
        <is>
          <t>Security</t>
        </is>
      </c>
      <c r="D194" s="419" t="inlineStr">
        <is>
          <t>SOC 2 readiness controls</t>
        </is>
      </c>
      <c r="E194" s="419" t="inlineStr">
        <is>
          <t>Audit logging, access reviews, change management, incident response and evidence.</t>
        </is>
      </c>
      <c r="F194" s="419" t="inlineStr">
        <is>
          <t>P0</t>
        </is>
      </c>
      <c r="G194" s="419" t="n"/>
      <c r="H194" s="419" t="inlineStr">
        <is>
          <t>Not Started</t>
        </is>
      </c>
      <c r="I194" s="420" t="n">
        <v>0</v>
      </c>
      <c r="J194" s="419" t="n"/>
      <c r="K194" s="419" t="n"/>
      <c r="L194" s="419" t="n"/>
      <c r="M194" s="419" t="n"/>
    </row>
    <row r="195">
      <c r="A195" s="419" t="inlineStr">
        <is>
          <t>R-100</t>
        </is>
      </c>
      <c r="B195" s="419" t="inlineStr">
        <is>
          <t>PRODUCTION</t>
        </is>
      </c>
      <c r="C195" s="419" t="inlineStr">
        <is>
          <t>Security</t>
        </is>
      </c>
      <c r="D195" s="419" t="inlineStr">
        <is>
          <t>Tenant isolation validation</t>
        </is>
      </c>
      <c r="E195" s="419" t="inlineStr">
        <is>
          <t>Automated tests prove data/secret/build isolation between tenants.</t>
        </is>
      </c>
      <c r="F195" s="419" t="inlineStr">
        <is>
          <t>P0</t>
        </is>
      </c>
      <c r="G195" s="419" t="n"/>
      <c r="H195" s="419" t="inlineStr">
        <is>
          <t>Not Started</t>
        </is>
      </c>
      <c r="I195" s="420" t="n">
        <v>0</v>
      </c>
      <c r="J195" s="419" t="n"/>
      <c r="K195" s="419" t="n"/>
      <c r="L195" s="419" t="n"/>
      <c r="M195" s="419" t="n"/>
    </row>
    <row r="196">
      <c r="A196" s="419" t="inlineStr">
        <is>
          <t>R-101</t>
        </is>
      </c>
      <c r="B196" s="419" t="inlineStr">
        <is>
          <t>PRODUCTION</t>
        </is>
      </c>
      <c r="C196" s="419" t="inlineStr">
        <is>
          <t>Security</t>
        </is>
      </c>
      <c r="D196" s="419" t="inlineStr">
        <is>
          <t>Signing-key hardening</t>
        </is>
      </c>
      <c r="E196" s="419" t="inlineStr">
        <is>
          <t>KMS/HSM-backed signing workflows and strict operator access.</t>
        </is>
      </c>
      <c r="F196" s="419" t="inlineStr">
        <is>
          <t>P0</t>
        </is>
      </c>
      <c r="G196" s="419" t="n"/>
      <c r="H196" s="419" t="inlineStr">
        <is>
          <t>Not Started</t>
        </is>
      </c>
      <c r="I196" s="420" t="n">
        <v>0</v>
      </c>
      <c r="J196" s="419" t="n"/>
      <c r="K196" s="419" t="n"/>
      <c r="L196" s="419" t="n"/>
      <c r="M196" s="419" t="n"/>
    </row>
    <row r="197">
      <c r="A197" s="419" t="inlineStr">
        <is>
          <t>R-102</t>
        </is>
      </c>
      <c r="B197" s="419" t="inlineStr">
        <is>
          <t>PRODUCTION</t>
        </is>
      </c>
      <c r="C197" s="419" t="inlineStr">
        <is>
          <t>Operations</t>
        </is>
      </c>
      <c r="D197" s="419" t="inlineStr">
        <is>
          <t>24x7 incident process</t>
        </is>
      </c>
      <c r="E197" s="419" t="inlineStr">
        <is>
          <t>On-call, severity levels, runbooks, status page and postmortems.</t>
        </is>
      </c>
      <c r="F197" s="419" t="inlineStr">
        <is>
          <t>P0</t>
        </is>
      </c>
      <c r="G197" s="419" t="n"/>
      <c r="H197" s="419" t="inlineStr">
        <is>
          <t>Not Started</t>
        </is>
      </c>
      <c r="I197" s="420" t="n">
        <v>0</v>
      </c>
      <c r="J197" s="419" t="n"/>
      <c r="K197" s="419" t="n"/>
      <c r="L197" s="419" t="n"/>
      <c r="M197" s="419" t="n"/>
    </row>
    <row r="198">
      <c r="A198" s="419" t="inlineStr">
        <is>
          <t>R-103</t>
        </is>
      </c>
      <c r="B198" s="419" t="inlineStr">
        <is>
          <t>PRODUCTION</t>
        </is>
      </c>
      <c r="C198" s="419" t="inlineStr">
        <is>
          <t>Operations</t>
        </is>
      </c>
      <c r="D198" s="419" t="inlineStr">
        <is>
          <t>Capacity/load tests</t>
        </is>
      </c>
      <c r="E198" s="419" t="inlineStr">
        <is>
          <t>Prove planned concurrency for AI, sandboxes, builds and previews.</t>
        </is>
      </c>
      <c r="F198" s="419" t="inlineStr">
        <is>
          <t>P0</t>
        </is>
      </c>
      <c r="G198" s="419" t="n"/>
      <c r="H198" s="419" t="inlineStr">
        <is>
          <t>Not Started</t>
        </is>
      </c>
      <c r="I198" s="420" t="n">
        <v>0</v>
      </c>
      <c r="J198" s="419" t="n"/>
      <c r="K198" s="419" t="n"/>
      <c r="L198" s="419" t="n"/>
      <c r="M198" s="419" t="n"/>
    </row>
    <row r="199">
      <c r="A199" s="419" t="inlineStr">
        <is>
          <t>R-104</t>
        </is>
      </c>
      <c r="B199" s="419" t="inlineStr">
        <is>
          <t>PRODUCTION</t>
        </is>
      </c>
      <c r="C199" s="419" t="inlineStr">
        <is>
          <t>Operations</t>
        </is>
      </c>
      <c r="D199" s="419" t="inlineStr">
        <is>
          <t>Cost guardrails</t>
        </is>
      </c>
      <c r="E199" s="419" t="inlineStr">
        <is>
          <t>Project/account spending caps, anomaly detection and kill switches.</t>
        </is>
      </c>
      <c r="F199" s="419" t="inlineStr">
        <is>
          <t>P0</t>
        </is>
      </c>
      <c r="G199" s="419" t="n"/>
      <c r="H199" s="419" t="inlineStr">
        <is>
          <t>Not Started</t>
        </is>
      </c>
      <c r="I199" s="420" t="n">
        <v>0</v>
      </c>
      <c r="J199" s="419" t="n"/>
      <c r="K199" s="419" t="n"/>
      <c r="L199" s="419" t="n"/>
      <c r="M199" s="419" t="n"/>
    </row>
    <row r="200">
      <c r="A200" s="423" t="inlineStr">
        <is>
          <t>R-105</t>
        </is>
      </c>
      <c r="B200" s="423" t="inlineStr">
        <is>
          <t>PRODUCTION</t>
        </is>
      </c>
      <c r="C200" s="423" t="inlineStr">
        <is>
          <t>Quality</t>
        </is>
      </c>
      <c r="D200" s="423" t="inlineStr">
        <is>
          <t>Release qualification suite</t>
        </is>
      </c>
      <c r="E200" s="423" t="inlineStr">
        <is>
          <t>Full regression across supported stack versions before platform releases.</t>
        </is>
      </c>
      <c r="F200" s="423" t="inlineStr">
        <is>
          <t>P0</t>
        </is>
      </c>
      <c r="G200" s="423" t="n"/>
      <c r="H200" s="423" t="inlineStr">
        <is>
          <t>Not Started</t>
        </is>
      </c>
      <c r="I200" s="424" t="n">
        <v>0</v>
      </c>
      <c r="J200" s="423" t="n"/>
      <c r="K200" s="423" t="n"/>
      <c r="L200" s="423" t="n"/>
      <c r="M200" s="423" t="n"/>
    </row>
    <row r="201">
      <c r="A201" s="422" t="inlineStr">
        <is>
          <t>R-106</t>
        </is>
      </c>
      <c r="B201" s="422" t="inlineStr">
        <is>
          <t>PRODUCTION</t>
        </is>
      </c>
      <c r="C201" s="422" t="inlineStr">
        <is>
          <t>Quality</t>
        </is>
      </c>
      <c r="D201" s="422" t="inlineStr">
        <is>
          <t>Canary platform releases</t>
        </is>
      </c>
      <c r="E201" s="422" t="inlineStr">
        <is>
          <t>Gradual rollout with automatic rollback on health regression.</t>
        </is>
      </c>
      <c r="F201" s="422" t="inlineStr">
        <is>
          <t>P0</t>
        </is>
      </c>
      <c r="G201" s="422" t="n"/>
      <c r="H201" s="422" t="inlineStr">
        <is>
          <t>Not Started</t>
        </is>
      </c>
      <c r="I201" s="425" t="n">
        <v>0</v>
      </c>
      <c r="J201" s="422" t="n"/>
      <c r="K201" s="422" t="n"/>
      <c r="L201" s="422" t="n"/>
      <c r="M201" s="422" t="n"/>
    </row>
    <row r="202">
      <c r="A202" s="423" t="inlineStr">
        <is>
          <t>R-107</t>
        </is>
      </c>
      <c r="B202" s="423" t="inlineStr">
        <is>
          <t>PRODUCTION</t>
        </is>
      </c>
      <c r="C202" s="423" t="inlineStr">
        <is>
          <t>Support</t>
        </is>
      </c>
      <c r="D202" s="423" t="inlineStr">
        <is>
          <t>Support tooling</t>
        </is>
      </c>
      <c r="E202" s="423" t="inlineStr">
        <is>
          <t>Project-safe diagnostic bundles with secrets redacted.</t>
        </is>
      </c>
      <c r="F202" s="423" t="inlineStr">
        <is>
          <t>P0</t>
        </is>
      </c>
      <c r="G202" s="423" t="n"/>
      <c r="H202" s="423" t="inlineStr">
        <is>
          <t>Not Started</t>
        </is>
      </c>
      <c r="I202" s="424" t="n">
        <v>0</v>
      </c>
      <c r="J202" s="423" t="n"/>
      <c r="K202" s="423" t="n"/>
      <c r="L202" s="423" t="n"/>
      <c r="M202" s="423" t="n"/>
    </row>
    <row r="203">
      <c r="A203" s="422" t="inlineStr">
        <is>
          <t>R-108</t>
        </is>
      </c>
      <c r="B203" s="422" t="inlineStr">
        <is>
          <t>PRODUCTION</t>
        </is>
      </c>
      <c r="C203" s="422" t="inlineStr">
        <is>
          <t>Legal/Privacy</t>
        </is>
      </c>
      <c r="D203" s="422" t="inlineStr">
        <is>
          <t>Privacy + retention controls</t>
        </is>
      </c>
      <c r="E203" s="422" t="inlineStr">
        <is>
          <t>Deletion, export, retention, DPA and subprocessors documented.</t>
        </is>
      </c>
      <c r="F203" s="422" t="inlineStr">
        <is>
          <t>P0</t>
        </is>
      </c>
      <c r="G203" s="422" t="n"/>
      <c r="H203" s="422" t="inlineStr">
        <is>
          <t>Not Started</t>
        </is>
      </c>
      <c r="I203" s="425" t="n">
        <v>0</v>
      </c>
      <c r="J203" s="422" t="n"/>
      <c r="K203" s="422" t="n"/>
      <c r="L203" s="422" t="n"/>
      <c r="M203" s="422" t="n"/>
    </row>
    <row r="204">
      <c r="A204" s="423" t="inlineStr">
        <is>
          <t>R-109</t>
        </is>
      </c>
      <c r="B204" s="423" t="inlineStr">
        <is>
          <t>PRODUCTION</t>
        </is>
      </c>
      <c r="C204" s="423" t="inlineStr">
        <is>
          <t>Business</t>
        </is>
      </c>
      <c r="D204" s="423" t="inlineStr">
        <is>
          <t>Plan entitlements</t>
        </is>
      </c>
      <c r="E204" s="423" t="inlineStr">
        <is>
          <t>Feature/compute/model limits enforced consistently across plans.</t>
        </is>
      </c>
      <c r="F204" s="423" t="inlineStr">
        <is>
          <t>P0</t>
        </is>
      </c>
      <c r="G204" s="423" t="n"/>
      <c r="H204" s="423" t="inlineStr">
        <is>
          <t>Not Started</t>
        </is>
      </c>
      <c r="I204" s="424" t="n">
        <v>0</v>
      </c>
      <c r="J204" s="423" t="n"/>
      <c r="K204" s="423" t="n"/>
      <c r="L204" s="423" t="n"/>
      <c r="M204" s="423" t="n"/>
    </row>
    <row r="205">
      <c r="A205" s="422" t="inlineStr">
        <is>
          <t>R-110</t>
        </is>
      </c>
      <c r="B205" s="422" t="inlineStr">
        <is>
          <t>PRODUCTION</t>
        </is>
      </c>
      <c r="C205" s="422" t="inlineStr">
        <is>
          <t>Business</t>
        </is>
      </c>
      <c r="D205" s="422" t="inlineStr">
        <is>
          <t>Unit economics dashboard</t>
        </is>
      </c>
      <c r="E205" s="422" t="inlineStr">
        <is>
          <t>Gross margin by plan, task type, model and compute class.</t>
        </is>
      </c>
      <c r="F205" s="422" t="inlineStr">
        <is>
          <t>P0</t>
        </is>
      </c>
      <c r="G205" s="422" t="n"/>
      <c r="H205" s="422" t="inlineStr">
        <is>
          <t>Not Started</t>
        </is>
      </c>
      <c r="I205" s="425" t="n">
        <v>0</v>
      </c>
      <c r="J205" s="422" t="n"/>
      <c r="K205" s="422" t="n"/>
      <c r="L205" s="422" t="n"/>
      <c r="M205" s="422" t="n"/>
    </row>
    <row r="206">
      <c r="A206" s="423" t="inlineStr">
        <is>
          <t>R-111</t>
        </is>
      </c>
      <c r="B206" s="423" t="inlineStr">
        <is>
          <t>MVP</t>
        </is>
      </c>
      <c r="C206" s="423" t="inlineStr">
        <is>
          <t>Framework Strategy</t>
        </is>
      </c>
      <c r="D206" s="423" t="inlineStr">
        <is>
          <t>Cross-platform Mobile Agent</t>
        </is>
      </c>
      <c r="E206" s="423" t="inlineStr">
        <is>
          <t>Generate/modify Flutter or React Native based on selected target adapter; activate only the chosen framework.</t>
        </is>
      </c>
      <c r="F206" s="423" t="inlineStr">
        <is>
          <t>P0</t>
        </is>
      </c>
      <c r="G206" s="423" t="n"/>
      <c r="H206" s="423" t="inlineStr">
        <is>
          <t>Not Started</t>
        </is>
      </c>
      <c r="I206" s="424" t="n">
        <v>0</v>
      </c>
      <c r="J206" s="423" t="inlineStr">
        <is>
          <t>Application IR v1</t>
        </is>
      </c>
      <c r="K206" s="423" t="n"/>
      <c r="L206" s="423" t="n"/>
      <c r="M206" s="423" t="n"/>
    </row>
    <row r="207">
      <c r="A207" s="422" t="inlineStr">
        <is>
          <t>R-112</t>
        </is>
      </c>
      <c r="B207" s="422" t="inlineStr">
        <is>
          <t>MVP</t>
        </is>
      </c>
      <c r="C207" s="422" t="inlineStr">
        <is>
          <t>Framework Strategy</t>
        </is>
      </c>
      <c r="D207" s="422" t="inlineStr">
        <is>
          <t>Framework recommendation engine</t>
        </is>
      </c>
      <c r="E207" s="422" t="inlineStr">
        <is>
          <t>Score project requirements and recommend Flutter, React Native, Native, or Web/PWA; do not decide only by industry label.</t>
        </is>
      </c>
      <c r="F207" s="422" t="inlineStr">
        <is>
          <t>P0</t>
        </is>
      </c>
      <c r="G207" s="422" t="n"/>
      <c r="H207" s="422" t="inlineStr">
        <is>
          <t>Not Started</t>
        </is>
      </c>
      <c r="I207" s="425" t="n">
        <v>0</v>
      </c>
      <c r="J207" s="422" t="inlineStr">
        <is>
          <t>Requirement specification step</t>
        </is>
      </c>
      <c r="K207" s="422" t="n"/>
      <c r="L207" s="422" t="n"/>
      <c r="M207" s="422" t="n"/>
    </row>
    <row r="208">
      <c r="A208" s="423" t="inlineStr">
        <is>
          <t>R-113</t>
        </is>
      </c>
      <c r="B208" s="423" t="inlineStr">
        <is>
          <t>MVP</t>
        </is>
      </c>
      <c r="C208" s="423" t="inlineStr">
        <is>
          <t>Framework Strategy</t>
        </is>
      </c>
      <c r="D208" s="423" t="inlineStr">
        <is>
          <t>Auto / Recommended project mode</t>
        </is>
      </c>
      <c r="E208" s="423" t="inlineStr">
        <is>
          <t>Default create-project option selects the cheapest safe architecture and explains why.</t>
        </is>
      </c>
      <c r="F208" s="423" t="inlineStr">
        <is>
          <t>P0</t>
        </is>
      </c>
      <c r="G208" s="423" t="n"/>
      <c r="H208" s="423" t="inlineStr">
        <is>
          <t>Not Started</t>
        </is>
      </c>
      <c r="I208" s="424" t="n">
        <v>0</v>
      </c>
      <c r="J208" s="423" t="inlineStr">
        <is>
          <t>Framework recommendation engine</t>
        </is>
      </c>
      <c r="K208" s="423" t="n"/>
      <c r="L208" s="423" t="n"/>
      <c r="M208" s="423" t="n"/>
    </row>
    <row r="209">
      <c r="A209" s="422" t="inlineStr">
        <is>
          <t>R-114</t>
        </is>
      </c>
      <c r="B209" s="422" t="inlineStr">
        <is>
          <t>MVP</t>
        </is>
      </c>
      <c r="C209" s="422" t="inlineStr">
        <is>
          <t>Framework Strategy</t>
        </is>
      </c>
      <c r="D209" s="422" t="inlineStr">
        <is>
          <t>Manual framework override</t>
        </is>
      </c>
      <c r="E209" s="422" t="inlineStr">
        <is>
          <t>User can choose Flutter, React Native or Native even when recommendation differs; show cost/risk warning.</t>
        </is>
      </c>
      <c r="F209" s="422" t="inlineStr">
        <is>
          <t>P1</t>
        </is>
      </c>
      <c r="G209" s="422" t="n"/>
      <c r="H209" s="422" t="inlineStr">
        <is>
          <t>Not Started</t>
        </is>
      </c>
      <c r="I209" s="425" t="n">
        <v>0</v>
      </c>
      <c r="J209" s="422" t="inlineStr">
        <is>
          <t>Framework recommendation engine</t>
        </is>
      </c>
      <c r="K209" s="422" t="n"/>
      <c r="L209" s="422" t="n"/>
      <c r="M209" s="422" t="n"/>
    </row>
    <row r="210">
      <c r="A210" s="423" t="inlineStr">
        <is>
          <t>R-115</t>
        </is>
      </c>
      <c r="B210" s="423" t="inlineStr">
        <is>
          <t>MVP</t>
        </is>
      </c>
      <c r="C210" s="423" t="inlineStr">
        <is>
          <t>Architecture</t>
        </is>
      </c>
      <c r="D210" s="423" t="inlineStr">
        <is>
          <t>Framework adapter contract</t>
        </is>
      </c>
      <c r="E210" s="423" t="inlineStr">
        <is>
          <t>Application IR feeds framework-specific generators through a stable adapter interface so new targets do not change product intent.</t>
        </is>
      </c>
      <c r="F210" s="423" t="inlineStr">
        <is>
          <t>P0</t>
        </is>
      </c>
      <c r="G210" s="423" t="n"/>
      <c r="H210" s="423" t="inlineStr">
        <is>
          <t>Not Started</t>
        </is>
      </c>
      <c r="I210" s="424" t="n">
        <v>0</v>
      </c>
      <c r="J210" s="423" t="inlineStr">
        <is>
          <t>Application IR v1</t>
        </is>
      </c>
      <c r="K210" s="423" t="n"/>
      <c r="L210" s="423" t="n"/>
      <c r="M210" s="423" t="n"/>
    </row>
    <row r="211">
      <c r="A211" s="422" t="inlineStr">
        <is>
          <t>R-116</t>
        </is>
      </c>
      <c r="B211" s="422" t="inlineStr">
        <is>
          <t>MVP</t>
        </is>
      </c>
      <c r="C211" s="422" t="inlineStr">
        <is>
          <t>Architecture</t>
        </is>
      </c>
      <c r="D211" s="422" t="inlineStr">
        <is>
          <t>Shared-code policy</t>
        </is>
      </c>
      <c r="E211" s="422" t="inlineStr">
        <is>
          <t>Share contracts, schemas, design tokens, validation and business rules first; share UI/runtime code only when framework safely supports it.</t>
        </is>
      </c>
      <c r="F211" s="422" t="inlineStr">
        <is>
          <t>P0</t>
        </is>
      </c>
      <c r="G211" s="422" t="n"/>
      <c r="H211" s="422" t="inlineStr">
        <is>
          <t>Not Started</t>
        </is>
      </c>
      <c r="I211" s="425" t="n">
        <v>0</v>
      </c>
      <c r="J211" s="422" t="inlineStr">
        <is>
          <t>Framework adapter contract</t>
        </is>
      </c>
      <c r="K211" s="422" t="n"/>
      <c r="L211" s="422" t="n"/>
      <c r="M211" s="422" t="n"/>
    </row>
    <row r="212">
      <c r="A212" s="423" t="inlineStr">
        <is>
          <t>R-117</t>
        </is>
      </c>
      <c r="B212" s="423" t="inlineStr">
        <is>
          <t>MVP</t>
        </is>
      </c>
      <c r="C212" s="423" t="inlineStr">
        <is>
          <t>Web/Admin</t>
        </is>
      </c>
      <c r="D212" s="423" t="inlineStr">
        <is>
          <t>Next.js web + admin default</t>
        </is>
      </c>
      <c r="E212" s="423" t="inlineStr">
        <is>
          <t>Use Next.js/TypeScript for customer web and admin by default for SEO, desktop UX, accessibility and maintainability.</t>
        </is>
      </c>
      <c r="F212" s="423" t="inlineStr">
        <is>
          <t>P0</t>
        </is>
      </c>
      <c r="G212" s="423" t="n"/>
      <c r="H212" s="423" t="inlineStr">
        <is>
          <t>Not Started</t>
        </is>
      </c>
      <c r="I212" s="424" t="n">
        <v>0</v>
      </c>
      <c r="J212" s="423" t="inlineStr">
        <is>
          <t>Web/Admin Agent</t>
        </is>
      </c>
      <c r="K212" s="423" t="n"/>
      <c r="L212" s="423" t="n"/>
      <c r="M212" s="423" t="n"/>
    </row>
    <row r="213">
      <c r="A213" s="422" t="inlineStr">
        <is>
          <t>R-118</t>
        </is>
      </c>
      <c r="B213" s="422" t="inlineStr">
        <is>
          <t>MID</t>
        </is>
      </c>
      <c r="C213" s="422" t="inlineStr">
        <is>
          <t>Web/Admin</t>
        </is>
      </c>
      <c r="D213" s="422" t="inlineStr">
        <is>
          <t>Flutter Web optional profile</t>
        </is>
      </c>
      <c r="E213" s="422" t="inlineStr">
        <is>
          <t>Allow Flutter Web for app-like browser experiences when SEO/desktop constraints are acceptable; never force admin panel onto Flutter.</t>
        </is>
      </c>
      <c r="F213" s="422" t="inlineStr">
        <is>
          <t>P1</t>
        </is>
      </c>
      <c r="G213" s="422" t="n"/>
      <c r="H213" s="422" t="inlineStr">
        <is>
          <t>Not Started</t>
        </is>
      </c>
      <c r="I213" s="425" t="n">
        <v>0</v>
      </c>
      <c r="J213" s="422" t="inlineStr">
        <is>
          <t>Flutter target (GA baseline)</t>
        </is>
      </c>
      <c r="K213" s="422" t="n"/>
      <c r="L213" s="422" t="n"/>
      <c r="M213" s="422" t="n"/>
    </row>
    <row r="214">
      <c r="A214" s="423" t="inlineStr">
        <is>
          <t>R-119</t>
        </is>
      </c>
      <c r="B214" s="423" t="inlineStr">
        <is>
          <t>MID</t>
        </is>
      </c>
      <c r="C214" s="423" t="inlineStr">
        <is>
          <t>Web/Admin</t>
        </is>
      </c>
      <c r="D214" s="423" t="inlineStr">
        <is>
          <t>React Native Web optional profile</t>
        </is>
      </c>
      <c r="E214" s="423" t="inlineStr">
        <is>
          <t>Allow Expo Web/React Native Web for high code-sharing projects; Next.js remains preferred for SEO-heavy public web and complex admin.</t>
        </is>
      </c>
      <c r="F214" s="423" t="inlineStr">
        <is>
          <t>P1</t>
        </is>
      </c>
      <c r="G214" s="423" t="n"/>
      <c r="H214" s="423" t="inlineStr">
        <is>
          <t>Not Started</t>
        </is>
      </c>
      <c r="I214" s="424" t="n">
        <v>0</v>
      </c>
      <c r="J214" s="423" t="inlineStr">
        <is>
          <t>React Native target (GA/beta by team capacity)</t>
        </is>
      </c>
      <c r="K214" s="423" t="n"/>
      <c r="L214" s="423" t="n"/>
      <c r="M214" s="423" t="n"/>
    </row>
    <row r="215">
      <c r="A215" s="422" t="inlineStr">
        <is>
          <t>R-120</t>
        </is>
      </c>
      <c r="B215" s="422" t="inlineStr">
        <is>
          <t>MVP</t>
        </is>
      </c>
      <c r="C215" s="422" t="inlineStr">
        <is>
          <t>Framework Strategy</t>
        </is>
      </c>
      <c r="D215" s="422" t="inlineStr">
        <is>
          <t>Native recommendation profile</t>
        </is>
      </c>
      <c r="E215" s="422" t="inlineStr">
        <is>
          <t>Recommend Kotlin + Swift when deep platform APIs, hardware, background execution, performance, platform UX or compliance needs justify extra cost.</t>
        </is>
      </c>
      <c r="F215" s="422" t="inlineStr">
        <is>
          <t>P0</t>
        </is>
      </c>
      <c r="G215" s="422" t="n"/>
      <c r="H215" s="422" t="inlineStr">
        <is>
          <t>Not Started</t>
        </is>
      </c>
      <c r="I215" s="425" t="n">
        <v>0</v>
      </c>
      <c r="J215" s="422" t="inlineStr">
        <is>
          <t>Framework recommendation engine</t>
        </is>
      </c>
      <c r="K215" s="422" t="n"/>
      <c r="L215" s="422" t="n"/>
      <c r="M215" s="422" t="n"/>
    </row>
    <row r="216">
      <c r="A216" s="423" t="inlineStr">
        <is>
          <t>R-121</t>
        </is>
      </c>
      <c r="B216" s="423" t="inlineStr">
        <is>
          <t>MVP</t>
        </is>
      </c>
      <c r="C216" s="423" t="inlineStr">
        <is>
          <t>Git/Repository</t>
        </is>
      </c>
      <c r="D216" s="423" t="inlineStr">
        <is>
          <t>Platform modular monorepo</t>
        </is>
      </c>
      <c r="E216" s="423" t="inlineStr">
        <is>
          <t>Start our own platform in one modular Git monorepo: console, Go services, Python AI services, workers, contracts, infra and docs.</t>
        </is>
      </c>
      <c r="F216" s="423" t="inlineStr">
        <is>
          <t>P0</t>
        </is>
      </c>
      <c r="G216" s="423" t="n"/>
      <c r="H216" s="423" t="inlineStr">
        <is>
          <t>Not Started</t>
        </is>
      </c>
      <c r="I216" s="424" t="n">
        <v>0</v>
      </c>
      <c r="J216" s="423" t="inlineStr">
        <is>
          <t>Project + workspace model</t>
        </is>
      </c>
      <c r="K216" s="423" t="n"/>
      <c r="L216" s="423" t="n"/>
      <c r="M216" s="423" t="n"/>
    </row>
    <row r="217">
      <c r="A217" s="422" t="inlineStr">
        <is>
          <t>R-122</t>
        </is>
      </c>
      <c r="B217" s="422" t="inlineStr">
        <is>
          <t>MVP</t>
        </is>
      </c>
      <c r="C217" s="422" t="inlineStr">
        <is>
          <t>Git/Repository</t>
        </is>
      </c>
      <c r="D217" s="422" t="inlineStr">
        <is>
          <t>One Git repo per customer project</t>
        </is>
      </c>
      <c r="E217" s="422" t="inlineStr">
        <is>
          <t>Never mix multiple customer apps in one source repo. Each generated project receives its own repository and access boundary.</t>
        </is>
      </c>
      <c r="F217" s="422" t="inlineStr">
        <is>
          <t>P0</t>
        </is>
      </c>
      <c r="G217" s="422" t="n"/>
      <c r="H217" s="422" t="inlineStr">
        <is>
          <t>Not Started</t>
        </is>
      </c>
      <c r="I217" s="425" t="n">
        <v>0</v>
      </c>
      <c r="J217" s="422" t="inlineStr">
        <is>
          <t>Project + workspace model</t>
        </is>
      </c>
      <c r="K217" s="422" t="n"/>
      <c r="L217" s="422" t="n"/>
      <c r="M217" s="422" t="n"/>
    </row>
    <row r="218">
      <c r="A218" s="423" t="inlineStr">
        <is>
          <t>R-123</t>
        </is>
      </c>
      <c r="B218" s="423" t="inlineStr">
        <is>
          <t>MVP</t>
        </is>
      </c>
      <c r="C218" s="423" t="inlineStr">
        <is>
          <t>Git/Repository</t>
        </is>
      </c>
      <c r="D218" s="423" t="inlineStr">
        <is>
          <t>Customer project monorepo default</t>
        </is>
      </c>
      <c r="E218" s="423" t="inlineStr">
        <is>
          <t>Keep mobile, web, admin, backend, database, contracts, infra and tests together so AI changes can be atomic across the product.</t>
        </is>
      </c>
      <c r="F218" s="423" t="inlineStr">
        <is>
          <t>P0</t>
        </is>
      </c>
      <c r="G218" s="423" t="n"/>
      <c r="H218" s="423" t="inlineStr">
        <is>
          <t>Not Started</t>
        </is>
      </c>
      <c r="I218" s="424" t="n">
        <v>0</v>
      </c>
      <c r="J218" s="423" t="inlineStr">
        <is>
          <t>One Git repo per customer project</t>
        </is>
      </c>
      <c r="K218" s="423" t="n"/>
      <c r="L218" s="423" t="n"/>
      <c r="M218" s="423" t="n"/>
    </row>
    <row r="219">
      <c r="A219" s="422" t="inlineStr">
        <is>
          <t>R-124</t>
        </is>
      </c>
      <c r="B219" s="422" t="inlineStr">
        <is>
          <t>MVP</t>
        </is>
      </c>
      <c r="C219" s="422" t="inlineStr">
        <is>
          <t>Git/Repository</t>
        </is>
      </c>
      <c r="D219" s="422" t="inlineStr">
        <is>
          <t>Repository naming convention</t>
        </is>
      </c>
      <c r="E219" s="422" t="inlineStr">
        <is>
          <t>Default repo name: project-&lt;project-slug&gt;; allow workspace prefix and customer-owned Git organization.</t>
        </is>
      </c>
      <c r="F219" s="422" t="inlineStr">
        <is>
          <t>P1</t>
        </is>
      </c>
      <c r="G219" s="422" t="n"/>
      <c r="H219" s="422" t="inlineStr">
        <is>
          <t>Not Started</t>
        </is>
      </c>
      <c r="I219" s="425" t="n">
        <v>0</v>
      </c>
      <c r="J219" s="422" t="inlineStr">
        <is>
          <t>One Git repo per customer project</t>
        </is>
      </c>
      <c r="K219" s="422" t="n"/>
      <c r="L219" s="422" t="n"/>
      <c r="M219" s="422" t="n"/>
    </row>
    <row r="220">
      <c r="A220" s="423" t="inlineStr">
        <is>
          <t>R-125</t>
        </is>
      </c>
      <c r="B220" s="423" t="inlineStr">
        <is>
          <t>MVP</t>
        </is>
      </c>
      <c r="C220" s="423" t="inlineStr">
        <is>
          <t>Git/Repository</t>
        </is>
      </c>
      <c r="D220" s="423" t="inlineStr">
        <is>
          <t>Branch + PR naming convention</t>
        </is>
      </c>
      <c r="E220" s="423" t="inlineStr">
        <is>
          <t>Use short-lived ai/&lt;task-id&gt;-&lt;slug&gt; branches, protected main, task-linked commits and one reviewable PR/change set per AI task.</t>
        </is>
      </c>
      <c r="F220" s="423" t="inlineStr">
        <is>
          <t>P0</t>
        </is>
      </c>
      <c r="G220" s="423" t="n"/>
      <c r="H220" s="423" t="inlineStr">
        <is>
          <t>Not Started</t>
        </is>
      </c>
      <c r="I220" s="424" t="n">
        <v>0</v>
      </c>
      <c r="J220" s="423" t="inlineStr">
        <is>
          <t>Branch per task</t>
        </is>
      </c>
      <c r="K220" s="423" t="n"/>
      <c r="L220" s="423" t="n"/>
      <c r="M220" s="423" t="n"/>
    </row>
    <row r="221">
      <c r="A221" s="422" t="inlineStr">
        <is>
          <t>R-126</t>
        </is>
      </c>
      <c r="B221" s="422" t="inlineStr">
        <is>
          <t>MVP</t>
        </is>
      </c>
      <c r="C221" s="422" t="inlineStr">
        <is>
          <t>Product Foundation</t>
        </is>
      </c>
      <c r="D221" s="422" t="inlineStr">
        <is>
          <t>Organization &gt; Workspace &gt; Project &gt; Environment model</t>
        </is>
      </c>
      <c r="E221" s="422" t="inlineStr">
        <is>
          <t>Canonical hierarchy for tenancy, billing, permissions, repositories, targets and deployments.</t>
        </is>
      </c>
      <c r="F221" s="422" t="inlineStr">
        <is>
          <t>P0</t>
        </is>
      </c>
      <c r="G221" s="422" t="n"/>
      <c r="H221" s="422" t="inlineStr">
        <is>
          <t>Not Started</t>
        </is>
      </c>
      <c r="I221" s="425" t="n">
        <v>0</v>
      </c>
      <c r="J221" s="422" t="inlineStr">
        <is>
          <t>Project + workspace model</t>
        </is>
      </c>
      <c r="K221" s="422" t="n"/>
      <c r="L221" s="422" t="n"/>
      <c r="M221" s="422" t="n"/>
    </row>
    <row r="222">
      <c r="A222" s="423" t="inlineStr">
        <is>
          <t>R-127</t>
        </is>
      </c>
      <c r="B222" s="423" t="inlineStr">
        <is>
          <t>MVP</t>
        </is>
      </c>
      <c r="C222" s="423" t="inlineStr">
        <is>
          <t>Architecture</t>
        </is>
      </c>
      <c r="D222" s="423" t="inlineStr">
        <is>
          <t>Shared contracts package</t>
        </is>
      </c>
      <c r="E222" s="423" t="inlineStr">
        <is>
          <t>Generate OpenAPI/AsyncAPI/schema contracts and typed clients for Flutter/Dart, TypeScript, Kotlin and Swift as needed.</t>
        </is>
      </c>
      <c r="F222" s="423" t="inlineStr">
        <is>
          <t>P0</t>
        </is>
      </c>
      <c r="G222" s="423" t="n"/>
      <c r="H222" s="423" t="inlineStr">
        <is>
          <t>Not Started</t>
        </is>
      </c>
      <c r="I222" s="424" t="n">
        <v>0</v>
      </c>
      <c r="J222" s="423" t="inlineStr">
        <is>
          <t>Application IR v1</t>
        </is>
      </c>
      <c r="K222" s="423" t="n"/>
      <c r="L222" s="423" t="n"/>
      <c r="M222" s="423" t="n"/>
    </row>
    <row r="223">
      <c r="A223" s="422" t="inlineStr">
        <is>
          <t>R-128</t>
        </is>
      </c>
      <c r="B223" s="422" t="inlineStr">
        <is>
          <t>MVP</t>
        </is>
      </c>
      <c r="C223" s="422" t="inlineStr">
        <is>
          <t>Git/Repository</t>
        </is>
      </c>
      <c r="D223" s="422" t="inlineStr">
        <is>
          <t>Cross-language monorepo orchestration</t>
        </is>
      </c>
      <c r="E223" s="422" t="inlineStr">
        <is>
          <t>Use root Taskfile/Make; pnpm/Turborepo for TypeScript, Go workspaces for Go and uv/Poetry for Python; avoid Bazel until scale demands it.</t>
        </is>
      </c>
      <c r="F223" s="422" t="inlineStr">
        <is>
          <t>P1</t>
        </is>
      </c>
      <c r="G223" s="422" t="n"/>
      <c r="H223" s="422" t="inlineStr">
        <is>
          <t>Not Started</t>
        </is>
      </c>
      <c r="I223" s="425" t="n">
        <v>0</v>
      </c>
      <c r="J223" s="422" t="inlineStr">
        <is>
          <t>Platform modular monorepo</t>
        </is>
      </c>
      <c r="K223" s="422" t="n"/>
      <c r="L223" s="422" t="n"/>
      <c r="M223" s="422" t="n"/>
    </row>
    <row r="224">
      <c r="A224" s="446" t="inlineStr">
        <is>
          <t>R-129</t>
        </is>
      </c>
      <c r="B224" s="446" t="inlineStr">
        <is>
          <t>MID</t>
        </is>
      </c>
      <c r="C224" s="446" t="inlineStr">
        <is>
          <t>Git/Repository</t>
        </is>
      </c>
      <c r="D224" s="446" t="inlineStr">
        <is>
          <t>Repository split decision policy</t>
        </is>
      </c>
      <c r="E224" s="446" t="inlineStr">
        <is>
          <t>Split a customer monorepo only for independent teams, compliance boundaries, release cadence, access control or measured build/repo scale.</t>
        </is>
      </c>
      <c r="F224" s="446" t="inlineStr">
        <is>
          <t>P1</t>
        </is>
      </c>
      <c r="G224" s="446" t="n"/>
      <c r="H224" s="446" t="inlineStr">
        <is>
          <t>Not Started</t>
        </is>
      </c>
      <c r="I224" s="451" t="n">
        <v>0</v>
      </c>
      <c r="J224" s="446" t="inlineStr">
        <is>
          <t>Customer project monorepo default</t>
        </is>
      </c>
      <c r="K224" s="446" t="n"/>
      <c r="L224" s="446" t="n"/>
      <c r="M224" s="446" t="n"/>
    </row>
    <row r="225">
      <c r="A225" s="445" t="inlineStr">
        <is>
          <t>R-130</t>
        </is>
      </c>
      <c r="B225" s="445" t="inlineStr">
        <is>
          <t>ADVANCED</t>
        </is>
      </c>
      <c r="C225" s="445" t="inlineStr">
        <is>
          <t>Git/Repository</t>
        </is>
      </c>
      <c r="D225" s="445" t="inlineStr">
        <is>
          <t>Enterprise multi-repo support</t>
        </is>
      </c>
      <c r="E225" s="445" t="inlineStr">
        <is>
          <t>Support service-per-repo or domain repos while preserving IR, contracts and cross-repo change orchestration.</t>
        </is>
      </c>
      <c r="F225" s="445" t="inlineStr">
        <is>
          <t>P2</t>
        </is>
      </c>
      <c r="G225" s="445" t="n"/>
      <c r="H225" s="445" t="inlineStr">
        <is>
          <t>Not Started</t>
        </is>
      </c>
      <c r="I225" s="450" t="n">
        <v>0</v>
      </c>
      <c r="J225" s="445" t="inlineStr">
        <is>
          <t>Repository split decision policy</t>
        </is>
      </c>
      <c r="K225" s="445" t="n"/>
      <c r="L225" s="445" t="n"/>
      <c r="M225" s="445" t="n"/>
    </row>
    <row r="226">
      <c r="A226" s="446" t="inlineStr">
        <is>
          <t>R-131</t>
        </is>
      </c>
      <c r="B226" s="446" t="inlineStr">
        <is>
          <t>MID</t>
        </is>
      </c>
      <c r="C226" s="446" t="inlineStr">
        <is>
          <t>Git/Repository</t>
        </is>
      </c>
      <c r="D226" s="446" t="inlineStr">
        <is>
          <t>CODEOWNERS + protected paths</t>
        </is>
      </c>
      <c r="E226" s="446" t="inlineStr">
        <is>
          <t>Require human/security ownership for sensitive modules, production infra, auth, billing and signing workflows.</t>
        </is>
      </c>
      <c r="F226" s="446" t="inlineStr">
        <is>
          <t>P1</t>
        </is>
      </c>
      <c r="G226" s="446" t="n"/>
      <c r="H226" s="446" t="inlineStr">
        <is>
          <t>Not Started</t>
        </is>
      </c>
      <c r="I226" s="451" t="n">
        <v>0</v>
      </c>
      <c r="J226" s="446" t="inlineStr">
        <is>
          <t>Branch + PR naming convention</t>
        </is>
      </c>
      <c r="K226" s="446" t="n"/>
      <c r="L226" s="446" t="n"/>
      <c r="M226" s="446" t="n"/>
    </row>
    <row r="227">
      <c r="A227" s="445" t="inlineStr">
        <is>
          <t>R-132</t>
        </is>
      </c>
      <c r="B227" s="445" t="inlineStr">
        <is>
          <t>MVP</t>
        </is>
      </c>
      <c r="C227" s="445" t="inlineStr">
        <is>
          <t>Git/Repository</t>
        </is>
      </c>
      <c r="D227" s="445" t="inlineStr">
        <is>
          <t>Framework-specific repo templates</t>
        </is>
      </c>
      <c r="E227" s="445" t="inlineStr">
        <is>
          <t>Provide Flutter, React Native and Native directory templates behind the same canonical project structure.</t>
        </is>
      </c>
      <c r="F227" s="445" t="inlineStr">
        <is>
          <t>P0</t>
        </is>
      </c>
      <c r="G227" s="445" t="n"/>
      <c r="H227" s="445" t="inlineStr">
        <is>
          <t>Not Started</t>
        </is>
      </c>
      <c r="I227" s="450" t="n">
        <v>0</v>
      </c>
      <c r="J227" s="445" t="inlineStr">
        <is>
          <t>Framework adapter contract</t>
        </is>
      </c>
      <c r="K227" s="445" t="n"/>
      <c r="L227" s="445" t="n"/>
      <c r="M227" s="445" t="n"/>
    </row>
    <row r="228">
      <c r="A228" s="446" t="inlineStr">
        <is>
          <t>R-133</t>
        </is>
      </c>
      <c r="B228" s="446" t="inlineStr">
        <is>
          <t>MVP</t>
        </is>
      </c>
      <c r="C228" s="446" t="inlineStr">
        <is>
          <t>Change Safety</t>
        </is>
      </c>
      <c r="D228" s="446" t="inlineStr">
        <is>
          <t>Atomic cross-platform change set</t>
        </is>
      </c>
      <c r="E228" s="446" t="inlineStr">
        <is>
          <t>One task can update mobile + web + backend + schema + tests in one branch; merge only if all required target gates pass.</t>
        </is>
      </c>
      <c r="F228" s="446" t="inlineStr">
        <is>
          <t>P0</t>
        </is>
      </c>
      <c r="G228" s="446" t="n"/>
      <c r="H228" s="446" t="inlineStr">
        <is>
          <t>Not Started</t>
        </is>
      </c>
      <c r="I228" s="451" t="n">
        <v>0</v>
      </c>
      <c r="J228" s="446" t="inlineStr">
        <is>
          <t>Customer project monorepo default</t>
        </is>
      </c>
      <c r="K228" s="446" t="n"/>
      <c r="L228" s="446" t="n"/>
      <c r="M228" s="446" t="n"/>
    </row>
    <row r="229">
      <c r="A229" s="445" t="inlineStr">
        <is>
          <t>R-134</t>
        </is>
      </c>
      <c r="B229" s="445" t="inlineStr">
        <is>
          <t>MID</t>
        </is>
      </c>
      <c r="C229" s="445" t="inlineStr">
        <is>
          <t>Analytics</t>
        </is>
      </c>
      <c r="D229" s="445" t="inlineStr">
        <is>
          <t>Repository/build health metrics</t>
        </is>
      </c>
      <c r="E229" s="445" t="inlineStr">
        <is>
          <t>Track repo size, dependency graph growth, build duration, cache hit rate and split-repo trigger thresholds.</t>
        </is>
      </c>
      <c r="F229" s="445" t="inlineStr">
        <is>
          <t>P1</t>
        </is>
      </c>
      <c r="G229" s="445" t="n"/>
      <c r="H229" s="445" t="inlineStr">
        <is>
          <t>Not Started</t>
        </is>
      </c>
      <c r="I229" s="450" t="n">
        <v>0</v>
      </c>
      <c r="J229" s="445" t="inlineStr">
        <is>
          <t>Build artifact caching</t>
        </is>
      </c>
      <c r="K229" s="445" t="n"/>
      <c r="L229" s="445" t="n"/>
      <c r="M229" s="445" t="n"/>
    </row>
    <row r="230">
      <c r="A230" s="446" t="inlineStr">
        <is>
          <t>R-135</t>
        </is>
      </c>
      <c r="B230" s="446" t="inlineStr">
        <is>
          <t>MVP</t>
        </is>
      </c>
      <c r="C230" s="446" t="inlineStr">
        <is>
          <t>Framework Strategy</t>
        </is>
      </c>
      <c r="D230" s="446" t="inlineStr">
        <is>
          <t>Stack selection wizard</t>
        </is>
      </c>
      <c r="E230" s="446" t="inlineStr">
        <is>
          <t>Before generation, show Auto / Flutter / React Native / Native / Web-only options with simple reasons, cost class and limitations.</t>
        </is>
      </c>
      <c r="F230" s="446" t="inlineStr">
        <is>
          <t>P0</t>
        </is>
      </c>
      <c r="G230" s="446" t="n"/>
      <c r="H230" s="446" t="inlineStr">
        <is>
          <t>Not Started</t>
        </is>
      </c>
      <c r="I230" s="451" t="n">
        <v>0</v>
      </c>
      <c r="J230" s="446" t="inlineStr">
        <is>
          <t>Framework recommendation engine</t>
        </is>
      </c>
      <c r="K230" s="446" t="n"/>
      <c r="L230" s="446" t="n"/>
      <c r="M230" s="446" t="inlineStr">
        <is>
          <t>V3</t>
        </is>
      </c>
    </row>
    <row r="231">
      <c r="A231" s="445" t="inlineStr">
        <is>
          <t>R-136</t>
        </is>
      </c>
      <c r="B231" s="445" t="inlineStr">
        <is>
          <t>MVP</t>
        </is>
      </c>
      <c r="C231" s="445" t="inlineStr">
        <is>
          <t>Framework Strategy</t>
        </is>
      </c>
      <c r="D231" s="445" t="inlineStr">
        <is>
          <t>Recommendation score model</t>
        </is>
      </c>
      <c r="E231" s="445" t="inlineStr">
        <is>
          <t>Score budget, team skills, web reuse, native APIs, background work, performance, hardware and platform UX. Store score/reasons in IR.</t>
        </is>
      </c>
      <c r="F231" s="445" t="inlineStr">
        <is>
          <t>P0</t>
        </is>
      </c>
      <c r="G231" s="445" t="n"/>
      <c r="H231" s="445" t="inlineStr">
        <is>
          <t>Not Started</t>
        </is>
      </c>
      <c r="I231" s="450" t="n">
        <v>0</v>
      </c>
      <c r="J231" s="445" t="inlineStr">
        <is>
          <t>Stack selection wizard</t>
        </is>
      </c>
      <c r="K231" s="445" t="n"/>
      <c r="L231" s="445" t="n"/>
      <c r="M231" s="445" t="inlineStr">
        <is>
          <t>Do not choose by industry label alone.</t>
        </is>
      </c>
    </row>
    <row r="232">
      <c r="A232" s="446" t="inlineStr">
        <is>
          <t>R-137</t>
        </is>
      </c>
      <c r="B232" s="446" t="inlineStr">
        <is>
          <t>MVP</t>
        </is>
      </c>
      <c r="C232" s="446" t="inlineStr">
        <is>
          <t>Architecture</t>
        </is>
      </c>
      <c r="D232" s="446" t="inlineStr">
        <is>
          <t>Code sharing policy</t>
        </is>
      </c>
      <c r="E232" s="446" t="inlineStr">
        <is>
          <t>Share IR, contracts, tokens, localization, analytics and compatible domain packages; never force 100% runtime sharing.</t>
        </is>
      </c>
      <c r="F232" s="446" t="inlineStr">
        <is>
          <t>P0</t>
        </is>
      </c>
      <c r="G232" s="446" t="n"/>
      <c r="H232" s="446" t="inlineStr">
        <is>
          <t>Not Started</t>
        </is>
      </c>
      <c r="I232" s="451" t="n">
        <v>0</v>
      </c>
      <c r="J232" s="446" t="inlineStr">
        <is>
          <t>Application IR v1</t>
        </is>
      </c>
      <c r="K232" s="446" t="n"/>
      <c r="L232" s="446" t="n"/>
      <c r="M232" s="446" t="inlineStr">
        <is>
          <t>Prevents bad Flutter/RN Web/admin decisions.</t>
        </is>
      </c>
    </row>
    <row r="233">
      <c r="A233" s="445" t="inlineStr">
        <is>
          <t>R-138</t>
        </is>
      </c>
      <c r="B233" s="445" t="inlineStr">
        <is>
          <t>MVP</t>
        </is>
      </c>
      <c r="C233" s="445" t="inlineStr">
        <is>
          <t>Architecture</t>
        </is>
      </c>
      <c r="D233" s="445" t="inlineStr">
        <is>
          <t>Canonical generated project root</t>
        </is>
      </c>
      <c r="E233" s="445" t="inlineStr">
        <is>
          <t>Standard root: .ai/, apps/, services/, packages/, database/, infra/, tests/, docs/, scripts/.</t>
        </is>
      </c>
      <c r="F233" s="445" t="inlineStr">
        <is>
          <t>P0</t>
        </is>
      </c>
      <c r="G233" s="445" t="n"/>
      <c r="H233" s="445" t="inlineStr">
        <is>
          <t>Not Started</t>
        </is>
      </c>
      <c r="I233" s="450" t="n">
        <v>0</v>
      </c>
      <c r="J233" s="445" t="inlineStr">
        <is>
          <t>Customer project monorepo default</t>
        </is>
      </c>
      <c r="K233" s="445" t="n"/>
      <c r="L233" s="445" t="n"/>
      <c r="M233" s="445" t="inlineStr">
        <is>
          <t>Stable paths improve AI context and developer onboarding.</t>
        </is>
      </c>
    </row>
    <row r="234">
      <c r="A234" s="446" t="inlineStr">
        <is>
          <t>R-139</t>
        </is>
      </c>
      <c r="B234" s="446" t="inlineStr">
        <is>
          <t>MVP</t>
        </is>
      </c>
      <c r="C234" s="446" t="inlineStr">
        <is>
          <t>Developer Experience</t>
        </is>
      </c>
      <c r="D234" s="446" t="inlineStr">
        <is>
          <t>Root task commands</t>
        </is>
      </c>
      <c r="E234" s="446" t="inlineStr">
        <is>
          <t>Every project exposes bootstrap, lint, test, build, check, preview and ci through Taskfile/Make.</t>
        </is>
      </c>
      <c r="F234" s="446" t="inlineStr">
        <is>
          <t>P1</t>
        </is>
      </c>
      <c r="G234" s="446" t="n"/>
      <c r="H234" s="446" t="inlineStr">
        <is>
          <t>Not Started</t>
        </is>
      </c>
      <c r="I234" s="451" t="n">
        <v>0</v>
      </c>
      <c r="J234" s="446" t="inlineStr">
        <is>
          <t>Canonical generated project root</t>
        </is>
      </c>
      <c r="K234" s="446" t="n"/>
      <c r="L234" s="446" t="n"/>
      <c r="M234" s="446" t="inlineStr">
        <is>
          <t>Framework-independent agent commands.</t>
        </is>
      </c>
    </row>
    <row r="235">
      <c r="A235" s="445" t="inlineStr">
        <is>
          <t>R-140</t>
        </is>
      </c>
      <c r="B235" s="445" t="inlineStr">
        <is>
          <t>MVP</t>
        </is>
      </c>
      <c r="C235" s="445" t="inlineStr">
        <is>
          <t>Templates</t>
        </is>
      </c>
      <c r="D235" s="445" t="inlineStr">
        <is>
          <t>Flutter lean template</t>
        </is>
      </c>
      <c r="E235" s="445" t="inlineStr">
        <is>
          <t>Feature-first Flutter template with app/core/design_system/features/test; avoid unnecessary domain layers in simple apps.</t>
        </is>
      </c>
      <c r="F235" s="445" t="inlineStr">
        <is>
          <t>P0</t>
        </is>
      </c>
      <c r="G235" s="445" t="n"/>
      <c r="H235" s="445" t="inlineStr">
        <is>
          <t>Not Started</t>
        </is>
      </c>
      <c r="I235" s="450" t="n">
        <v>0</v>
      </c>
      <c r="J235" s="445" t="inlineStr">
        <is>
          <t>Framework-specific repo templates</t>
        </is>
      </c>
      <c r="K235" s="445" t="n"/>
      <c r="L235" s="445" t="n"/>
      <c r="M235" s="445" t="inlineStr">
        <is>
          <t>Stable target.</t>
        </is>
      </c>
    </row>
    <row r="236">
      <c r="A236" s="446" t="inlineStr">
        <is>
          <t>R-141</t>
        </is>
      </c>
      <c r="B236" s="446" t="inlineStr">
        <is>
          <t>MID</t>
        </is>
      </c>
      <c r="C236" s="446" t="inlineStr">
        <is>
          <t>Templates</t>
        </is>
      </c>
      <c r="D236" s="446" t="inlineStr">
        <is>
          <t>Flutter scaled template</t>
        </is>
      </c>
      <c r="E236" s="446" t="inlineStr">
        <is>
          <t>Scaled Flutter structure with stronger feature/domain boundaries and approved native adapters.</t>
        </is>
      </c>
      <c r="F236" s="446" t="inlineStr">
        <is>
          <t>P1</t>
        </is>
      </c>
      <c r="G236" s="446" t="n"/>
      <c r="H236" s="446" t="inlineStr">
        <is>
          <t>Not Started</t>
        </is>
      </c>
      <c r="I236" s="451" t="n">
        <v>0</v>
      </c>
      <c r="J236" s="446" t="inlineStr">
        <is>
          <t>Flutter lean template</t>
        </is>
      </c>
      <c r="K236" s="446" t="n"/>
      <c r="L236" s="446" t="n"/>
      <c r="M236" s="446" t="inlineStr">
        <is>
          <t>Use only when complexity warrants.</t>
        </is>
      </c>
    </row>
    <row r="237">
      <c r="A237" s="445" t="inlineStr">
        <is>
          <t>R-142</t>
        </is>
      </c>
      <c r="B237" s="445" t="inlineStr">
        <is>
          <t>MVP</t>
        </is>
      </c>
      <c r="C237" s="445" t="inlineStr">
        <is>
          <t>Templates</t>
        </is>
      </c>
      <c r="D237" s="445" t="inlineStr">
        <is>
          <t>React Native TypeScript template</t>
        </is>
      </c>
      <c r="E237" s="445" t="inlineStr">
        <is>
          <t>Feature-first RN template with app/features/shared/design-system and explicit native module boundaries.</t>
        </is>
      </c>
      <c r="F237" s="445" t="inlineStr">
        <is>
          <t>P0</t>
        </is>
      </c>
      <c r="G237" s="445" t="n"/>
      <c r="H237" s="445" t="inlineStr">
        <is>
          <t>Not Started</t>
        </is>
      </c>
      <c r="I237" s="450" t="n">
        <v>0</v>
      </c>
      <c r="J237" s="445" t="inlineStr">
        <is>
          <t>Framework-specific repo templates</t>
        </is>
      </c>
      <c r="K237" s="445" t="n"/>
      <c r="L237" s="445" t="n"/>
      <c r="M237" s="445" t="inlineStr">
        <is>
          <t>Expo profile when capabilities fit.</t>
        </is>
      </c>
    </row>
    <row r="238">
      <c r="A238" s="446" t="inlineStr">
        <is>
          <t>R-143</t>
        </is>
      </c>
      <c r="B238" s="446" t="inlineStr">
        <is>
          <t>MVP</t>
        </is>
      </c>
      <c r="C238" s="446" t="inlineStr">
        <is>
          <t>Templates</t>
        </is>
      </c>
      <c r="D238" s="446" t="inlineStr">
        <is>
          <t>React Native shared TS packages</t>
        </is>
      </c>
      <c r="E238" s="446" t="inlineStr">
        <is>
          <t>Root contracts/validation/api-client packages reusable by RN and Next.js where runtime compatibility is safe.</t>
        </is>
      </c>
      <c r="F238" s="446" t="inlineStr">
        <is>
          <t>P1</t>
        </is>
      </c>
      <c r="G238" s="446" t="n"/>
      <c r="H238" s="446" t="inlineStr">
        <is>
          <t>Not Started</t>
        </is>
      </c>
      <c r="I238" s="451" t="n">
        <v>0</v>
      </c>
      <c r="J238" s="446" t="inlineStr">
        <is>
          <t>Shared contracts package</t>
        </is>
      </c>
      <c r="K238" s="446" t="n"/>
      <c r="L238" s="446" t="n"/>
      <c r="M238" s="446" t="inlineStr">
        <is>
          <t>Do not share UI blindly.</t>
        </is>
      </c>
    </row>
    <row r="239">
      <c r="A239" s="445" t="inlineStr">
        <is>
          <t>R-144</t>
        </is>
      </c>
      <c r="B239" s="445" t="inlineStr">
        <is>
          <t>MVP</t>
        </is>
      </c>
      <c r="C239" s="445" t="inlineStr">
        <is>
          <t>Templates</t>
        </is>
      </c>
      <c r="D239" s="445" t="inlineStr">
        <is>
          <t>Native Android lean template</t>
        </is>
      </c>
      <c r="E239" s="445" t="inlineStr">
        <is>
          <t>Kotlin/Compose template with thin app + core infrastructure and feature-first structure; avoid over-modularization.</t>
        </is>
      </c>
      <c r="F239" s="445" t="inlineStr">
        <is>
          <t>P0</t>
        </is>
      </c>
      <c r="G239" s="445" t="n"/>
      <c r="H239" s="445" t="inlineStr">
        <is>
          <t>Not Started</t>
        </is>
      </c>
      <c r="I239" s="450" t="n">
        <v>0</v>
      </c>
      <c r="J239" s="445" t="inlineStr">
        <is>
          <t>Native Android Agent</t>
        </is>
      </c>
      <c r="K239" s="445" t="n"/>
      <c r="L239" s="445" t="n"/>
      <c r="M239" s="445" t="inlineStr">
        <is>
          <t>Native selectable beta.</t>
        </is>
      </c>
    </row>
    <row r="240">
      <c r="A240" s="446" t="inlineStr">
        <is>
          <t>R-145</t>
        </is>
      </c>
      <c r="B240" s="446" t="inlineStr">
        <is>
          <t>MID</t>
        </is>
      </c>
      <c r="C240" s="446" t="inlineStr">
        <is>
          <t>Templates</t>
        </is>
      </c>
      <c r="D240" s="446" t="inlineStr">
        <is>
          <t>Native Android scaled modules</t>
        </is>
      </c>
      <c r="E240" s="446" t="inlineStr">
        <is>
          <t>Add core/designsystem/network/database/testing + feature modules + Gradle convention plugins/version catalog when scale justifies.</t>
        </is>
      </c>
      <c r="F240" s="446" t="inlineStr">
        <is>
          <t>P1</t>
        </is>
      </c>
      <c r="G240" s="446" t="n"/>
      <c r="H240" s="446" t="inlineStr">
        <is>
          <t>Not Started</t>
        </is>
      </c>
      <c r="I240" s="451" t="n">
        <v>0</v>
      </c>
      <c r="J240" s="446" t="inlineStr">
        <is>
          <t>Native Android lean template</t>
        </is>
      </c>
      <c r="K240" s="446" t="n"/>
      <c r="L240" s="446" t="n"/>
      <c r="M240" s="446" t="inlineStr">
        <is>
          <t>Experienced team structure.</t>
        </is>
      </c>
    </row>
    <row r="241">
      <c r="A241" s="445" t="inlineStr">
        <is>
          <t>R-146</t>
        </is>
      </c>
      <c r="B241" s="445" t="inlineStr">
        <is>
          <t>MVP</t>
        </is>
      </c>
      <c r="C241" s="445" t="inlineStr">
        <is>
          <t>Templates</t>
        </is>
      </c>
      <c r="D241" s="445" t="inlineStr">
        <is>
          <t>Native iOS lean template</t>
        </is>
      </c>
      <c r="E241" s="445" t="inlineStr">
        <is>
          <t>SwiftUI template with App/Core/Features/Tests, async-await, Keychain, DI composition roots.</t>
        </is>
      </c>
      <c r="F241" s="445" t="inlineStr">
        <is>
          <t>P0</t>
        </is>
      </c>
      <c r="G241" s="445" t="n"/>
      <c r="H241" s="445" t="inlineStr">
        <is>
          <t>Not Started</t>
        </is>
      </c>
      <c r="I241" s="450" t="n">
        <v>0</v>
      </c>
      <c r="J241" s="445" t="inlineStr">
        <is>
          <t>Native iOS Agent</t>
        </is>
      </c>
      <c r="K241" s="445" t="n"/>
      <c r="L241" s="445" t="n"/>
      <c r="M241" s="445" t="inlineStr">
        <is>
          <t>Native selectable beta.</t>
        </is>
      </c>
    </row>
    <row r="242">
      <c r="A242" s="446" t="inlineStr">
        <is>
          <t>R-147</t>
        </is>
      </c>
      <c r="B242" s="446" t="inlineStr">
        <is>
          <t>MID</t>
        </is>
      </c>
      <c r="C242" s="446" t="inlineStr">
        <is>
          <t>Templates</t>
        </is>
      </c>
      <c r="D242" s="446" t="inlineStr">
        <is>
          <t>Native iOS scaled Swift Packages</t>
        </is>
      </c>
      <c r="E242" s="446" t="inlineStr">
        <is>
          <t>Move stable cores/features to local Swift Packages when build/team size benefits.</t>
        </is>
      </c>
      <c r="F242" s="446" t="inlineStr">
        <is>
          <t>P1</t>
        </is>
      </c>
      <c r="G242" s="446" t="n"/>
      <c r="H242" s="446" t="inlineStr">
        <is>
          <t>Not Started</t>
        </is>
      </c>
      <c r="I242" s="451" t="n">
        <v>0</v>
      </c>
      <c r="J242" s="446" t="inlineStr">
        <is>
          <t>Native iOS lean template</t>
        </is>
      </c>
      <c r="K242" s="446" t="n"/>
      <c r="L242" s="446" t="n"/>
      <c r="M242" s="446" t="inlineStr">
        <is>
          <t>Do not force Tuist/XcodeGen in earliest template.</t>
        </is>
      </c>
    </row>
    <row r="243">
      <c r="A243" s="445" t="inlineStr">
        <is>
          <t>R-148</t>
        </is>
      </c>
      <c r="B243" s="445" t="inlineStr">
        <is>
          <t>MVP</t>
        </is>
      </c>
      <c r="C243" s="445" t="inlineStr">
        <is>
          <t>Templates</t>
        </is>
      </c>
      <c r="D243" s="445" t="inlineStr">
        <is>
          <t>Next.js public web template</t>
        </is>
      </c>
      <c r="E243" s="445" t="inlineStr">
        <is>
          <t>App Router, feature-first, server/client boundaries, SEO/accessibility/performance gates.</t>
        </is>
      </c>
      <c r="F243" s="445" t="inlineStr">
        <is>
          <t>P0</t>
        </is>
      </c>
      <c r="G243" s="445" t="n"/>
      <c r="H243" s="445" t="inlineStr">
        <is>
          <t>Not Started</t>
        </is>
      </c>
      <c r="I243" s="450" t="n">
        <v>0</v>
      </c>
      <c r="J243" s="445" t="inlineStr">
        <is>
          <t>Next.js web + admin default</t>
        </is>
      </c>
      <c r="K243" s="445" t="n"/>
      <c r="L243" s="445" t="n"/>
      <c r="M243" s="445" t="inlineStr">
        <is>
          <t>Web optimized independently.</t>
        </is>
      </c>
    </row>
    <row r="244">
      <c r="A244" s="446" t="inlineStr">
        <is>
          <t>R-149</t>
        </is>
      </c>
      <c r="B244" s="446" t="inlineStr">
        <is>
          <t>MVP</t>
        </is>
      </c>
      <c r="C244" s="446" t="inlineStr">
        <is>
          <t>Templates</t>
        </is>
      </c>
      <c r="D244" s="446" t="inlineStr">
        <is>
          <t>Next.js admin template</t>
        </is>
      </c>
      <c r="E244" s="446" t="inlineStr">
        <is>
          <t>Desktop-first modules, RBAC/ABAC, audit trail, data grids, filters, confirmations and async exports.</t>
        </is>
      </c>
      <c r="F244" s="446" t="inlineStr">
        <is>
          <t>P0</t>
        </is>
      </c>
      <c r="G244" s="446" t="n"/>
      <c r="H244" s="446" t="inlineStr">
        <is>
          <t>Not Started</t>
        </is>
      </c>
      <c r="I244" s="451" t="n">
        <v>0</v>
      </c>
      <c r="J244" s="446" t="inlineStr">
        <is>
          <t>Next.js web + admin default</t>
        </is>
      </c>
      <c r="K244" s="446" t="n"/>
      <c r="L244" s="446" t="n"/>
      <c r="M244" s="446" t="inlineStr">
        <is>
          <t>Never force admin onto Flutter/RN Web.</t>
        </is>
      </c>
    </row>
    <row r="245">
      <c r="A245" s="445" t="inlineStr">
        <is>
          <t>R-150</t>
        </is>
      </c>
      <c r="B245" s="445" t="inlineStr">
        <is>
          <t>MVP</t>
        </is>
      </c>
      <c r="C245" s="445" t="inlineStr">
        <is>
          <t>Templates</t>
        </is>
      </c>
      <c r="D245" s="445" t="inlineStr">
        <is>
          <t>Go backend standard template</t>
        </is>
      </c>
      <c r="E245" s="445" t="inlineStr">
        <is>
          <t>Domain/application/adapters structure, explicit transactions, idempotency, timeouts and observability.</t>
        </is>
      </c>
      <c r="F245" s="445" t="inlineStr">
        <is>
          <t>P0</t>
        </is>
      </c>
      <c r="G245" s="445" t="n"/>
      <c r="H245" s="445" t="inlineStr">
        <is>
          <t>Not Started</t>
        </is>
      </c>
      <c r="I245" s="450" t="n">
        <v>0</v>
      </c>
      <c r="J245" s="445" t="inlineStr">
        <is>
          <t>Backend Agent</t>
        </is>
      </c>
      <c r="K245" s="445" t="n"/>
      <c r="L245" s="445" t="n"/>
      <c r="M245" s="445" t="inlineStr">
        <is>
          <t>Default backend profile.</t>
        </is>
      </c>
    </row>
    <row r="246">
      <c r="A246" s="446" t="inlineStr">
        <is>
          <t>R-151</t>
        </is>
      </c>
      <c r="B246" s="446" t="inlineStr">
        <is>
          <t>MVP</t>
        </is>
      </c>
      <c r="C246" s="446" t="inlineStr">
        <is>
          <t>Templates</t>
        </is>
      </c>
      <c r="D246" s="446" t="inlineStr">
        <is>
          <t>Python backend standard template</t>
        </is>
      </c>
      <c r="E246" s="446" t="inlineStr">
        <is>
          <t>Typed domain/application/infrastructure structure; thin routes; migration and async discipline.</t>
        </is>
      </c>
      <c r="F246" s="446" t="inlineStr">
        <is>
          <t>P0</t>
        </is>
      </c>
      <c r="G246" s="446" t="n"/>
      <c r="H246" s="446" t="inlineStr">
        <is>
          <t>Not Started</t>
        </is>
      </c>
      <c r="I246" s="451" t="n">
        <v>0</v>
      </c>
      <c r="J246" s="446" t="inlineStr">
        <is>
          <t>Backend Agent</t>
        </is>
      </c>
      <c r="K246" s="446" t="n"/>
      <c r="L246" s="446" t="n"/>
      <c r="M246" s="446" t="inlineStr">
        <is>
          <t>Alternative default backend profile.</t>
        </is>
      </c>
    </row>
    <row r="247">
      <c r="A247" s="445" t="inlineStr">
        <is>
          <t>R-152</t>
        </is>
      </c>
      <c r="B247" s="445" t="inlineStr">
        <is>
          <t>MVP</t>
        </is>
      </c>
      <c r="C247" s="445" t="inlineStr">
        <is>
          <t>Contracts</t>
        </is>
      </c>
      <c r="D247" s="445" t="inlineStr">
        <is>
          <t>Generated client matrix</t>
        </is>
      </c>
      <c r="E247" s="445" t="inlineStr">
        <is>
          <t>Generate Dart, TypeScript, Kotlin and Swift API clients only for selected targets; generated code is deterministic and not hand-edited.</t>
        </is>
      </c>
      <c r="F247" s="445" t="inlineStr">
        <is>
          <t>P0</t>
        </is>
      </c>
      <c r="G247" s="445" t="n"/>
      <c r="H247" s="445" t="inlineStr">
        <is>
          <t>Not Started</t>
        </is>
      </c>
      <c r="I247" s="450" t="n">
        <v>0</v>
      </c>
      <c r="J247" s="445" t="inlineStr">
        <is>
          <t>Shared contracts package</t>
        </is>
      </c>
      <c r="K247" s="445" t="n"/>
      <c r="L247" s="445" t="n"/>
      <c r="M247" s="445" t="inlineStr">
        <is>
          <t>Contract-first consistency.</t>
        </is>
      </c>
    </row>
    <row r="248">
      <c r="A248" s="446" t="inlineStr">
        <is>
          <t>R-153</t>
        </is>
      </c>
      <c r="B248" s="446" t="inlineStr">
        <is>
          <t>MVP</t>
        </is>
      </c>
      <c r="C248" s="446" t="inlineStr">
        <is>
          <t>Templates</t>
        </is>
      </c>
      <c r="D248" s="446" t="inlineStr">
        <is>
          <t>Template manifest + maturity</t>
        </is>
      </c>
      <c r="E248" s="446" t="inlineStr">
        <is>
          <t>Every template has ID, version, maturity, supported platforms and mandatory checks.</t>
        </is>
      </c>
      <c r="F248" s="446" t="inlineStr">
        <is>
          <t>P0</t>
        </is>
      </c>
      <c r="G248" s="446" t="n"/>
      <c r="H248" s="446" t="inlineStr">
        <is>
          <t>Not Started</t>
        </is>
      </c>
      <c r="I248" s="451" t="n">
        <v>0</v>
      </c>
      <c r="J248" s="446" t="inlineStr">
        <is>
          <t>Framework-specific repo templates</t>
        </is>
      </c>
      <c r="K248" s="446" t="n"/>
      <c r="L248" s="446" t="n"/>
      <c r="M248" s="446" t="inlineStr">
        <is>
          <t>Stable/Beta/Experimental visible to user.</t>
        </is>
      </c>
    </row>
    <row r="249">
      <c r="A249" s="445" t="inlineStr">
        <is>
          <t>R-154</t>
        </is>
      </c>
      <c r="B249" s="445" t="inlineStr">
        <is>
          <t>MVP</t>
        </is>
      </c>
      <c r="C249" s="445" t="inlineStr">
        <is>
          <t>Dependencies</t>
        </is>
      </c>
      <c r="D249" s="445" t="inlineStr">
        <is>
          <t>Approved dependency catalog</t>
        </is>
      </c>
      <c r="E249" s="445" t="inlineStr">
        <is>
          <t>Dependency additions pass license/security/maintenance policy; lockfiles committed.</t>
        </is>
      </c>
      <c r="F249" s="445" t="inlineStr">
        <is>
          <t>P0</t>
        </is>
      </c>
      <c r="G249" s="445" t="n"/>
      <c r="H249" s="445" t="inlineStr">
        <is>
          <t>Not Started</t>
        </is>
      </c>
      <c r="I249" s="450" t="n">
        <v>0</v>
      </c>
      <c r="J249" s="445" t="inlineStr">
        <is>
          <t>Template manifest + maturity</t>
        </is>
      </c>
      <c r="K249" s="445" t="n"/>
      <c r="L249" s="445" t="n"/>
      <c r="M249" s="445" t="inlineStr">
        <is>
          <t>Prevents dependency explosion.</t>
        </is>
      </c>
    </row>
    <row r="250">
      <c r="A250" s="446" t="inlineStr">
        <is>
          <t>R-155</t>
        </is>
      </c>
      <c r="B250" s="446" t="inlineStr">
        <is>
          <t>MVP</t>
        </is>
      </c>
      <c r="C250" s="446" t="inlineStr">
        <is>
          <t>Platform Architecture</t>
        </is>
      </c>
      <c r="D250" s="446" t="inlineStr">
        <is>
          <t>Go control plane modular monolith</t>
        </is>
      </c>
      <c r="E250" s="446" t="inlineStr">
        <is>
          <t>Keep auth/org/workspace/project/jobs/Git/usage/audit/basic billing in one Go service initially.</t>
        </is>
      </c>
      <c r="F250" s="446" t="inlineStr">
        <is>
          <t>P0</t>
        </is>
      </c>
      <c r="G250" s="446" t="n"/>
      <c r="H250" s="446" t="inlineStr">
        <is>
          <t>Not Started</t>
        </is>
      </c>
      <c r="I250" s="451" t="n">
        <v>0</v>
      </c>
      <c r="J250" s="446" t="inlineStr">
        <is>
          <t>Platform modular monorepo</t>
        </is>
      </c>
      <c r="K250" s="446" t="n"/>
      <c r="L250" s="446" t="n"/>
      <c r="M250" s="446" t="inlineStr">
        <is>
          <t>Avoid premature microservices.</t>
        </is>
      </c>
    </row>
    <row r="251">
      <c r="A251" s="445" t="inlineStr">
        <is>
          <t>R-156</t>
        </is>
      </c>
      <c r="B251" s="445" t="inlineStr">
        <is>
          <t>MVP</t>
        </is>
      </c>
      <c r="C251" s="445" t="inlineStr">
        <is>
          <t>Platform Architecture</t>
        </is>
      </c>
      <c r="D251" s="445" t="inlineStr">
        <is>
          <t>Python agent engine boundary</t>
        </is>
      </c>
      <c r="E251" s="445" t="inlineStr">
        <is>
          <t>Planning, model gateway, context/RAG, tools and evals live in a separate Python service.</t>
        </is>
      </c>
      <c r="F251" s="445" t="inlineStr">
        <is>
          <t>P0</t>
        </is>
      </c>
      <c r="G251" s="445" t="n"/>
      <c r="H251" s="445" t="inlineStr">
        <is>
          <t>Not Started</t>
        </is>
      </c>
      <c r="I251" s="450" t="n">
        <v>0</v>
      </c>
      <c r="J251" s="445" t="inlineStr">
        <is>
          <t>Model gateway</t>
        </is>
      </c>
      <c r="K251" s="445" t="n"/>
      <c r="L251" s="445" t="n"/>
      <c r="M251" s="445" t="inlineStr">
        <is>
          <t>Different ecosystem/iteration cadence.</t>
        </is>
      </c>
    </row>
    <row r="252">
      <c r="A252" s="446" t="inlineStr">
        <is>
          <t>R-157</t>
        </is>
      </c>
      <c r="B252" s="446" t="inlineStr">
        <is>
          <t>MVP</t>
        </is>
      </c>
      <c r="C252" s="446" t="inlineStr">
        <is>
          <t>Platform Architecture</t>
        </is>
      </c>
      <c r="D252" s="446" t="inlineStr">
        <is>
          <t>Runner manager boundary</t>
        </is>
      </c>
      <c r="E252" s="446" t="inlineStr">
        <is>
          <t>Go service schedules Linux/Android/Web/macOS jobs with quotas, timeouts and isolation.</t>
        </is>
      </c>
      <c r="F252" s="446" t="inlineStr">
        <is>
          <t>P0</t>
        </is>
      </c>
      <c r="G252" s="446" t="n"/>
      <c r="H252" s="446" t="inlineStr">
        <is>
          <t>Not Started</t>
        </is>
      </c>
      <c r="I252" s="451" t="n">
        <v>0</v>
      </c>
      <c r="J252" s="446" t="inlineStr">
        <is>
          <t>Ephemeral Linux sandbox</t>
        </is>
      </c>
      <c r="K252" s="446" t="n"/>
      <c r="L252" s="446" t="n"/>
      <c r="M252" s="446" t="inlineStr">
        <is>
          <t>Central execution control.</t>
        </is>
      </c>
    </row>
    <row r="253">
      <c r="A253" s="445" t="inlineStr">
        <is>
          <t>R-158</t>
        </is>
      </c>
      <c r="B253" s="445" t="inlineStr">
        <is>
          <t>MVP</t>
        </is>
      </c>
      <c r="C253" s="445" t="inlineStr">
        <is>
          <t>CI/CD</t>
        </is>
      </c>
      <c r="D253" s="445" t="inlineStr">
        <is>
          <t>Unified PR pipeline</t>
        </is>
      </c>
      <c r="E253" s="445" t="inlineStr">
        <is>
          <t>IR/policy -&gt; lint -&gt; static -&gt; tests -&gt; contract -&gt; affected builds -&gt; security -&gt; E2E/visual -&gt; AI review.</t>
        </is>
      </c>
      <c r="F253" s="445" t="inlineStr">
        <is>
          <t>P0</t>
        </is>
      </c>
      <c r="G253" s="445" t="n"/>
      <c r="H253" s="445" t="inlineStr">
        <is>
          <t>Not Started</t>
        </is>
      </c>
      <c r="I253" s="450" t="n">
        <v>0</v>
      </c>
      <c r="J253" s="445" t="inlineStr">
        <is>
          <t>Atomic cross-platform change set</t>
        </is>
      </c>
      <c r="K253" s="445" t="n"/>
      <c r="L253" s="445" t="n"/>
      <c r="M253" s="445" t="inlineStr">
        <is>
          <t>Real iOS compile uses macOS.</t>
        </is>
      </c>
    </row>
    <row r="254">
      <c r="A254" s="446" t="inlineStr">
        <is>
          <t>R-159</t>
        </is>
      </c>
      <c r="B254" s="446" t="inlineStr">
        <is>
          <t>MVP</t>
        </is>
      </c>
      <c r="C254" s="446" t="inlineStr">
        <is>
          <t>CI/CD</t>
        </is>
      </c>
      <c r="D254" s="446" t="inlineStr">
        <is>
          <t>Immutable build promotion</t>
        </is>
      </c>
      <c r="E254" s="446" t="inlineStr">
        <is>
          <t>Build artifact once after merge and promote through preview/staging/production instead of rebuilding per environment.</t>
        </is>
      </c>
      <c r="F254" s="446" t="inlineStr">
        <is>
          <t>P1</t>
        </is>
      </c>
      <c r="G254" s="446" t="n"/>
      <c r="H254" s="446" t="inlineStr">
        <is>
          <t>Not Started</t>
        </is>
      </c>
      <c r="I254" s="451" t="n">
        <v>0</v>
      </c>
      <c r="J254" s="446" t="inlineStr">
        <is>
          <t>Deployment Agent</t>
        </is>
      </c>
      <c r="K254" s="446" t="n"/>
      <c r="L254" s="446" t="n"/>
      <c r="M254" s="446" t="inlineStr">
        <is>
          <t>Reduces preview/production mismatch.</t>
        </is>
      </c>
    </row>
    <row r="255">
      <c r="A255" s="445" t="inlineStr">
        <is>
          <t>R-160</t>
        </is>
      </c>
      <c r="B255" s="445" t="inlineStr">
        <is>
          <t>MID</t>
        </is>
      </c>
      <c r="C255" s="445" t="inlineStr">
        <is>
          <t>Developer Experience</t>
        </is>
      </c>
      <c r="D255" s="445" t="inlineStr">
        <is>
          <t>Framework upgrade workflow</t>
        </is>
      </c>
      <c r="E255" s="445" t="inlineStr">
        <is>
          <t>Controlled template upgrade task with compatibility tests and ADR; agents cannot randomly switch state/DI/navigation/networking frameworks.</t>
        </is>
      </c>
      <c r="F255" s="445" t="inlineStr">
        <is>
          <t>P1</t>
        </is>
      </c>
      <c r="G255" s="445" t="n"/>
      <c r="H255" s="445" t="inlineStr">
        <is>
          <t>Not Started</t>
        </is>
      </c>
      <c r="I255" s="450" t="n">
        <v>0</v>
      </c>
      <c r="J255" s="445" t="inlineStr">
        <is>
          <t>Template manifest + maturity</t>
        </is>
      </c>
      <c r="K255" s="445" t="n"/>
      <c r="L255" s="445" t="n"/>
      <c r="M255" s="445" t="n"/>
    </row>
    <row r="256">
      <c r="A256" s="446" t="inlineStr">
        <is>
          <t>R-161</t>
        </is>
      </c>
      <c r="B256" s="446" t="inlineStr">
        <is>
          <t>MID</t>
        </is>
      </c>
      <c r="C256" s="446" t="inlineStr">
        <is>
          <t>Preview</t>
        </is>
      </c>
      <c r="D256" s="446" t="inlineStr">
        <is>
          <t>Local Mac Agent productized</t>
        </is>
      </c>
      <c r="E256" s="446" t="inlineStr">
        <is>
          <t>Optional signed Mac helper runs Xcode/simulator locally after explicit user permission; cloud Mac remains available.</t>
        </is>
      </c>
      <c r="F256" s="446" t="inlineStr">
        <is>
          <t>P1</t>
        </is>
      </c>
      <c r="G256" s="446" t="n"/>
      <c r="H256" s="446" t="inlineStr">
        <is>
          <t>Not Started</t>
        </is>
      </c>
      <c r="I256" s="451" t="n">
        <v>0</v>
      </c>
      <c r="J256" s="446" t="inlineStr">
        <is>
          <t>Local Mac Agent</t>
        </is>
      </c>
      <c r="K256" s="446" t="n"/>
      <c r="L256" s="446" t="n"/>
      <c r="M256" s="446" t="inlineStr">
        <is>
          <t>Reduces cloud Mac cost.</t>
        </is>
      </c>
    </row>
    <row r="257">
      <c r="A257" s="445" t="inlineStr">
        <is>
          <t>R-162</t>
        </is>
      </c>
      <c r="B257" s="445" t="inlineStr">
        <is>
          <t>MID</t>
        </is>
      </c>
      <c r="C257" s="445" t="inlineStr">
        <is>
          <t>Preview</t>
        </is>
      </c>
      <c r="D257" s="445" t="inlineStr">
        <is>
          <t>Interactive cloud simulator metering</t>
        </is>
      </c>
      <c r="E257" s="445" t="inlineStr">
        <is>
          <t>Cloud native iOS simulator sessions are explicit premium compute; browser preview stays included.</t>
        </is>
      </c>
      <c r="F257" s="445" t="inlineStr">
        <is>
          <t>P1</t>
        </is>
      </c>
      <c r="G257" s="445" t="n"/>
      <c r="H257" s="445" t="inlineStr">
        <is>
          <t>Not Started</t>
        </is>
      </c>
      <c r="I257" s="450" t="n">
        <v>0</v>
      </c>
      <c r="J257" s="445" t="inlineStr">
        <is>
          <t>Real iOS Simulator</t>
        </is>
      </c>
      <c r="K257" s="445" t="n"/>
      <c r="L257" s="445" t="n"/>
      <c r="M257" s="445" t="inlineStr">
        <is>
          <t>Separate verification build cost from interactive session cost.</t>
        </is>
      </c>
    </row>
    <row r="258">
      <c r="A258" s="446" t="inlineStr">
        <is>
          <t>R-163</t>
        </is>
      </c>
      <c r="B258" s="446" t="inlineStr">
        <is>
          <t>MID</t>
        </is>
      </c>
      <c r="C258" s="446" t="inlineStr">
        <is>
          <t>Framework Strategy</t>
        </is>
      </c>
      <c r="D258" s="446" t="inlineStr">
        <is>
          <t>Native module adapter path</t>
        </is>
      </c>
      <c r="E258" s="446" t="inlineStr">
        <is>
          <t>Before full migration, allow an approved small native module/plugin when one capability exceeds Flutter/RN limits.</t>
        </is>
      </c>
      <c r="F258" s="446" t="inlineStr">
        <is>
          <t>P1</t>
        </is>
      </c>
      <c r="G258" s="446" t="n"/>
      <c r="H258" s="446" t="inlineStr">
        <is>
          <t>Not Started</t>
        </is>
      </c>
      <c r="I258" s="451" t="n">
        <v>0</v>
      </c>
      <c r="J258" s="446" t="inlineStr">
        <is>
          <t>Framework adapter contract</t>
        </is>
      </c>
      <c r="K258" s="446" t="n"/>
      <c r="L258" s="446" t="n"/>
      <c r="M258" s="446" t="inlineStr">
        <is>
          <t>Measure before rewrite.</t>
        </is>
      </c>
    </row>
    <row r="259">
      <c r="A259" s="445" t="inlineStr">
        <is>
          <t>R-164</t>
        </is>
      </c>
      <c r="B259" s="445" t="inlineStr">
        <is>
          <t>MID</t>
        </is>
      </c>
      <c r="C259" s="445" t="inlineStr">
        <is>
          <t>Analytics</t>
        </is>
      </c>
      <c r="D259" s="445" t="inlineStr">
        <is>
          <t>Template/repo health dashboard</t>
        </is>
      </c>
      <c r="E259" s="445" t="inlineStr">
        <is>
          <t>Track template version, dependency drift, build duration, cache hit, repo size, module growth and native bridge count.</t>
        </is>
      </c>
      <c r="F259" s="445" t="inlineStr">
        <is>
          <t>P1</t>
        </is>
      </c>
      <c r="G259" s="445" t="n"/>
      <c r="H259" s="445" t="inlineStr">
        <is>
          <t>Not Started</t>
        </is>
      </c>
      <c r="I259" s="450" t="n">
        <v>0</v>
      </c>
      <c r="J259" s="445" t="inlineStr">
        <is>
          <t>Repository/build health metrics</t>
        </is>
      </c>
      <c r="K259" s="445" t="n"/>
      <c r="L259" s="445" t="n"/>
      <c r="M259" s="445" t="inlineStr">
        <is>
          <t>Use data to trigger architecture review.</t>
        </is>
      </c>
    </row>
    <row r="260">
      <c r="A260" s="482" t="inlineStr">
        <is>
          <t>R-165</t>
        </is>
      </c>
      <c r="B260" s="482" t="inlineStr">
        <is>
          <t>ADVANCED</t>
        </is>
      </c>
      <c r="C260" s="482" t="inlineStr">
        <is>
          <t>Migration</t>
        </is>
      </c>
      <c r="D260" s="482" t="inlineStr">
        <is>
          <t>Cross-platform to native migration engine</t>
        </is>
      </c>
      <c r="E260" s="482" t="inlineStr">
        <is>
          <t>Generate parallel native target from IR/contracts, parity-test it and migrate gradually when measured constraints justify.</t>
        </is>
      </c>
      <c r="F260" s="482" t="inlineStr">
        <is>
          <t>P1</t>
        </is>
      </c>
      <c r="G260" s="482" t="n"/>
      <c r="H260" s="482" t="inlineStr">
        <is>
          <t>Not Started</t>
        </is>
      </c>
      <c r="I260" s="483" t="n">
        <v>0</v>
      </c>
      <c r="J260" s="482" t="inlineStr">
        <is>
          <t>Native module adapter path</t>
        </is>
      </c>
      <c r="K260" s="482" t="n"/>
      <c r="L260" s="482" t="n"/>
      <c r="M260" s="482" t="inlineStr">
        <is>
          <t>Prevents framework lock-in.</t>
        </is>
      </c>
    </row>
    <row r="261">
      <c r="A261" s="482" t="inlineStr">
        <is>
          <t>R-166</t>
        </is>
      </c>
      <c r="B261" s="482" t="inlineStr">
        <is>
          <t>ADVANCED</t>
        </is>
      </c>
      <c r="C261" s="482" t="inlineStr">
        <is>
          <t>Git/Repository</t>
        </is>
      </c>
      <c r="D261" s="482" t="inlineStr">
        <is>
          <t>Cross-repo task coordinator</t>
        </is>
      </c>
      <c r="E261" s="482" t="inlineStr">
        <is>
          <t>For enterprise multi-repo, produce linked branches/PRs with shared task ID, contract version and merge ordering.</t>
        </is>
      </c>
      <c r="F261" s="482" t="inlineStr">
        <is>
          <t>P2</t>
        </is>
      </c>
      <c r="G261" s="482" t="n"/>
      <c r="H261" s="482" t="inlineStr">
        <is>
          <t>Not Started</t>
        </is>
      </c>
      <c r="I261" s="483" t="n">
        <v>0</v>
      </c>
      <c r="J261" s="482" t="inlineStr">
        <is>
          <t>Enterprise multi-repo support</t>
        </is>
      </c>
      <c r="K261" s="482" t="n"/>
      <c r="L261" s="482" t="n"/>
      <c r="M261" s="482" t="n"/>
    </row>
    <row r="262">
      <c r="A262" s="482" t="inlineStr">
        <is>
          <t>R-167</t>
        </is>
      </c>
      <c r="B262" s="482" t="inlineStr">
        <is>
          <t>ADVANCED</t>
        </is>
      </c>
      <c r="C262" s="482" t="inlineStr">
        <is>
          <t>Infrastructure</t>
        </is>
      </c>
      <c r="D262" s="482" t="inlineStr">
        <is>
          <t>BYOC / private runners</t>
        </is>
      </c>
      <c r="E262" s="482" t="inlineStr">
        <is>
          <t>Allow enterprise customers to execute builds/agents in approved customer cloud/VPC while platform keeps orchestration.</t>
        </is>
      </c>
      <c r="F262" s="482" t="inlineStr">
        <is>
          <t>P2</t>
        </is>
      </c>
      <c r="G262" s="482" t="n"/>
      <c r="H262" s="482" t="inlineStr">
        <is>
          <t>Not Started</t>
        </is>
      </c>
      <c r="I262" s="483" t="n">
        <v>0</v>
      </c>
      <c r="J262" s="482" t="inlineStr">
        <is>
          <t>Enterprise workload isolation</t>
        </is>
      </c>
      <c r="K262" s="482" t="n"/>
      <c r="L262" s="482" t="n"/>
      <c r="M262" s="482" t="n"/>
    </row>
    <row r="263">
      <c r="A263" s="482" t="inlineStr">
        <is>
          <t>R-168</t>
        </is>
      </c>
      <c r="B263" s="482" t="inlineStr">
        <is>
          <t>ADVANCED</t>
        </is>
      </c>
      <c r="C263" s="482" t="inlineStr">
        <is>
          <t>Testing</t>
        </is>
      </c>
      <c r="D263" s="482" t="inlineStr">
        <is>
          <t>Physical device cloud integration</t>
        </is>
      </c>
      <c r="E263" s="482" t="inlineStr">
        <is>
          <t>Run selected releases/tests on real iPhone/Android devices after emulator/simulator gates.</t>
        </is>
      </c>
      <c r="F263" s="482" t="inlineStr">
        <is>
          <t>P2</t>
        </is>
      </c>
      <c r="G263" s="482" t="n"/>
      <c r="H263" s="482" t="inlineStr">
        <is>
          <t>Not Started</t>
        </is>
      </c>
      <c r="I263" s="483" t="n">
        <v>0</v>
      </c>
      <c r="J263" s="482" t="inlineStr">
        <is>
          <t>Real iOS Simulator</t>
        </is>
      </c>
      <c r="K263" s="482" t="n"/>
      <c r="L263" s="482" t="n"/>
      <c r="M263" s="482" t="n"/>
    </row>
    <row r="264">
      <c r="A264" s="482" t="inlineStr">
        <is>
          <t>R-169</t>
        </is>
      </c>
      <c r="B264" s="482" t="inlineStr">
        <is>
          <t>PRODUCTION</t>
        </is>
      </c>
      <c r="C264" s="482" t="inlineStr">
        <is>
          <t>Templates</t>
        </is>
      </c>
      <c r="D264" s="482" t="inlineStr">
        <is>
          <t>Template support lifecycle</t>
        </is>
      </c>
      <c r="E264" s="482" t="inlineStr">
        <is>
          <t>Publish supported template versions, security patch policy, upgrade windows and deprecation/migration rules.</t>
        </is>
      </c>
      <c r="F264" s="482" t="inlineStr">
        <is>
          <t>P1</t>
        </is>
      </c>
      <c r="G264" s="482" t="n"/>
      <c r="H264" s="482" t="inlineStr">
        <is>
          <t>Not Started</t>
        </is>
      </c>
      <c r="I264" s="483" t="n">
        <v>0</v>
      </c>
      <c r="J264" s="482" t="inlineStr">
        <is>
          <t>Framework upgrade workflow</t>
        </is>
      </c>
      <c r="K264" s="482" t="n"/>
      <c r="L264" s="482" t="n"/>
      <c r="M264" s="482" t="n"/>
    </row>
    <row r="265">
      <c r="A265" s="482" t="inlineStr">
        <is>
          <t>R-170</t>
        </is>
      </c>
      <c r="B265" s="482" t="inlineStr">
        <is>
          <t>PRODUCTION</t>
        </is>
      </c>
      <c r="C265" s="482" t="inlineStr">
        <is>
          <t>Reliability</t>
        </is>
      </c>
      <c r="D265" s="482" t="inlineStr">
        <is>
          <t>Framework/toolchain production SLO</t>
        </is>
      </c>
      <c r="E265" s="482" t="inlineStr">
        <is>
          <t>Track build success and regression by Flutter/RN/Android/iOS/Web/backend template and block bad template releases.</t>
        </is>
      </c>
      <c r="F265" s="482" t="inlineStr">
        <is>
          <t>P0</t>
        </is>
      </c>
      <c r="G265" s="482" t="n"/>
      <c r="H265" s="482" t="inlineStr">
        <is>
          <t>Not Started</t>
        </is>
      </c>
      <c r="I265" s="483" t="n">
        <v>0</v>
      </c>
      <c r="J265" s="482" t="inlineStr">
        <is>
          <t>Template/repo health dashboard</t>
        </is>
      </c>
      <c r="K265" s="482" t="n"/>
      <c r="L265" s="482" t="n"/>
      <c r="M265" s="482" t="inlineStr">
        <is>
          <t>Production readiness is measured, not assumed.</t>
        </is>
      </c>
    </row>
    <row r="266">
      <c r="A266" s="482" t="inlineStr">
        <is>
          <t>R-171</t>
        </is>
      </c>
      <c r="B266" s="482" t="inlineStr">
        <is>
          <t>MVP</t>
        </is>
      </c>
      <c r="C266" s="482" t="inlineStr">
        <is>
          <t>Runtime</t>
        </is>
      </c>
      <c r="D266" s="482" t="inlineStr">
        <is>
          <t>SandboxProvider abstraction</t>
        </is>
      </c>
      <c r="E266" s="482" t="inlineStr">
        <is>
          <t>Define platform-owned execution interface for create/exec/files/ports/snapshot/artifacts/terminate.</t>
        </is>
      </c>
      <c r="F266" s="482" t="inlineStr">
        <is>
          <t>P0</t>
        </is>
      </c>
      <c r="G266" s="482" t="n"/>
      <c r="H266" s="482" t="inlineStr">
        <is>
          <t>Not Started</t>
        </is>
      </c>
      <c r="I266" s="483" t="n">
        <v>0</v>
      </c>
      <c r="J266" s="482" t="inlineStr">
        <is>
          <t>Ephemeral Linux sandbox</t>
        </is>
      </c>
      <c r="K266" s="482" t="n"/>
      <c r="L266" s="482" t="n"/>
      <c r="M266" s="482" t="inlineStr">
        <is>
          <t>No agent-to-vendor SDK coupling.</t>
        </is>
      </c>
    </row>
    <row r="267">
      <c r="A267" s="482" t="inlineStr">
        <is>
          <t>R-172</t>
        </is>
      </c>
      <c r="B267" s="482" t="inlineStr">
        <is>
          <t>MVP</t>
        </is>
      </c>
      <c r="C267" s="482" t="inlineStr">
        <is>
          <t>Runtime</t>
        </is>
      </c>
      <c r="D267" s="482" t="inlineStr">
        <is>
          <t>Managed Linux sandbox adapter</t>
        </is>
      </c>
      <c r="E267" s="482" t="inlineStr">
        <is>
          <t>Implement first real Linux sandbox provider behind SandboxProvider.</t>
        </is>
      </c>
      <c r="F267" s="482" t="inlineStr">
        <is>
          <t>P0</t>
        </is>
      </c>
      <c r="G267" s="482" t="n"/>
      <c r="H267" s="482" t="inlineStr">
        <is>
          <t>Not Started</t>
        </is>
      </c>
      <c r="I267" s="483" t="n">
        <v>0</v>
      </c>
      <c r="J267" s="482" t="inlineStr">
        <is>
          <t>SandboxProvider abstraction</t>
        </is>
      </c>
      <c r="K267" s="482" t="n"/>
      <c r="L267" s="482" t="n"/>
      <c r="M267" s="482" t="inlineStr">
        <is>
          <t>Benchmark E2B/Daytona/equivalent.</t>
        </is>
      </c>
    </row>
    <row r="268">
      <c r="A268" s="482" t="inlineStr">
        <is>
          <t>R-173</t>
        </is>
      </c>
      <c r="B268" s="482" t="inlineStr">
        <is>
          <t>MVP</t>
        </is>
      </c>
      <c r="C268" s="482" t="inlineStr">
        <is>
          <t>Runtime</t>
        </is>
      </c>
      <c r="D268" s="482" t="inlineStr">
        <is>
          <t>Capability resolver</t>
        </is>
      </c>
      <c r="E268" s="482" t="inlineStr">
        <is>
          <t>Choose Browser/Linux/macOS/local runtime from task capability, trust and cost.</t>
        </is>
      </c>
      <c r="F268" s="482" t="inlineStr">
        <is>
          <t>P0</t>
        </is>
      </c>
      <c r="G268" s="482" t="n"/>
      <c r="H268" s="482" t="inlineStr">
        <is>
          <t>Not Started</t>
        </is>
      </c>
      <c r="I268" s="483" t="n">
        <v>0</v>
      </c>
      <c r="J268" s="482" t="inlineStr">
        <is>
          <t>SandboxProvider abstraction</t>
        </is>
      </c>
      <c r="K268" s="482" t="n"/>
      <c r="L268" s="482" t="n"/>
      <c r="M268" s="482" t="inlineStr">
        <is>
          <t>Cheapest safe runtime wins.</t>
        </is>
      </c>
    </row>
    <row r="269">
      <c r="A269" s="482" t="inlineStr">
        <is>
          <t>R-174</t>
        </is>
      </c>
      <c r="B269" s="482" t="inlineStr">
        <is>
          <t>MVP</t>
        </is>
      </c>
      <c r="C269" s="482" t="inlineStr">
        <is>
          <t>Runtime</t>
        </is>
      </c>
      <c r="D269" s="482" t="inlineStr">
        <is>
          <t>Browser runtime PoC</t>
        </is>
      </c>
      <c r="E269" s="482" t="inlineStr">
        <is>
          <t>Use WebContainer/WASM-style runtime only for eligible JS/TS/Node preview/tasks.</t>
        </is>
      </c>
      <c r="F269" s="482" t="inlineStr">
        <is>
          <t>P1</t>
        </is>
      </c>
      <c r="G269" s="482" t="n"/>
      <c r="H269" s="482" t="inlineStr">
        <is>
          <t>Not Started</t>
        </is>
      </c>
      <c r="I269" s="483" t="n">
        <v>0</v>
      </c>
      <c r="J269" s="482" t="inlineStr">
        <is>
          <t>Capability resolver</t>
        </is>
      </c>
      <c r="K269" s="482" t="n"/>
      <c r="L269" s="482" t="n"/>
      <c r="M269" s="482" t="inlineStr">
        <is>
          <t>Not universal sandbox.</t>
        </is>
      </c>
    </row>
    <row r="270">
      <c r="A270" s="482" t="inlineStr">
        <is>
          <t>R-175</t>
        </is>
      </c>
      <c r="B270" s="482" t="inlineStr">
        <is>
          <t>MVP</t>
        </is>
      </c>
      <c r="C270" s="482" t="inlineStr">
        <is>
          <t>Runtime</t>
        </is>
      </c>
      <c r="D270" s="482" t="inlineStr">
        <is>
          <t>Runtime quotas and metering</t>
        </is>
      </c>
      <c r="E270" s="482" t="inlineStr">
        <is>
          <t>CPU/RAM/disk/network/time/cost limits per workspace and task.</t>
        </is>
      </c>
      <c r="F270" s="482" t="inlineStr">
        <is>
          <t>P0</t>
        </is>
      </c>
      <c r="G270" s="482" t="n"/>
      <c r="H270" s="482" t="inlineStr">
        <is>
          <t>Not Started</t>
        </is>
      </c>
      <c r="I270" s="483" t="n">
        <v>0</v>
      </c>
      <c r="J270" s="482" t="inlineStr">
        <is>
          <t>Managed Linux sandbox adapter</t>
        </is>
      </c>
      <c r="K270" s="482" t="n"/>
      <c r="L270" s="482" t="n"/>
      <c r="M270" s="482" t="inlineStr">
        <is>
          <t>Required for cost and abuse control.</t>
        </is>
      </c>
    </row>
    <row r="271">
      <c r="A271" s="482" t="inlineStr">
        <is>
          <t>R-176</t>
        </is>
      </c>
      <c r="B271" s="482" t="inlineStr">
        <is>
          <t>MVP</t>
        </is>
      </c>
      <c r="C271" s="482" t="inlineStr">
        <is>
          <t>Agents</t>
        </is>
      </c>
      <c r="D271" s="482" t="inlineStr">
        <is>
          <t>Durable run state machine</t>
        </is>
      </c>
      <c r="E271" s="482" t="inlineStr">
        <is>
          <t>Persist task lifecycle from CREATED through planning/execution/verification/merge/deploy.</t>
        </is>
      </c>
      <c r="F271" s="482" t="inlineStr">
        <is>
          <t>P0</t>
        </is>
      </c>
      <c r="G271" s="482" t="n"/>
      <c r="H271" s="482" t="inlineStr">
        <is>
          <t>Not Started</t>
        </is>
      </c>
      <c r="I271" s="483" t="n">
        <v>0</v>
      </c>
      <c r="J271" s="482" t="inlineStr">
        <is>
          <t>Supervisor / orchestrator</t>
        </is>
      </c>
      <c r="K271" s="482" t="n"/>
      <c r="L271" s="482" t="n"/>
      <c r="M271" s="482" t="inlineStr">
        <is>
          <t>Platform-owned state schema.</t>
        </is>
      </c>
    </row>
    <row r="272">
      <c r="A272" s="482" t="inlineStr">
        <is>
          <t>R-177</t>
        </is>
      </c>
      <c r="B272" s="482" t="inlineStr">
        <is>
          <t>MVP</t>
        </is>
      </c>
      <c r="C272" s="482" t="inlineStr">
        <is>
          <t>Agents</t>
        </is>
      </c>
      <c r="D272" s="482" t="inlineStr">
        <is>
          <t>Checkpoint and resume</t>
        </is>
      </c>
      <c r="E272" s="482" t="inlineStr">
        <is>
          <t>Resume long tasks from last verified checkpoint after refresh/crash/provider failure.</t>
        </is>
      </c>
      <c r="F272" s="482" t="inlineStr">
        <is>
          <t>P0</t>
        </is>
      </c>
      <c r="G272" s="482" t="n"/>
      <c r="H272" s="482" t="inlineStr">
        <is>
          <t>Not Started</t>
        </is>
      </c>
      <c r="I272" s="483" t="n">
        <v>0</v>
      </c>
      <c r="J272" s="482" t="inlineStr">
        <is>
          <t>Durable run state machine</t>
        </is>
      </c>
      <c r="K272" s="482" t="n"/>
      <c r="L272" s="482" t="n"/>
      <c r="M272" s="482" t="inlineStr">
        <is>
          <t>No full restart by default.</t>
        </is>
      </c>
    </row>
    <row r="273">
      <c r="A273" s="482" t="inlineStr">
        <is>
          <t>R-178</t>
        </is>
      </c>
      <c r="B273" s="482" t="inlineStr">
        <is>
          <t>MVP</t>
        </is>
      </c>
      <c r="C273" s="482" t="inlineStr">
        <is>
          <t>Agents</t>
        </is>
      </c>
      <c r="D273" s="482" t="inlineStr">
        <is>
          <t>Tool idempotency keys</t>
        </is>
      </c>
      <c r="E273" s="482" t="inlineStr">
        <is>
          <t>Every side-effecting tool step carries run/task/step IDs and idempotency key.</t>
        </is>
      </c>
      <c r="F273" s="482" t="inlineStr">
        <is>
          <t>P0</t>
        </is>
      </c>
      <c r="G273" s="482" t="n"/>
      <c r="H273" s="482" t="inlineStr">
        <is>
          <t>Not Started</t>
        </is>
      </c>
      <c r="I273" s="483" t="n">
        <v>0</v>
      </c>
      <c r="J273" s="482" t="inlineStr">
        <is>
          <t>Checkpoint and resume</t>
        </is>
      </c>
      <c r="K273" s="482" t="n"/>
      <c r="L273" s="482" t="n"/>
      <c r="M273" s="482" t="inlineStr">
        <is>
          <t>Prevent duplicate side effects.</t>
        </is>
      </c>
    </row>
    <row r="274">
      <c r="A274" s="482" t="inlineStr">
        <is>
          <t>R-179</t>
        </is>
      </c>
      <c r="B274" s="482" t="inlineStr">
        <is>
          <t>MVP</t>
        </is>
      </c>
      <c r="C274" s="482" t="inlineStr">
        <is>
          <t>Observability</t>
        </is>
      </c>
      <c r="D274" s="482" t="inlineStr">
        <is>
          <t>Agent event ledger</t>
        </is>
      </c>
      <c r="E274" s="482" t="inlineStr">
        <is>
          <t>Persist ordered agent/tool/build/test/approval events; large artifacts in object storage.</t>
        </is>
      </c>
      <c r="F274" s="482" t="inlineStr">
        <is>
          <t>P0</t>
        </is>
      </c>
      <c r="G274" s="482" t="n"/>
      <c r="H274" s="482" t="inlineStr">
        <is>
          <t>Not Started</t>
        </is>
      </c>
      <c r="I274" s="483" t="n">
        <v>0</v>
      </c>
      <c r="J274" s="482" t="inlineStr">
        <is>
          <t>Durable run state machine</t>
        </is>
      </c>
      <c r="K274" s="482" t="n"/>
      <c r="L274" s="482" t="n"/>
      <c r="M274" s="482" t="inlineStr">
        <is>
          <t>Supports replay, audit and debugging.</t>
        </is>
      </c>
    </row>
    <row r="275">
      <c r="A275" s="482" t="inlineStr">
        <is>
          <t>R-180</t>
        </is>
      </c>
      <c r="B275" s="482" t="inlineStr">
        <is>
          <t>MVP</t>
        </is>
      </c>
      <c r="C275" s="482" t="inlineStr">
        <is>
          <t>Agents</t>
        </is>
      </c>
      <c r="D275" s="482" t="inlineStr">
        <is>
          <t>Orchestrator Adapter</t>
        </is>
      </c>
      <c r="E275" s="482" t="inlineStr">
        <is>
          <t>Hide LangGraph/CrewAI/other orchestration frameworks behind platform-owned interface.</t>
        </is>
      </c>
      <c r="F275" s="482" t="inlineStr">
        <is>
          <t>P0</t>
        </is>
      </c>
      <c r="G275" s="482" t="n"/>
      <c r="H275" s="482" t="inlineStr">
        <is>
          <t>Not Started</t>
        </is>
      </c>
      <c r="I275" s="483" t="n">
        <v>0</v>
      </c>
      <c r="J275" s="482" t="inlineStr">
        <is>
          <t>Durable run state machine</t>
        </is>
      </c>
      <c r="K275" s="482" t="n"/>
      <c r="L275" s="482" t="n"/>
      <c r="M275" s="482" t="inlineStr">
        <is>
          <t>LangGraph may be first implementation.</t>
        </is>
      </c>
    </row>
    <row r="276">
      <c r="A276" s="482" t="inlineStr">
        <is>
          <t>R-181</t>
        </is>
      </c>
      <c r="B276" s="482" t="inlineStr">
        <is>
          <t>MVP</t>
        </is>
      </c>
      <c r="C276" s="482" t="inlineStr">
        <is>
          <t>Realtime</t>
        </is>
      </c>
      <c r="D276" s="482" t="inlineStr">
        <is>
          <t>Platform event protocol</t>
        </is>
      </c>
      <c r="E276" s="482" t="inlineStr">
        <is>
          <t>Normalize agent/model/tool progress into a stable event envelope.</t>
        </is>
      </c>
      <c r="F276" s="482" t="inlineStr">
        <is>
          <t>P0</t>
        </is>
      </c>
      <c r="G276" s="482" t="n"/>
      <c r="H276" s="482" t="inlineStr">
        <is>
          <t>Not Started</t>
        </is>
      </c>
      <c r="I276" s="483" t="n">
        <v>0</v>
      </c>
      <c r="J276" s="482" t="inlineStr">
        <is>
          <t>Agent event ledger</t>
        </is>
      </c>
      <c r="K276" s="482" t="n"/>
      <c r="L276" s="482" t="n"/>
      <c r="M276" s="482" t="inlineStr">
        <is>
          <t>Frontend never parses provider-specific streams.</t>
        </is>
      </c>
    </row>
    <row r="277">
      <c r="A277" s="482" t="inlineStr">
        <is>
          <t>R-182</t>
        </is>
      </c>
      <c r="B277" s="482" t="inlineStr">
        <is>
          <t>MVP</t>
        </is>
      </c>
      <c r="C277" s="482" t="inlineStr">
        <is>
          <t>Realtime</t>
        </is>
      </c>
      <c r="D277" s="482" t="inlineStr">
        <is>
          <t>WebSocket reconnect and replay</t>
        </is>
      </c>
      <c r="E277" s="482" t="inlineStr">
        <is>
          <t>Bidirectional agent sessions with sequence replay after reconnect.</t>
        </is>
      </c>
      <c r="F277" s="482" t="inlineStr">
        <is>
          <t>P0</t>
        </is>
      </c>
      <c r="G277" s="482" t="n"/>
      <c r="H277" s="482" t="inlineStr">
        <is>
          <t>Not Started</t>
        </is>
      </c>
      <c r="I277" s="483" t="n">
        <v>0</v>
      </c>
      <c r="J277" s="482" t="inlineStr">
        <is>
          <t>Platform event protocol</t>
        </is>
      </c>
      <c r="K277" s="482" t="n"/>
      <c r="L277" s="482" t="n"/>
      <c r="M277" s="482" t="inlineStr">
        <is>
          <t>SSE allowed for simple one-way streams.</t>
        </is>
      </c>
    </row>
    <row r="278">
      <c r="A278" s="482" t="inlineStr">
        <is>
          <t>R-183</t>
        </is>
      </c>
      <c r="B278" s="482" t="inlineStr">
        <is>
          <t>MVP</t>
        </is>
      </c>
      <c r="C278" s="482" t="inlineStr">
        <is>
          <t>Approvals</t>
        </is>
      </c>
      <c r="D278" s="482" t="inlineStr">
        <is>
          <t>Risk classification L0-L4</t>
        </is>
      </c>
      <c r="E278" s="482" t="inlineStr">
        <is>
          <t>Classify actions from read-only to critical enterprise side effects.</t>
        </is>
      </c>
      <c r="F278" s="482" t="inlineStr">
        <is>
          <t>P0</t>
        </is>
      </c>
      <c r="G278" s="482" t="n"/>
      <c r="H278" s="482" t="inlineStr">
        <is>
          <t>Not Started</t>
        </is>
      </c>
      <c r="I278" s="483" t="n">
        <v>0</v>
      </c>
      <c r="J278" s="482" t="inlineStr">
        <is>
          <t>Agent permission model</t>
        </is>
      </c>
      <c r="K278" s="482" t="n"/>
      <c r="L278" s="482" t="n"/>
      <c r="M278" s="482" t="inlineStr">
        <is>
          <t>Approval based on risk.</t>
        </is>
      </c>
    </row>
    <row r="279">
      <c r="A279" s="482" t="inlineStr">
        <is>
          <t>R-184</t>
        </is>
      </c>
      <c r="B279" s="482" t="inlineStr">
        <is>
          <t>MVP</t>
        </is>
      </c>
      <c r="C279" s="482" t="inlineStr">
        <is>
          <t>Approvals</t>
        </is>
      </c>
      <c r="D279" s="482" t="inlineStr">
        <is>
          <t>Approval object and immutable audit</t>
        </is>
      </c>
      <c r="E279" s="482" t="inlineStr">
        <is>
          <t>Store action, risk, environment, scope, cost, rollback, approver and expiry.</t>
        </is>
      </c>
      <c r="F279" s="482" t="inlineStr">
        <is>
          <t>P0</t>
        </is>
      </c>
      <c r="G279" s="482" t="n"/>
      <c r="H279" s="482" t="inlineStr">
        <is>
          <t>Not Started</t>
        </is>
      </c>
      <c r="I279" s="483" t="n">
        <v>0</v>
      </c>
      <c r="J279" s="482" t="inlineStr">
        <is>
          <t>Risk classification L0-L4</t>
        </is>
      </c>
      <c r="K279" s="482" t="n"/>
      <c r="L279" s="482" t="n"/>
      <c r="M279" s="482" t="inlineStr">
        <is>
          <t>Production/destructive actions auditable.</t>
        </is>
      </c>
    </row>
    <row r="280">
      <c r="A280" s="482" t="inlineStr">
        <is>
          <t>R-185</t>
        </is>
      </c>
      <c r="B280" s="482" t="inlineStr">
        <is>
          <t>MVP</t>
        </is>
      </c>
      <c r="C280" s="482" t="inlineStr">
        <is>
          <t>Tools</t>
        </is>
      </c>
      <c r="D280" s="482" t="inlineStr">
        <is>
          <t>First-party Tool Registry</t>
        </is>
      </c>
      <c r="E280" s="482" t="inlineStr">
        <is>
          <t>Central registry for tool identity, schema, permissions, risk, secrets, limits and audit.</t>
        </is>
      </c>
      <c r="F280" s="482" t="inlineStr">
        <is>
          <t>P0</t>
        </is>
      </c>
      <c r="G280" s="482" t="n"/>
      <c r="H280" s="482" t="inlineStr">
        <is>
          <t>Not Started</t>
        </is>
      </c>
      <c r="I280" s="483" t="n">
        <v>0</v>
      </c>
      <c r="J280" s="482" t="inlineStr">
        <is>
          <t>Agent permission model</t>
        </is>
      </c>
      <c r="K280" s="482" t="n"/>
      <c r="L280" s="482" t="n"/>
      <c r="M280" s="482" t="inlineStr">
        <is>
          <t>Deny by default.</t>
        </is>
      </c>
    </row>
    <row r="281">
      <c r="A281" s="482" t="inlineStr">
        <is>
          <t>R-186</t>
        </is>
      </c>
      <c r="B281" s="482" t="inlineStr">
        <is>
          <t>MVP</t>
        </is>
      </c>
      <c r="C281" s="482" t="inlineStr">
        <is>
          <t>Tools</t>
        </is>
      </c>
      <c r="D281" s="482" t="inlineStr">
        <is>
          <t>MCP Gateway foundation</t>
        </is>
      </c>
      <c r="E281" s="482" t="inlineStr">
        <is>
          <t>All MCP traffic passes through Tool Registry/policy; unverified servers disabled by default.</t>
        </is>
      </c>
      <c r="F281" s="482" t="inlineStr">
        <is>
          <t>P1</t>
        </is>
      </c>
      <c r="G281" s="482" t="n"/>
      <c r="H281" s="482" t="inlineStr">
        <is>
          <t>Not Started</t>
        </is>
      </c>
      <c r="I281" s="483" t="n">
        <v>0</v>
      </c>
      <c r="J281" s="482" t="inlineStr">
        <is>
          <t>First-party Tool Registry</t>
        </is>
      </c>
      <c r="K281" s="482" t="n"/>
      <c r="L281" s="482" t="n"/>
      <c r="M281" s="482" t="inlineStr">
        <is>
          <t>No arbitrary agent-to-MCP connections.</t>
        </is>
      </c>
    </row>
    <row r="282">
      <c r="A282" s="482" t="inlineStr">
        <is>
          <t>R-187</t>
        </is>
      </c>
      <c r="B282" s="482" t="inlineStr">
        <is>
          <t>MVP</t>
        </is>
      </c>
      <c r="C282" s="482" t="inlineStr">
        <is>
          <t>Tools</t>
        </is>
      </c>
      <c r="D282" s="482" t="inlineStr">
        <is>
          <t>Tool secret broker</t>
        </is>
      </c>
      <c r="E282" s="482" t="inlineStr">
        <is>
          <t>Provide short-lived scoped credentials to tools without placing raw secrets in prompts.</t>
        </is>
      </c>
      <c r="F282" s="482" t="inlineStr">
        <is>
          <t>P0</t>
        </is>
      </c>
      <c r="G282" s="482" t="n"/>
      <c r="H282" s="482" t="inlineStr">
        <is>
          <t>Not Started</t>
        </is>
      </c>
      <c r="I282" s="483" t="n">
        <v>0</v>
      </c>
      <c r="J282" s="482" t="inlineStr">
        <is>
          <t>First-party Tool Registry</t>
        </is>
      </c>
      <c r="K282" s="482" t="n"/>
      <c r="L282" s="482" t="n"/>
      <c r="M282" s="482" t="inlineStr">
        <is>
          <t>Audit every secret grant.</t>
        </is>
      </c>
    </row>
    <row r="283">
      <c r="A283" s="482" t="inlineStr">
        <is>
          <t>R-188</t>
        </is>
      </c>
      <c r="B283" s="482" t="inlineStr">
        <is>
          <t>MVP</t>
        </is>
      </c>
      <c r="C283" s="482" t="inlineStr">
        <is>
          <t>Backend Strategy</t>
        </is>
      </c>
      <c r="D283" s="482" t="inlineStr">
        <is>
          <t>Rapid BaaS profile design</t>
        </is>
      </c>
      <c r="E283" s="482" t="inlineStr">
        <is>
          <t>Define optional Supabase/Firebase-style generated backend for suitable small/medium apps.</t>
        </is>
      </c>
      <c r="F283" s="482" t="inlineStr">
        <is>
          <t>P1</t>
        </is>
      </c>
      <c r="G283" s="482" t="n"/>
      <c r="H283" s="482" t="inlineStr">
        <is>
          <t>Not Started</t>
        </is>
      </c>
      <c r="I283" s="483" t="n">
        <v>0</v>
      </c>
      <c r="J283" s="482" t="inlineStr">
        <is>
          <t>Application IR v1</t>
        </is>
      </c>
      <c r="K283" s="482" t="n"/>
      <c r="L283" s="482" t="n"/>
      <c r="M283" s="482" t="inlineStr">
        <is>
          <t>Not platform core.</t>
        </is>
      </c>
    </row>
    <row r="284">
      <c r="A284" s="482" t="inlineStr">
        <is>
          <t>R-189</t>
        </is>
      </c>
      <c r="B284" s="482" t="inlineStr">
        <is>
          <t>MVP</t>
        </is>
      </c>
      <c r="C284" s="482" t="inlineStr">
        <is>
          <t>Architecture</t>
        </is>
      </c>
      <c r="D284" s="482" t="inlineStr">
        <is>
          <t>Build-vs-Buy benchmark process</t>
        </is>
      </c>
      <c r="E284" s="482" t="inlineStr">
        <is>
          <t>Benchmark major providers/frameworks before adoption and record evidence in ADR.</t>
        </is>
      </c>
      <c r="F284" s="482" t="inlineStr">
        <is>
          <t>P0</t>
        </is>
      </c>
      <c r="G284" s="482" t="n"/>
      <c r="H284" s="482" t="inlineStr">
        <is>
          <t>Not Started</t>
        </is>
      </c>
      <c r="I284" s="483" t="n">
        <v>0</v>
      </c>
      <c r="J284" s="482" t="inlineStr">
        <is>
          <t>Architecture decision records</t>
        </is>
      </c>
      <c r="K284" s="482" t="n"/>
      <c r="L284" s="482" t="n"/>
      <c r="M284" s="482" t="inlineStr">
        <is>
          <t>References inform; benchmarks decide.</t>
        </is>
      </c>
    </row>
    <row r="285">
      <c r="A285" s="482" t="inlineStr">
        <is>
          <t>R-190</t>
        </is>
      </c>
      <c r="B285" s="482" t="inlineStr">
        <is>
          <t>MVP</t>
        </is>
      </c>
      <c r="C285" s="482" t="inlineStr">
        <is>
          <t>Governance</t>
        </is>
      </c>
      <c r="D285" s="482" t="inlineStr">
        <is>
          <t>Open-source license review</t>
        </is>
      </c>
      <c r="E285" s="482" t="inlineStr">
        <is>
          <t>Track repo/commit/license before reuse; require legal approval for source reuse.</t>
        </is>
      </c>
      <c r="F285" s="482" t="inlineStr">
        <is>
          <t>P0</t>
        </is>
      </c>
      <c r="G285" s="482" t="n"/>
      <c r="H285" s="482" t="inlineStr">
        <is>
          <t>Not Started</t>
        </is>
      </c>
      <c r="I285" s="483" t="n">
        <v>0</v>
      </c>
      <c r="J285" s="482" t="inlineStr">
        <is>
          <t>Build-vs-Buy benchmark process</t>
        </is>
      </c>
      <c r="K285" s="482" t="n"/>
      <c r="L285" s="482" t="n"/>
      <c r="M285" s="482" t="inlineStr">
        <is>
          <t>Architectural learning != code copying.</t>
        </is>
      </c>
    </row>
    <row r="286">
      <c r="A286" s="482" t="inlineStr">
        <is>
          <t>R-191</t>
        </is>
      </c>
      <c r="B286" s="482" t="inlineStr">
        <is>
          <t>MVP</t>
        </is>
      </c>
      <c r="C286" s="482" t="inlineStr">
        <is>
          <t>Team</t>
        </is>
      </c>
      <c r="D286" s="482" t="inlineStr">
        <is>
          <t>Shared engineering glossary</t>
        </is>
      </c>
      <c r="E286" s="482" t="inlineStr">
        <is>
          <t>Publish common definitions for agent/tool/sandbox/MCP/HITL/checkpoint/BYOC/BaaS/ADR.</t>
        </is>
      </c>
      <c r="F286" s="482" t="inlineStr">
        <is>
          <t>P2</t>
        </is>
      </c>
      <c r="G286" s="482" t="n"/>
      <c r="H286" s="482" t="inlineStr">
        <is>
          <t>Not Started</t>
        </is>
      </c>
      <c r="I286" s="483" t="n">
        <v>0</v>
      </c>
      <c r="J286" s="482" t="n"/>
      <c r="K286" s="482" t="n"/>
      <c r="L286" s="482" t="n"/>
      <c r="M286" s="482" t="inlineStr">
        <is>
          <t>Use in docs and AI prompts.</t>
        </is>
      </c>
    </row>
    <row r="287">
      <c r="A287" s="482" t="inlineStr">
        <is>
          <t>R-192</t>
        </is>
      </c>
      <c r="B287" s="482" t="inlineStr">
        <is>
          <t>MID</t>
        </is>
      </c>
      <c r="C287" s="482" t="inlineStr">
        <is>
          <t>Tools</t>
        </is>
      </c>
      <c r="D287" s="482" t="inlineStr">
        <is>
          <t>Verified MCP install flow</t>
        </is>
      </c>
      <c r="E287" s="482" t="inlineStr">
        <is>
          <t>Install verified third-party MCP servers with consent, version identity and scopes.</t>
        </is>
      </c>
      <c r="F287" s="482" t="inlineStr">
        <is>
          <t>P1</t>
        </is>
      </c>
      <c r="G287" s="482" t="n"/>
      <c r="H287" s="482" t="inlineStr">
        <is>
          <t>Not Started</t>
        </is>
      </c>
      <c r="I287" s="483" t="n">
        <v>0</v>
      </c>
      <c r="J287" s="482" t="inlineStr">
        <is>
          <t>MCP Gateway foundation</t>
        </is>
      </c>
      <c r="K287" s="482" t="n"/>
      <c r="L287" s="482" t="n"/>
      <c r="M287" s="482" t="inlineStr">
        <is>
          <t>Marketplace later.</t>
        </is>
      </c>
    </row>
    <row r="288">
      <c r="A288" s="482" t="inlineStr">
        <is>
          <t>R-193</t>
        </is>
      </c>
      <c r="B288" s="482" t="inlineStr">
        <is>
          <t>MID</t>
        </is>
      </c>
      <c r="C288" s="482" t="inlineStr">
        <is>
          <t>Execution</t>
        </is>
      </c>
      <c r="D288" s="482" t="inlineStr">
        <is>
          <t>Cross-platform Local Agent</t>
        </is>
      </c>
      <c r="E288" s="482" t="inlineStr">
        <is>
          <t>Signed local agent for Mac/Windows/Linux with explicit workspace grants.</t>
        </is>
      </c>
      <c r="F288" s="482" t="inlineStr">
        <is>
          <t>P1</t>
        </is>
      </c>
      <c r="G288" s="482" t="n"/>
      <c r="H288" s="482" t="inlineStr">
        <is>
          <t>Not Started</t>
        </is>
      </c>
      <c r="I288" s="483" t="n">
        <v>0</v>
      </c>
      <c r="J288" s="482" t="inlineStr">
        <is>
          <t>Local Mac Agent productized</t>
        </is>
      </c>
      <c r="K288" s="482" t="n"/>
      <c r="L288" s="482" t="n"/>
      <c r="M288" s="482" t="inlineStr">
        <is>
          <t>Extends local mode beyond Mac.</t>
        </is>
      </c>
    </row>
    <row r="289">
      <c r="A289" s="482" t="inlineStr">
        <is>
          <t>R-194</t>
        </is>
      </c>
      <c r="B289" s="482" t="inlineStr">
        <is>
          <t>MID</t>
        </is>
      </c>
      <c r="C289" s="482" t="inlineStr">
        <is>
          <t>Execution</t>
        </is>
      </c>
      <c r="D289" s="482" t="inlineStr">
        <is>
          <t>Hybrid BYOK/local mode</t>
        </is>
      </c>
      <c r="E289" s="482" t="inlineStr">
        <is>
          <t>Allow customer model key and selected local execution while preserving central policy.</t>
        </is>
      </c>
      <c r="F289" s="482" t="inlineStr">
        <is>
          <t>P1</t>
        </is>
      </c>
      <c r="G289" s="482" t="n"/>
      <c r="H289" s="482" t="inlineStr">
        <is>
          <t>Not Started</t>
        </is>
      </c>
      <c r="I289" s="483" t="n">
        <v>0</v>
      </c>
      <c r="J289" s="482" t="inlineStr">
        <is>
          <t>Cross-platform Local Agent</t>
        </is>
      </c>
      <c r="K289" s="482" t="n"/>
      <c r="L289" s="482" t="n"/>
      <c r="M289" s="482" t="inlineStr">
        <is>
          <t>Privacy + cost option.</t>
        </is>
      </c>
    </row>
    <row r="290">
      <c r="A290" s="482" t="inlineStr">
        <is>
          <t>R-195</t>
        </is>
      </c>
      <c r="B290" s="482" t="inlineStr">
        <is>
          <t>MID</t>
        </is>
      </c>
      <c r="C290" s="482" t="inlineStr">
        <is>
          <t>Runtime</t>
        </is>
      </c>
      <c r="D290" s="482" t="inlineStr">
        <is>
          <t>Second sandbox provider adapter</t>
        </is>
      </c>
      <c r="E290" s="482" t="inlineStr">
        <is>
          <t>Add alternate managed sandbox and provider health abstraction.</t>
        </is>
      </c>
      <c r="F290" s="482" t="inlineStr">
        <is>
          <t>P1</t>
        </is>
      </c>
      <c r="G290" s="482" t="n"/>
      <c r="H290" s="482" t="inlineStr">
        <is>
          <t>Not Started</t>
        </is>
      </c>
      <c r="I290" s="483" t="n">
        <v>0</v>
      </c>
      <c r="J290" s="482" t="inlineStr">
        <is>
          <t>Managed Linux sandbox adapter</t>
        </is>
      </c>
      <c r="K290" s="482" t="n"/>
      <c r="L290" s="482" t="n"/>
      <c r="M290" s="482" t="inlineStr">
        <is>
          <t>Validate portability/failover.</t>
        </is>
      </c>
    </row>
    <row r="291">
      <c r="A291" s="482" t="inlineStr">
        <is>
          <t>R-196</t>
        </is>
      </c>
      <c r="B291" s="482" t="inlineStr">
        <is>
          <t>MID</t>
        </is>
      </c>
      <c r="C291" s="482" t="inlineStr">
        <is>
          <t>Runtime</t>
        </is>
      </c>
      <c r="D291" s="482" t="inlineStr">
        <is>
          <t>Sandbox snapshots and warm pools</t>
        </is>
      </c>
      <c r="E291" s="482" t="inlineStr">
        <is>
          <t>Use snapshots/prewarming where metrics prove latency/cost benefit.</t>
        </is>
      </c>
      <c r="F291" s="482" t="inlineStr">
        <is>
          <t>P2</t>
        </is>
      </c>
      <c r="G291" s="482" t="n"/>
      <c r="H291" s="482" t="inlineStr">
        <is>
          <t>Not Started</t>
        </is>
      </c>
      <c r="I291" s="483" t="n">
        <v>0</v>
      </c>
      <c r="J291" s="482" t="inlineStr">
        <is>
          <t>Second sandbox provider adapter</t>
        </is>
      </c>
      <c r="K291" s="482" t="n"/>
      <c r="L291" s="482" t="n"/>
      <c r="M291" s="482" t="inlineStr">
        <is>
          <t>Do not optimize blindly.</t>
        </is>
      </c>
    </row>
    <row r="292">
      <c r="A292" s="482" t="inlineStr">
        <is>
          <t>R-197</t>
        </is>
      </c>
      <c r="B292" s="482" t="inlineStr">
        <is>
          <t>MID</t>
        </is>
      </c>
      <c r="C292" s="482" t="inlineStr">
        <is>
          <t>Developer Experience</t>
        </is>
      </c>
      <c r="D292" s="482" t="inlineStr">
        <is>
          <t>Agent time-travel debugging</t>
        </is>
      </c>
      <c r="E292" s="482" t="inlineStr">
        <is>
          <t>Inspect checkpoints, event ledger, tool calls and recovery path for a run.</t>
        </is>
      </c>
      <c r="F292" s="482" t="inlineStr">
        <is>
          <t>P1</t>
        </is>
      </c>
      <c r="G292" s="482" t="n"/>
      <c r="H292" s="482" t="inlineStr">
        <is>
          <t>Not Started</t>
        </is>
      </c>
      <c r="I292" s="483" t="n">
        <v>0</v>
      </c>
      <c r="J292" s="482" t="inlineStr">
        <is>
          <t>Agent event ledger</t>
        </is>
      </c>
      <c r="K292" s="482" t="n"/>
      <c r="L292" s="482" t="n"/>
      <c r="M292" s="482" t="inlineStr">
        <is>
          <t>Operator and developer debugging.</t>
        </is>
      </c>
    </row>
    <row r="293">
      <c r="A293" s="482" t="inlineStr">
        <is>
          <t>R-198</t>
        </is>
      </c>
      <c r="B293" s="482" t="inlineStr">
        <is>
          <t>MID</t>
        </is>
      </c>
      <c r="C293" s="482" t="inlineStr">
        <is>
          <t>Tools</t>
        </is>
      </c>
      <c r="D293" s="482" t="inlineStr">
        <is>
          <t>Tool marketplace verification</t>
        </is>
      </c>
      <c r="E293" s="482" t="inlineStr">
        <is>
          <t>Security/license/schema/reliability review before external tool publication.</t>
        </is>
      </c>
      <c r="F293" s="482" t="inlineStr">
        <is>
          <t>P2</t>
        </is>
      </c>
      <c r="G293" s="482" t="n"/>
      <c r="H293" s="482" t="inlineStr">
        <is>
          <t>Not Started</t>
        </is>
      </c>
      <c r="I293" s="483" t="n">
        <v>0</v>
      </c>
      <c r="J293" s="482" t="inlineStr">
        <is>
          <t>Verified MCP install flow</t>
        </is>
      </c>
      <c r="K293" s="482" t="n"/>
      <c r="L293" s="482" t="n"/>
      <c r="M293" s="482" t="inlineStr">
        <is>
          <t>Verified badge is evidence-based.</t>
        </is>
      </c>
    </row>
    <row r="294">
      <c r="A294" s="482" t="inlineStr">
        <is>
          <t>R-199</t>
        </is>
      </c>
      <c r="B294" s="482" t="inlineStr">
        <is>
          <t>MID</t>
        </is>
      </c>
      <c r="C294" s="482" t="inlineStr">
        <is>
          <t>Routing</t>
        </is>
      </c>
      <c r="D294" s="482" t="inlineStr">
        <is>
          <t>Runtime provider cost-latency routing</t>
        </is>
      </c>
      <c r="E294" s="482" t="inlineStr">
        <is>
          <t>Route among eligible providers using health, latency, region and cost.</t>
        </is>
      </c>
      <c r="F294" s="482" t="inlineStr">
        <is>
          <t>P1</t>
        </is>
      </c>
      <c r="G294" s="482" t="n"/>
      <c r="H294" s="482" t="inlineStr">
        <is>
          <t>Not Started</t>
        </is>
      </c>
      <c r="I294" s="483" t="n">
        <v>0</v>
      </c>
      <c r="J294" s="482" t="inlineStr">
        <is>
          <t>Second sandbox provider adapter</t>
        </is>
      </c>
      <c r="K294" s="482" t="n"/>
      <c r="L294" s="482" t="n"/>
      <c r="M294" s="482" t="inlineStr">
        <is>
          <t>Policy can override cheapest route.</t>
        </is>
      </c>
    </row>
    <row r="295">
      <c r="A295" s="482" t="inlineStr">
        <is>
          <t>R-200</t>
        </is>
      </c>
      <c r="B295" s="482" t="inlineStr">
        <is>
          <t>MID</t>
        </is>
      </c>
      <c r="C295" s="482" t="inlineStr">
        <is>
          <t>Backend Strategy</t>
        </is>
      </c>
      <c r="D295" s="482" t="inlineStr">
        <is>
          <t>BaaS provider expansion</t>
        </is>
      </c>
      <c r="E295" s="482" t="inlineStr">
        <is>
          <t>Support second Rapid BaaS provider behind backend profile contract.</t>
        </is>
      </c>
      <c r="F295" s="482" t="inlineStr">
        <is>
          <t>P2</t>
        </is>
      </c>
      <c r="G295" s="482" t="n"/>
      <c r="H295" s="482" t="inlineStr">
        <is>
          <t>Not Started</t>
        </is>
      </c>
      <c r="I295" s="483" t="n">
        <v>0</v>
      </c>
      <c r="J295" s="482" t="inlineStr">
        <is>
          <t>Rapid BaaS profile design</t>
        </is>
      </c>
      <c r="K295" s="482" t="n"/>
      <c r="L295" s="482" t="n"/>
      <c r="M295" s="482" t="inlineStr">
        <is>
          <t>Keep portability via IR/contracts.</t>
        </is>
      </c>
    </row>
    <row r="296">
      <c r="A296" s="482" t="inlineStr">
        <is>
          <t>R-201</t>
        </is>
      </c>
      <c r="B296" s="482" t="inlineStr">
        <is>
          <t>ADVANCED</t>
        </is>
      </c>
      <c r="C296" s="482" t="inlineStr">
        <is>
          <t>Tools</t>
        </is>
      </c>
      <c r="D296" s="482" t="inlineStr">
        <is>
          <t>Customer private MCP servers</t>
        </is>
      </c>
      <c r="E296" s="482" t="inlineStr">
        <is>
          <t>Allow customer-owned MCP endpoints with private scopes and network policy.</t>
        </is>
      </c>
      <c r="F296" s="482" t="inlineStr">
        <is>
          <t>P2</t>
        </is>
      </c>
      <c r="G296" s="482" t="n"/>
      <c r="H296" s="482" t="inlineStr">
        <is>
          <t>Not Started</t>
        </is>
      </c>
      <c r="I296" s="483" t="n">
        <v>0</v>
      </c>
      <c r="J296" s="482" t="inlineStr">
        <is>
          <t>Verified MCP install flow</t>
        </is>
      </c>
      <c r="K296" s="482" t="n"/>
      <c r="L296" s="482" t="n"/>
      <c r="M296" s="482" t="inlineStr">
        <is>
          <t>Enterprise feature.</t>
        </is>
      </c>
    </row>
    <row r="297">
      <c r="A297" s="482" t="inlineStr">
        <is>
          <t>R-202</t>
        </is>
      </c>
      <c r="B297" s="482" t="inlineStr">
        <is>
          <t>ADVANCED</t>
        </is>
      </c>
      <c r="C297" s="482" t="inlineStr">
        <is>
          <t>Execution</t>
        </is>
      </c>
      <c r="D297" s="482" t="inlineStr">
        <is>
          <t>Private BYOC runners</t>
        </is>
      </c>
      <c r="E297" s="482" t="inlineStr">
        <is>
          <t>Run sandboxes/builds in customer VPC/private infrastructure.</t>
        </is>
      </c>
      <c r="F297" s="482" t="inlineStr">
        <is>
          <t>P1</t>
        </is>
      </c>
      <c r="G297" s="482" t="n"/>
      <c r="H297" s="482" t="inlineStr">
        <is>
          <t>Not Started</t>
        </is>
      </c>
      <c r="I297" s="483" t="n">
        <v>0</v>
      </c>
      <c r="J297" s="482" t="inlineStr">
        <is>
          <t>BYOC / private runners</t>
        </is>
      </c>
      <c r="K297" s="482" t="n"/>
      <c r="L297" s="482" t="n"/>
      <c r="M297" s="482" t="inlineStr">
        <is>
          <t>Central policy + audit remain.</t>
        </is>
      </c>
    </row>
    <row r="298">
      <c r="A298" s="482" t="inlineStr">
        <is>
          <t>R-203</t>
        </is>
      </c>
      <c r="B298" s="482" t="inlineStr">
        <is>
          <t>ADVANCED</t>
        </is>
      </c>
      <c r="C298" s="482" t="inlineStr">
        <is>
          <t>Runtime</t>
        </is>
      </c>
      <c r="D298" s="482" t="inlineStr">
        <is>
          <t>Cross-region runtime scheduler</t>
        </is>
      </c>
      <c r="E298" s="482" t="inlineStr">
        <is>
          <t>Select execution region by policy, residency, availability and latency.</t>
        </is>
      </c>
      <c r="F298" s="482" t="inlineStr">
        <is>
          <t>P2</t>
        </is>
      </c>
      <c r="G298" s="482" t="n"/>
      <c r="H298" s="482" t="inlineStr">
        <is>
          <t>Not Started</t>
        </is>
      </c>
      <c r="I298" s="483" t="n">
        <v>0</v>
      </c>
      <c r="J298" s="482" t="inlineStr">
        <is>
          <t>Private BYOC runners</t>
        </is>
      </c>
      <c r="K298" s="482" t="n"/>
      <c r="L298" s="482" t="n"/>
      <c r="M298" s="482" t="inlineStr">
        <is>
          <t>Enterprise scale.</t>
        </is>
      </c>
    </row>
    <row r="299">
      <c r="A299" s="482" t="inlineStr">
        <is>
          <t>R-204</t>
        </is>
      </c>
      <c r="B299" s="482" t="inlineStr">
        <is>
          <t>ADVANCED</t>
        </is>
      </c>
      <c r="C299" s="482" t="inlineStr">
        <is>
          <t>Runtime</t>
        </is>
      </c>
      <c r="D299" s="482" t="inlineStr">
        <is>
          <t>Hardened microVM runner fleet</t>
        </is>
      </c>
      <c r="E299" s="482" t="inlineStr">
        <is>
          <t>Own isolated runner fleet only when security/economics justify operational burden.</t>
        </is>
      </c>
      <c r="F299" s="482" t="inlineStr">
        <is>
          <t>P2</t>
        </is>
      </c>
      <c r="G299" s="482" t="n"/>
      <c r="H299" s="482" t="inlineStr">
        <is>
          <t>Not Started</t>
        </is>
      </c>
      <c r="I299" s="483" t="n">
        <v>0</v>
      </c>
      <c r="J299" s="482" t="inlineStr">
        <is>
          <t>Provider cost-latency routing</t>
        </is>
      </c>
      <c r="K299" s="482" t="n"/>
      <c r="L299" s="482" t="n"/>
      <c r="M299" s="482" t="inlineStr">
        <is>
          <t>Do not build before benchmark.</t>
        </is>
      </c>
    </row>
    <row r="300">
      <c r="A300" s="482" t="inlineStr">
        <is>
          <t>R-205</t>
        </is>
      </c>
      <c r="B300" s="482" t="inlineStr">
        <is>
          <t>ADVANCED</t>
        </is>
      </c>
      <c r="C300" s="482" t="inlineStr">
        <is>
          <t>Reliability</t>
        </is>
      </c>
      <c r="D300" s="482" t="inlineStr">
        <is>
          <t>Multi-provider sandbox failover</t>
        </is>
      </c>
      <c r="E300" s="482" t="inlineStr">
        <is>
          <t>Retry eligible tasks on alternate provider without duplicating side effects.</t>
        </is>
      </c>
      <c r="F300" s="482" t="inlineStr">
        <is>
          <t>P1</t>
        </is>
      </c>
      <c r="G300" s="482" t="n"/>
      <c r="H300" s="482" t="inlineStr">
        <is>
          <t>Not Started</t>
        </is>
      </c>
      <c r="I300" s="483" t="n">
        <v>0</v>
      </c>
      <c r="J300" s="482" t="inlineStr">
        <is>
          <t>Tool idempotency keys</t>
        </is>
      </c>
      <c r="K300" s="482" t="n"/>
      <c r="L300" s="482" t="n"/>
      <c r="M300" s="482" t="inlineStr">
        <is>
          <t>Checkpoint-aware failover.</t>
        </is>
      </c>
    </row>
    <row r="301">
      <c r="A301" s="482" t="inlineStr">
        <is>
          <t>R-206</t>
        </is>
      </c>
      <c r="B301" s="482" t="inlineStr">
        <is>
          <t>ADVANCED</t>
        </is>
      </c>
      <c r="C301" s="482" t="inlineStr">
        <is>
          <t>Governance</t>
        </is>
      </c>
      <c r="D301" s="482" t="inlineStr">
        <is>
          <t>Policy-as-code approvals</t>
        </is>
      </c>
      <c r="E301" s="482" t="inlineStr">
        <is>
          <t>Version risk/action/approval policies as tested configuration.</t>
        </is>
      </c>
      <c r="F301" s="482" t="inlineStr">
        <is>
          <t>P1</t>
        </is>
      </c>
      <c r="G301" s="482" t="n"/>
      <c r="H301" s="482" t="inlineStr">
        <is>
          <t>Not Started</t>
        </is>
      </c>
      <c r="I301" s="483" t="n">
        <v>0</v>
      </c>
      <c r="J301" s="482" t="inlineStr">
        <is>
          <t>Approval object and immutable audit</t>
        </is>
      </c>
      <c r="K301" s="482" t="n"/>
      <c r="L301" s="482" t="n"/>
      <c r="M301" s="482" t="inlineStr">
        <is>
          <t>Enterprise override support.</t>
        </is>
      </c>
    </row>
    <row r="302">
      <c r="A302" s="482" t="inlineStr">
        <is>
          <t>R-207</t>
        </is>
      </c>
      <c r="B302" s="482" t="inlineStr">
        <is>
          <t>ADVANCED</t>
        </is>
      </c>
      <c r="C302" s="482" t="inlineStr">
        <is>
          <t>Governance</t>
        </is>
      </c>
      <c r="D302" s="482" t="inlineStr">
        <is>
          <t>Two-person critical approval</t>
        </is>
      </c>
      <c r="E302" s="482" t="inlineStr">
        <is>
          <t>Optional dual approval for L4 actions.</t>
        </is>
      </c>
      <c r="F302" s="482" t="inlineStr">
        <is>
          <t>P2</t>
        </is>
      </c>
      <c r="G302" s="482" t="n"/>
      <c r="H302" s="482" t="inlineStr">
        <is>
          <t>Not Started</t>
        </is>
      </c>
      <c r="I302" s="483" t="n">
        <v>0</v>
      </c>
      <c r="J302" s="482" t="inlineStr">
        <is>
          <t>Policy-as-code approvals</t>
        </is>
      </c>
      <c r="K302" s="482" t="n"/>
      <c r="L302" s="482" t="n"/>
      <c r="M302" s="482" t="inlineStr">
        <is>
          <t>High-risk enterprise.</t>
        </is>
      </c>
    </row>
    <row r="303">
      <c r="A303" s="482" t="inlineStr">
        <is>
          <t>R-208</t>
        </is>
      </c>
      <c r="B303" s="482" t="inlineStr">
        <is>
          <t>ADVANCED</t>
        </is>
      </c>
      <c r="C303" s="482" t="inlineStr">
        <is>
          <t>Models</t>
        </is>
      </c>
      <c r="D303" s="482" t="inlineStr">
        <is>
          <t>Customer private model endpoints</t>
        </is>
      </c>
      <c r="E303" s="482" t="inlineStr">
        <is>
          <t>Support approved VPC/private model endpoints behind Model Gateway.</t>
        </is>
      </c>
      <c r="F303" s="482" t="inlineStr">
        <is>
          <t>P2</t>
        </is>
      </c>
      <c r="G303" s="482" t="n"/>
      <c r="H303" s="482" t="inlineStr">
        <is>
          <t>Not Started</t>
        </is>
      </c>
      <c r="I303" s="483" t="n">
        <v>0</v>
      </c>
      <c r="J303" s="482" t="inlineStr">
        <is>
          <t>BYOK</t>
        </is>
      </c>
      <c r="K303" s="482" t="n"/>
      <c r="L303" s="482" t="n"/>
      <c r="M303" s="482" t="inlineStr">
        <is>
          <t>No direct client-to-model coupling.</t>
        </is>
      </c>
    </row>
    <row r="304">
      <c r="A304" s="482" t="inlineStr">
        <is>
          <t>R-209</t>
        </is>
      </c>
      <c r="B304" s="482" t="inlineStr">
        <is>
          <t>ADVANCED</t>
        </is>
      </c>
      <c r="C304" s="482" t="inlineStr">
        <is>
          <t>Architecture</t>
        </is>
      </c>
      <c r="D304" s="482" t="inlineStr">
        <is>
          <t>Automated provider benchmark suite</t>
        </is>
      </c>
      <c r="E304" s="482" t="inlineStr">
        <is>
          <t>Continuously measure model/runtime/tool providers for cost, latency and reliability.</t>
        </is>
      </c>
      <c r="F304" s="482" t="inlineStr">
        <is>
          <t>P2</t>
        </is>
      </c>
      <c r="G304" s="482" t="n"/>
      <c r="H304" s="482" t="inlineStr">
        <is>
          <t>Not Started</t>
        </is>
      </c>
      <c r="I304" s="483" t="n">
        <v>0</v>
      </c>
      <c r="J304" s="482" t="inlineStr">
        <is>
          <t>Build-vs-Buy benchmark process</t>
        </is>
      </c>
      <c r="K304" s="482" t="n"/>
      <c r="L304" s="482" t="n"/>
      <c r="M304" s="482" t="inlineStr">
        <is>
          <t>Feeds routing/ADR reviews.</t>
        </is>
      </c>
    </row>
    <row r="305">
      <c r="A305" s="482" t="inlineStr">
        <is>
          <t>R-210</t>
        </is>
      </c>
      <c r="B305" s="482" t="inlineStr">
        <is>
          <t>PRODUCTION</t>
        </is>
      </c>
      <c r="C305" s="482" t="inlineStr">
        <is>
          <t>Reliability</t>
        </is>
      </c>
      <c r="D305" s="482" t="inlineStr">
        <is>
          <t>Crash-resume production test</t>
        </is>
      </c>
      <c r="E305" s="482" t="inlineStr">
        <is>
          <t>Prove tasks resume after worker/provider failure from last verified checkpoint.</t>
        </is>
      </c>
      <c r="F305" s="482" t="inlineStr">
        <is>
          <t>P0</t>
        </is>
      </c>
      <c r="G305" s="482" t="n"/>
      <c r="H305" s="482" t="inlineStr">
        <is>
          <t>Not Started</t>
        </is>
      </c>
      <c r="I305" s="483" t="n">
        <v>0</v>
      </c>
      <c r="J305" s="482" t="inlineStr">
        <is>
          <t>Checkpoint and resume</t>
        </is>
      </c>
      <c r="K305" s="482" t="n"/>
      <c r="L305" s="482" t="n"/>
      <c r="M305" s="482" t="inlineStr">
        <is>
          <t>Production gate.</t>
        </is>
      </c>
    </row>
    <row r="306">
      <c r="A306" s="482" t="inlineStr">
        <is>
          <t>R-211</t>
        </is>
      </c>
      <c r="B306" s="482" t="inlineStr">
        <is>
          <t>PRODUCTION</t>
        </is>
      </c>
      <c r="C306" s="482" t="inlineStr">
        <is>
          <t>Reliability</t>
        </is>
      </c>
      <c r="D306" s="482" t="inlineStr">
        <is>
          <t>Duplicate side-effect prevention test</t>
        </is>
      </c>
      <c r="E306" s="482" t="inlineStr">
        <is>
          <t>Prove retry/resume/failover cannot duplicate external mutations.</t>
        </is>
      </c>
      <c r="F306" s="482" t="inlineStr">
        <is>
          <t>P0</t>
        </is>
      </c>
      <c r="G306" s="482" t="n"/>
      <c r="H306" s="482" t="inlineStr">
        <is>
          <t>Not Started</t>
        </is>
      </c>
      <c r="I306" s="483" t="n">
        <v>0</v>
      </c>
      <c r="J306" s="482" t="inlineStr">
        <is>
          <t>Tool idempotency keys</t>
        </is>
      </c>
      <c r="K306" s="482" t="n"/>
      <c r="L306" s="482" t="n"/>
      <c r="M306" s="482" t="inlineStr">
        <is>
          <t>Production gate.</t>
        </is>
      </c>
    </row>
    <row r="307">
      <c r="A307" s="482" t="inlineStr">
        <is>
          <t>R-212</t>
        </is>
      </c>
      <c r="B307" s="482" t="inlineStr">
        <is>
          <t>PRODUCTION</t>
        </is>
      </c>
      <c r="C307" s="482" t="inlineStr">
        <is>
          <t>Realtime</t>
        </is>
      </c>
      <c r="D307" s="482" t="inlineStr">
        <is>
          <t>WebSocket replay correctness SLO</t>
        </is>
      </c>
      <c r="E307" s="482" t="inlineStr">
        <is>
          <t>Prove ordered reconnect/replay with no missing or duplicated critical events.</t>
        </is>
      </c>
      <c r="F307" s="482" t="inlineStr">
        <is>
          <t>P0</t>
        </is>
      </c>
      <c r="G307" s="482" t="n"/>
      <c r="H307" s="482" t="inlineStr">
        <is>
          <t>Not Started</t>
        </is>
      </c>
      <c r="I307" s="483" t="n">
        <v>0</v>
      </c>
      <c r="J307" s="482" t="inlineStr">
        <is>
          <t>WebSocket reconnect and replay</t>
        </is>
      </c>
      <c r="K307" s="482" t="n"/>
      <c r="L307" s="482" t="n"/>
      <c r="M307" s="482" t="inlineStr">
        <is>
          <t>Production gate.</t>
        </is>
      </c>
    </row>
    <row r="308">
      <c r="A308" s="482" t="inlineStr">
        <is>
          <t>R-213</t>
        </is>
      </c>
      <c r="B308" s="482" t="inlineStr">
        <is>
          <t>PRODUCTION</t>
        </is>
      </c>
      <c r="C308" s="482" t="inlineStr">
        <is>
          <t>Security</t>
        </is>
      </c>
      <c r="D308" s="482" t="inlineStr">
        <is>
          <t>MCP isolation and prompt-injection test</t>
        </is>
      </c>
      <c r="E308" s="482" t="inlineStr">
        <is>
          <t>Prove tool output cannot override policy and workspace/tool scopes are isolated.</t>
        </is>
      </c>
      <c r="F308" s="482" t="inlineStr">
        <is>
          <t>P0</t>
        </is>
      </c>
      <c r="G308" s="482" t="n"/>
      <c r="H308" s="482" t="inlineStr">
        <is>
          <t>Not Started</t>
        </is>
      </c>
      <c r="I308" s="483" t="n">
        <v>0</v>
      </c>
      <c r="J308" s="482" t="inlineStr">
        <is>
          <t>MCP Gateway foundation</t>
        </is>
      </c>
      <c r="K308" s="482" t="n"/>
      <c r="L308" s="482" t="n"/>
      <c r="M308" s="482" t="inlineStr">
        <is>
          <t>Production gate.</t>
        </is>
      </c>
    </row>
    <row r="309">
      <c r="A309" t="inlineStr">
        <is>
          <t>R-214</t>
        </is>
      </c>
      <c r="B309" t="inlineStr">
        <is>
          <t>PRODUCTION</t>
        </is>
      </c>
      <c r="C309" t="inlineStr">
        <is>
          <t>Security</t>
        </is>
      </c>
      <c r="D309" t="inlineStr">
        <is>
          <t>Sandbox tenant isolation test</t>
        </is>
      </c>
      <c r="E309" t="inlineStr">
        <is>
          <t>Prove no cross-tenant filesystem/process/network/secret access.</t>
        </is>
      </c>
      <c r="F309" t="inlineStr">
        <is>
          <t>P0</t>
        </is>
      </c>
      <c r="H309" t="inlineStr">
        <is>
          <t>Not Started</t>
        </is>
      </c>
      <c r="I309" t="n">
        <v>0</v>
      </c>
      <c r="J309" t="inlineStr">
        <is>
          <t>SandboxProvider abstraction</t>
        </is>
      </c>
      <c r="M309" t="inlineStr">
        <is>
          <t>Production gate.</t>
        </is>
      </c>
    </row>
    <row r="310">
      <c r="A310" t="inlineStr">
        <is>
          <t>R-215</t>
        </is>
      </c>
      <c r="B310" t="inlineStr">
        <is>
          <t>PRODUCTION</t>
        </is>
      </c>
      <c r="C310" t="inlineStr">
        <is>
          <t>Reliability</t>
        </is>
      </c>
      <c r="D310" t="inlineStr">
        <is>
          <t>Runtime provider outage failover</t>
        </is>
      </c>
      <c r="E310" t="inlineStr">
        <is>
          <t>Prove eligible jobs fail over safely during provider outage.</t>
        </is>
      </c>
      <c r="F310" t="inlineStr">
        <is>
          <t>P0</t>
        </is>
      </c>
      <c r="H310" t="inlineStr">
        <is>
          <t>Not Started</t>
        </is>
      </c>
      <c r="I310" t="n">
        <v>0</v>
      </c>
      <c r="J310" t="inlineStr">
        <is>
          <t>Multi-provider sandbox failover</t>
        </is>
      </c>
      <c r="M310" t="inlineStr">
        <is>
          <t>Production gate.</t>
        </is>
      </c>
    </row>
    <row r="311">
      <c r="A311" t="inlineStr">
        <is>
          <t>R-216</t>
        </is>
      </c>
      <c r="B311" t="inlineStr">
        <is>
          <t>PRODUCTION</t>
        </is>
      </c>
      <c r="C311" t="inlineStr">
        <is>
          <t>Governance</t>
        </is>
      </c>
      <c r="D311" t="inlineStr">
        <is>
          <t>Approval auditability test</t>
        </is>
      </c>
      <c r="E311" t="inlineStr">
        <is>
          <t>Prove who approved what, when, scope, risk, environment and expiration.</t>
        </is>
      </c>
      <c r="F311" t="inlineStr">
        <is>
          <t>P0</t>
        </is>
      </c>
      <c r="H311" t="inlineStr">
        <is>
          <t>Not Started</t>
        </is>
      </c>
      <c r="I311" t="n">
        <v>0</v>
      </c>
      <c r="J311" t="inlineStr">
        <is>
          <t>Approval object and immutable audit</t>
        </is>
      </c>
      <c r="M311" t="inlineStr">
        <is>
          <t>Production gate.</t>
        </is>
      </c>
    </row>
    <row r="312">
      <c r="A312" t="inlineStr">
        <is>
          <t>R-217</t>
        </is>
      </c>
      <c r="B312" t="inlineStr">
        <is>
          <t>PRODUCTION</t>
        </is>
      </c>
      <c r="C312" t="inlineStr">
        <is>
          <t>Backend Strategy</t>
        </is>
      </c>
      <c r="D312" t="inlineStr">
        <is>
          <t>BaaS to custom migration test</t>
        </is>
      </c>
      <c r="E312" t="inlineStr">
        <is>
          <t>Prove project can migrate backend profile using IR/contracts without rediscovering product behavior.</t>
        </is>
      </c>
      <c r="F312" t="inlineStr">
        <is>
          <t>P1</t>
        </is>
      </c>
      <c r="H312" t="inlineStr">
        <is>
          <t>Not Started</t>
        </is>
      </c>
      <c r="I312" t="n">
        <v>0</v>
      </c>
      <c r="J312" t="inlineStr">
        <is>
          <t>BaaS provider expansion</t>
        </is>
      </c>
      <c r="M312" t="inlineStr">
        <is>
          <t>Avoid backend lock-in.</t>
        </is>
      </c>
    </row>
    <row r="313">
      <c r="A313" t="inlineStr">
        <is>
          <t>R-218</t>
        </is>
      </c>
      <c r="B313" t="inlineStr">
        <is>
          <t>PRODUCTION</t>
        </is>
      </c>
      <c r="C313" t="inlineStr">
        <is>
          <t>Security</t>
        </is>
      </c>
      <c r="D313" t="inlineStr">
        <is>
          <t>Local Agent security lifecycle</t>
        </is>
      </c>
      <c r="E313" t="inlineStr">
        <is>
          <t>Signed install/update, folder grant, revoke/uninstall and local log controls verified.</t>
        </is>
      </c>
      <c r="F313" t="inlineStr">
        <is>
          <t>P0</t>
        </is>
      </c>
      <c r="H313" t="inlineStr">
        <is>
          <t>Not Started</t>
        </is>
      </c>
      <c r="I313" t="n">
        <v>0</v>
      </c>
      <c r="J313" t="inlineStr">
        <is>
          <t>Cross-platform Local Agent</t>
        </is>
      </c>
      <c r="M313" t="inlineStr">
        <is>
          <t>Production gate.</t>
        </is>
      </c>
    </row>
    <row r="314">
      <c r="A314" t="inlineStr">
        <is>
          <t>R-219</t>
        </is>
      </c>
      <c r="B314" t="inlineStr">
        <is>
          <t>PRODUCTION</t>
        </is>
      </c>
      <c r="C314" t="inlineStr">
        <is>
          <t>Compliance</t>
        </is>
      </c>
      <c r="D314" t="inlineStr">
        <is>
          <t>OSS license and SBOM gate</t>
        </is>
      </c>
      <c r="E314" t="inlineStr">
        <is>
          <t>Block release when third-party license/SBOM obligations are unresolved.</t>
        </is>
      </c>
      <c r="F314" t="inlineStr">
        <is>
          <t>P0</t>
        </is>
      </c>
      <c r="H314" t="inlineStr">
        <is>
          <t>Not Started</t>
        </is>
      </c>
      <c r="I314" t="n">
        <v>0</v>
      </c>
      <c r="J314" t="inlineStr">
        <is>
          <t>Open-source license review</t>
        </is>
      </c>
      <c r="M314"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6"/>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0"/>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5"/>
    <row r="16">
      <c r="A16" s="429" t="inlineStr">
        <is>
          <t>TOTAL FIT SCORE</t>
        </is>
      </c>
      <c r="B16" s="429" t="n"/>
      <c r="C16" s="429" t="n"/>
      <c r="D16" s="429" t="n"/>
      <c r="E16" s="429" t="n"/>
      <c r="F16" s="429">
        <f>SUM(F4:F14)</f>
        <v/>
      </c>
      <c r="G16" s="429">
        <f>SUM(G4:G14)</f>
        <v/>
      </c>
      <c r="H16" s="429">
        <f>SUM(H4:H14)</f>
        <v/>
      </c>
    </row>
    <row r="17"/>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3"/>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3"/>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3"/>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3"/>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3"/>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3"/>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3"/>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3"/>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3"/>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3"/>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3"/>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3"/>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3"/>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7"/>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3"/>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3"/>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3"/>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3"/>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3"/>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3"/>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2026-09-10T10:24:23Z</dcterms:modified>
</cp:coreProperties>
</file>